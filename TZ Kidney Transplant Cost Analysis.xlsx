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sfonline-my.sharepoint.com/personal/alan_zambeli-ljepovic_ucsf_edu/Documents/Medicine (Research)/Transplant - Global/03 CEA/2 Data - Cost Analysis/Tanzania/"/>
    </mc:Choice>
  </mc:AlternateContent>
  <xr:revisionPtr revIDLastSave="356" documentId="8_{F6CCD73C-13D4-0C41-851C-119F2E78E40E}" xr6:coauthVersionLast="47" xr6:coauthVersionMax="47" xr10:uidLastSave="{803ED544-5C06-674D-ABA6-7C7329E88953}"/>
  <bookViews>
    <workbookView xWindow="-4800" yWindow="-26520" windowWidth="48040" windowHeight="24780" firstSheet="2" activeTab="2" xr2:uid="{13C6E65B-9F88-432B-97AF-1D0EFFC9BF59}"/>
  </bookViews>
  <sheets>
    <sheet name="OPD - Maint. Dialysis" sheetId="8" r:id="rId1"/>
    <sheet name="Creation - Dialysis Access" sheetId="9" r:id="rId2"/>
    <sheet name="Equation - Recipient" sheetId="10" r:id="rId3"/>
    <sheet name="Equation - Donor" sheetId="11" r:id="rId4"/>
    <sheet name="Personnel" sheetId="12" r:id="rId5"/>
    <sheet name="Equipment &amp; Machine OR" sheetId="13" r:id="rId6"/>
    <sheet name="Utilities &amp; Building" sheetId="1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1" l="1"/>
  <c r="K47" i="10"/>
  <c r="G745" i="10" s="1"/>
  <c r="G573" i="10"/>
  <c r="G271" i="10"/>
  <c r="K44" i="10"/>
  <c r="G1175" i="10" s="1"/>
  <c r="K43" i="10"/>
  <c r="G1086" i="10"/>
  <c r="G1701" i="10"/>
  <c r="N43" i="10"/>
  <c r="O43" i="10"/>
  <c r="N44" i="10"/>
  <c r="O44" i="10"/>
  <c r="M44" i="10"/>
  <c r="M43" i="10"/>
  <c r="G1001" i="10"/>
  <c r="G926" i="10"/>
  <c r="G708" i="10"/>
  <c r="G620" i="10"/>
  <c r="G527" i="10"/>
  <c r="G1452" i="10" l="1"/>
  <c r="G1386" i="10"/>
  <c r="G1536" i="10"/>
  <c r="G1620" i="10"/>
  <c r="G236" i="10"/>
  <c r="D66" i="8"/>
  <c r="K38" i="11" l="1"/>
  <c r="K37" i="11"/>
  <c r="K35" i="11"/>
  <c r="E19" i="14" l="1"/>
  <c r="F19" i="14" s="1"/>
  <c r="G19" i="14" s="1"/>
  <c r="E11" i="14"/>
  <c r="F11" i="14" s="1"/>
  <c r="G11" i="14" s="1"/>
  <c r="E10" i="14"/>
  <c r="F10" i="14" s="1"/>
  <c r="G10" i="14" s="1"/>
  <c r="E9" i="14"/>
  <c r="F9" i="14" s="1"/>
  <c r="G9" i="14" s="1"/>
  <c r="E8" i="14"/>
  <c r="F8" i="14" s="1"/>
  <c r="G8" i="14" s="1"/>
  <c r="E7" i="14"/>
  <c r="F7" i="14" s="1"/>
  <c r="G7" i="14" s="1"/>
  <c r="E6" i="14"/>
  <c r="F6" i="14" s="1"/>
  <c r="G6" i="14" s="1"/>
  <c r="D6" i="14"/>
  <c r="C6" i="14"/>
  <c r="E5" i="14"/>
  <c r="F5" i="14" s="1"/>
  <c r="D5" i="14"/>
  <c r="G5" i="14" s="1"/>
  <c r="C5" i="14"/>
  <c r="F43" i="13"/>
  <c r="E43" i="13"/>
  <c r="D43" i="13"/>
  <c r="G43" i="13" s="1"/>
  <c r="E42" i="13"/>
  <c r="F42" i="13" s="1"/>
  <c r="D42" i="13"/>
  <c r="G42" i="13" s="1"/>
  <c r="E41" i="13"/>
  <c r="F41" i="13" s="1"/>
  <c r="D41" i="13"/>
  <c r="G41" i="13" s="1"/>
  <c r="E40" i="13"/>
  <c r="F40" i="13" s="1"/>
  <c r="D40" i="13"/>
  <c r="E39" i="13"/>
  <c r="F39" i="13" s="1"/>
  <c r="D39" i="13"/>
  <c r="E38" i="13"/>
  <c r="F38" i="13" s="1"/>
  <c r="D38" i="13"/>
  <c r="G38" i="13" s="1"/>
  <c r="E37" i="13"/>
  <c r="F37" i="13" s="1"/>
  <c r="D37" i="13"/>
  <c r="G37" i="13" s="1"/>
  <c r="E36" i="13"/>
  <c r="F36" i="13" s="1"/>
  <c r="D36" i="13"/>
  <c r="E35" i="13"/>
  <c r="F35" i="13" s="1"/>
  <c r="D35" i="13"/>
  <c r="E34" i="13"/>
  <c r="F34" i="13" s="1"/>
  <c r="D34" i="13"/>
  <c r="E33" i="13"/>
  <c r="F33" i="13" s="1"/>
  <c r="D33" i="13"/>
  <c r="E32" i="13"/>
  <c r="F32" i="13" s="1"/>
  <c r="D32" i="13"/>
  <c r="E31" i="13"/>
  <c r="F31" i="13" s="1"/>
  <c r="D31" i="13"/>
  <c r="E30" i="13"/>
  <c r="F30" i="13" s="1"/>
  <c r="D30" i="13"/>
  <c r="E29" i="13"/>
  <c r="F29" i="13" s="1"/>
  <c r="D29" i="13"/>
  <c r="E28" i="13"/>
  <c r="F28" i="13" s="1"/>
  <c r="D28" i="13"/>
  <c r="G28" i="13" s="1"/>
  <c r="E27" i="13"/>
  <c r="F27" i="13" s="1"/>
  <c r="D27" i="13"/>
  <c r="E26" i="13"/>
  <c r="F26" i="13" s="1"/>
  <c r="D26" i="13"/>
  <c r="E25" i="13"/>
  <c r="F25" i="13" s="1"/>
  <c r="D25" i="13"/>
  <c r="G25" i="13" s="1"/>
  <c r="E24" i="13"/>
  <c r="F24" i="13" s="1"/>
  <c r="D24" i="13"/>
  <c r="G24" i="13" s="1"/>
  <c r="E16" i="13"/>
  <c r="F16" i="13" s="1"/>
  <c r="D16" i="13"/>
  <c r="E15" i="13"/>
  <c r="F15" i="13" s="1"/>
  <c r="D15" i="13"/>
  <c r="E14" i="13"/>
  <c r="F14" i="13" s="1"/>
  <c r="D14" i="13"/>
  <c r="E13" i="13"/>
  <c r="F13" i="13" s="1"/>
  <c r="D13" i="13"/>
  <c r="E12" i="13"/>
  <c r="F12" i="13" s="1"/>
  <c r="D12" i="13"/>
  <c r="E11" i="13"/>
  <c r="F11" i="13" s="1"/>
  <c r="D11" i="13"/>
  <c r="E10" i="13"/>
  <c r="F10" i="13" s="1"/>
  <c r="D10" i="13"/>
  <c r="G10" i="13" s="1"/>
  <c r="E9" i="13"/>
  <c r="F9" i="13" s="1"/>
  <c r="D9" i="13"/>
  <c r="G9" i="13" s="1"/>
  <c r="E8" i="13"/>
  <c r="F8" i="13" s="1"/>
  <c r="D8" i="13"/>
  <c r="E7" i="13"/>
  <c r="F7" i="13" s="1"/>
  <c r="D7" i="13"/>
  <c r="G7" i="13" s="1"/>
  <c r="E6" i="13"/>
  <c r="F6" i="13" s="1"/>
  <c r="D6" i="13"/>
  <c r="E5" i="13"/>
  <c r="F5" i="13" s="1"/>
  <c r="D5" i="13"/>
  <c r="I81" i="12"/>
  <c r="J81" i="12" s="1"/>
  <c r="F81" i="12"/>
  <c r="G81" i="12" s="1"/>
  <c r="K81" i="12" s="1"/>
  <c r="I80" i="12"/>
  <c r="J80" i="12" s="1"/>
  <c r="F80" i="12"/>
  <c r="G80" i="12" s="1"/>
  <c r="K80" i="12" s="1"/>
  <c r="I79" i="12"/>
  <c r="J79" i="12" s="1"/>
  <c r="F79" i="12"/>
  <c r="G79" i="12" s="1"/>
  <c r="I78" i="12"/>
  <c r="J78" i="12" s="1"/>
  <c r="F78" i="12"/>
  <c r="G78" i="12" s="1"/>
  <c r="K78" i="12" s="1"/>
  <c r="I77" i="12"/>
  <c r="J77" i="12" s="1"/>
  <c r="F77" i="12"/>
  <c r="G77" i="12" s="1"/>
  <c r="I76" i="12"/>
  <c r="J76" i="12" s="1"/>
  <c r="F76" i="12"/>
  <c r="G76" i="12" s="1"/>
  <c r="K76" i="12" s="1"/>
  <c r="I75" i="12"/>
  <c r="J75" i="12" s="1"/>
  <c r="F75" i="12"/>
  <c r="G75" i="12" s="1"/>
  <c r="I74" i="12"/>
  <c r="J74" i="12" s="1"/>
  <c r="F74" i="12"/>
  <c r="G74" i="12" s="1"/>
  <c r="I73" i="12"/>
  <c r="J73" i="12" s="1"/>
  <c r="F73" i="12"/>
  <c r="G73" i="12" s="1"/>
  <c r="K73" i="12" s="1"/>
  <c r="I72" i="12"/>
  <c r="J72" i="12" s="1"/>
  <c r="F72" i="12"/>
  <c r="G72" i="12" s="1"/>
  <c r="K72" i="12" s="1"/>
  <c r="I71" i="12"/>
  <c r="J71" i="12" s="1"/>
  <c r="F71" i="12"/>
  <c r="G71" i="12" s="1"/>
  <c r="I70" i="12"/>
  <c r="J70" i="12" s="1"/>
  <c r="F70" i="12"/>
  <c r="G70" i="12" s="1"/>
  <c r="I69" i="12"/>
  <c r="J69" i="12" s="1"/>
  <c r="F69" i="12"/>
  <c r="G69" i="12" s="1"/>
  <c r="I68" i="12"/>
  <c r="J68" i="12" s="1"/>
  <c r="F68" i="12"/>
  <c r="G68" i="12" s="1"/>
  <c r="I67" i="12"/>
  <c r="J67" i="12" s="1"/>
  <c r="F67" i="12"/>
  <c r="G67" i="12" s="1"/>
  <c r="K67" i="12" s="1"/>
  <c r="I58" i="12"/>
  <c r="J58" i="12" s="1"/>
  <c r="G58" i="12"/>
  <c r="K58" i="12" s="1"/>
  <c r="I57" i="12"/>
  <c r="J57" i="12" s="1"/>
  <c r="G57" i="12"/>
  <c r="I55" i="12"/>
  <c r="J55" i="12" s="1"/>
  <c r="G55" i="12"/>
  <c r="I54" i="12"/>
  <c r="J54" i="12" s="1"/>
  <c r="K54" i="12" s="1"/>
  <c r="I52" i="12"/>
  <c r="J52" i="12" s="1"/>
  <c r="G52" i="12"/>
  <c r="K52" i="12" s="1"/>
  <c r="J51" i="12"/>
  <c r="I51" i="12"/>
  <c r="G51" i="12"/>
  <c r="I49" i="12"/>
  <c r="J49" i="12" s="1"/>
  <c r="G49" i="12"/>
  <c r="K49" i="12" s="1"/>
  <c r="I48" i="12"/>
  <c r="J48" i="12" s="1"/>
  <c r="G48" i="12"/>
  <c r="K48" i="12" s="1"/>
  <c r="I46" i="12"/>
  <c r="J46" i="12" s="1"/>
  <c r="G46" i="12"/>
  <c r="I45" i="12"/>
  <c r="J45" i="12" s="1"/>
  <c r="K45" i="12" s="1"/>
  <c r="G45" i="12"/>
  <c r="I43" i="12"/>
  <c r="J43" i="12" s="1"/>
  <c r="G43" i="12"/>
  <c r="I42" i="12"/>
  <c r="J42" i="12" s="1"/>
  <c r="G42" i="12"/>
  <c r="I40" i="12"/>
  <c r="J40" i="12" s="1"/>
  <c r="G40" i="12"/>
  <c r="I39" i="12"/>
  <c r="J39" i="12" s="1"/>
  <c r="K39" i="12" s="1"/>
  <c r="G39" i="12"/>
  <c r="I37" i="12"/>
  <c r="J37" i="12" s="1"/>
  <c r="K37" i="12" s="1"/>
  <c r="I36" i="12"/>
  <c r="J36" i="12" s="1"/>
  <c r="K36" i="12" s="1"/>
  <c r="I34" i="12"/>
  <c r="J34" i="12" s="1"/>
  <c r="G34" i="12"/>
  <c r="K34" i="12" s="1"/>
  <c r="I33" i="12"/>
  <c r="J33" i="12" s="1"/>
  <c r="K33" i="12" s="1"/>
  <c r="I31" i="12"/>
  <c r="J31" i="12" s="1"/>
  <c r="G31" i="12"/>
  <c r="I30" i="12"/>
  <c r="J30" i="12" s="1"/>
  <c r="G30" i="12"/>
  <c r="K30" i="12" s="1"/>
  <c r="I28" i="12"/>
  <c r="J28" i="12" s="1"/>
  <c r="G28" i="12"/>
  <c r="I27" i="12"/>
  <c r="J27" i="12" s="1"/>
  <c r="G27" i="12"/>
  <c r="I25" i="12"/>
  <c r="J25" i="12" s="1"/>
  <c r="K25" i="12" s="1"/>
  <c r="G25" i="12"/>
  <c r="I24" i="12"/>
  <c r="J24" i="12" s="1"/>
  <c r="K24" i="12" s="1"/>
  <c r="I22" i="12"/>
  <c r="J22" i="12" s="1"/>
  <c r="G22" i="12"/>
  <c r="I21" i="12"/>
  <c r="J21" i="12" s="1"/>
  <c r="K21" i="12" s="1"/>
  <c r="I19" i="12"/>
  <c r="J19" i="12" s="1"/>
  <c r="K19" i="12" s="1"/>
  <c r="G19" i="12"/>
  <c r="I18" i="12"/>
  <c r="J18" i="12" s="1"/>
  <c r="K18" i="12" s="1"/>
  <c r="I16" i="12"/>
  <c r="J16" i="12" s="1"/>
  <c r="G16" i="12"/>
  <c r="I15" i="12"/>
  <c r="J15" i="12" s="1"/>
  <c r="G15" i="12"/>
  <c r="K15" i="12" s="1"/>
  <c r="I13" i="12"/>
  <c r="J13" i="12" s="1"/>
  <c r="G13" i="12"/>
  <c r="I12" i="12"/>
  <c r="J12" i="12" s="1"/>
  <c r="K12" i="12" s="1"/>
  <c r="I10" i="12"/>
  <c r="J10" i="12" s="1"/>
  <c r="G10" i="12"/>
  <c r="I9" i="12"/>
  <c r="J9" i="12" s="1"/>
  <c r="G9" i="12"/>
  <c r="I7" i="12"/>
  <c r="J7" i="12" s="1"/>
  <c r="G7" i="12"/>
  <c r="I6" i="12"/>
  <c r="J6" i="12" s="1"/>
  <c r="K6" i="12" s="1"/>
  <c r="F1779" i="11"/>
  <c r="H1779" i="11" s="1"/>
  <c r="F1778" i="11"/>
  <c r="H1778" i="11" s="1"/>
  <c r="H1780" i="11" s="1"/>
  <c r="F1774" i="11"/>
  <c r="H1774" i="11" s="1"/>
  <c r="F1773" i="11"/>
  <c r="H1773" i="11" s="1"/>
  <c r="H1775" i="11" s="1"/>
  <c r="K17" i="11" s="1"/>
  <c r="F1769" i="11"/>
  <c r="H1769" i="11" s="1"/>
  <c r="F1768" i="11"/>
  <c r="H1768" i="11" s="1"/>
  <c r="H1770" i="11" s="1"/>
  <c r="K16" i="11" s="1"/>
  <c r="F1764" i="11"/>
  <c r="H1764" i="11" s="1"/>
  <c r="F1763" i="11"/>
  <c r="H1763" i="11" s="1"/>
  <c r="F1759" i="11"/>
  <c r="H1759" i="11" s="1"/>
  <c r="F1758" i="11"/>
  <c r="H1758" i="11" s="1"/>
  <c r="F1754" i="11"/>
  <c r="H1754" i="11" s="1"/>
  <c r="F1753" i="11"/>
  <c r="H1753" i="11" s="1"/>
  <c r="F1749" i="11"/>
  <c r="H1749" i="11" s="1"/>
  <c r="H1750" i="11" s="1"/>
  <c r="K12" i="11" s="1"/>
  <c r="F1748" i="11"/>
  <c r="H1748" i="11" s="1"/>
  <c r="F1742" i="11"/>
  <c r="H1742" i="11" s="1"/>
  <c r="F1741" i="11"/>
  <c r="H1741" i="11" s="1"/>
  <c r="F1740" i="11"/>
  <c r="H1740" i="11" s="1"/>
  <c r="F1739" i="11"/>
  <c r="H1739" i="11" s="1"/>
  <c r="F1738" i="11"/>
  <c r="H1738" i="11" s="1"/>
  <c r="F1737" i="11"/>
  <c r="H1737" i="11" s="1"/>
  <c r="F1733" i="11"/>
  <c r="H1733" i="11" s="1"/>
  <c r="F1732" i="11"/>
  <c r="H1732" i="11" s="1"/>
  <c r="F1731" i="11"/>
  <c r="H1731" i="11" s="1"/>
  <c r="F1730" i="11"/>
  <c r="H1730" i="11" s="1"/>
  <c r="F1729" i="11"/>
  <c r="H1729" i="11" s="1"/>
  <c r="F1728" i="11"/>
  <c r="H1728" i="11" s="1"/>
  <c r="F1727" i="11"/>
  <c r="H1727" i="11" s="1"/>
  <c r="F1726" i="11"/>
  <c r="H1726" i="11" s="1"/>
  <c r="F1722" i="11"/>
  <c r="H1722" i="11" s="1"/>
  <c r="F1721" i="11"/>
  <c r="H1721" i="11" s="1"/>
  <c r="F1720" i="11"/>
  <c r="H1720" i="11" s="1"/>
  <c r="H1719" i="11"/>
  <c r="F1719" i="11"/>
  <c r="F1718" i="11"/>
  <c r="H1718" i="11" s="1"/>
  <c r="F1714" i="11"/>
  <c r="H1714" i="11" s="1"/>
  <c r="F1713" i="11"/>
  <c r="H1713" i="11" s="1"/>
  <c r="F1712" i="11"/>
  <c r="H1712" i="11" s="1"/>
  <c r="F1711" i="11"/>
  <c r="H1711" i="11" s="1"/>
  <c r="F1710" i="11"/>
  <c r="H1710" i="11" s="1"/>
  <c r="F1709" i="11"/>
  <c r="H1709" i="11" s="1"/>
  <c r="F1708" i="11"/>
  <c r="H1708" i="11" s="1"/>
  <c r="F1707" i="11"/>
  <c r="H1707" i="11" s="1"/>
  <c r="H1706" i="11"/>
  <c r="F1706" i="11"/>
  <c r="F1705" i="11"/>
  <c r="H1705" i="11" s="1"/>
  <c r="F1704" i="11"/>
  <c r="H1704" i="11" s="1"/>
  <c r="F1703" i="11"/>
  <c r="H1703" i="11" s="1"/>
  <c r="F1702" i="11"/>
  <c r="H1702" i="11" s="1"/>
  <c r="F1701" i="11"/>
  <c r="H1701" i="11" s="1"/>
  <c r="F1700" i="11"/>
  <c r="H1700" i="11" s="1"/>
  <c r="F1696" i="11"/>
  <c r="H1696" i="11" s="1"/>
  <c r="F1695" i="11"/>
  <c r="H1695" i="11" s="1"/>
  <c r="F1694" i="11"/>
  <c r="H1694" i="11" s="1"/>
  <c r="F1693" i="11"/>
  <c r="H1693" i="11" s="1"/>
  <c r="F1692" i="11"/>
  <c r="H1692" i="11" s="1"/>
  <c r="F1691" i="11"/>
  <c r="H1691" i="11" s="1"/>
  <c r="H1687" i="11"/>
  <c r="F1687" i="11"/>
  <c r="H1686" i="11"/>
  <c r="F1686" i="11"/>
  <c r="F1685" i="11"/>
  <c r="H1685" i="11" s="1"/>
  <c r="F1684" i="11"/>
  <c r="H1684" i="11" s="1"/>
  <c r="F1683" i="11"/>
  <c r="H1683" i="11" s="1"/>
  <c r="F1679" i="11"/>
  <c r="H1679" i="11" s="1"/>
  <c r="H1678" i="11"/>
  <c r="F1678" i="11"/>
  <c r="F1677" i="11"/>
  <c r="H1677" i="11" s="1"/>
  <c r="F1676" i="11"/>
  <c r="H1676" i="11" s="1"/>
  <c r="F1675" i="11"/>
  <c r="H1675" i="11" s="1"/>
  <c r="F1671" i="11"/>
  <c r="H1671" i="11" s="1"/>
  <c r="F1670" i="11"/>
  <c r="H1670" i="11" s="1"/>
  <c r="F1669" i="11"/>
  <c r="H1669" i="11" s="1"/>
  <c r="F1668" i="11"/>
  <c r="H1668" i="11" s="1"/>
  <c r="F1667" i="11"/>
  <c r="H1667" i="11" s="1"/>
  <c r="F1661" i="11"/>
  <c r="H1661" i="11" s="1"/>
  <c r="F1660" i="11"/>
  <c r="H1660" i="11" s="1"/>
  <c r="F1659" i="11"/>
  <c r="H1659" i="11" s="1"/>
  <c r="F1658" i="11"/>
  <c r="H1658" i="11" s="1"/>
  <c r="F1657" i="11"/>
  <c r="H1657" i="11" s="1"/>
  <c r="F1656" i="11"/>
  <c r="H1656" i="11" s="1"/>
  <c r="F1652" i="11"/>
  <c r="H1652" i="11" s="1"/>
  <c r="F1651" i="11"/>
  <c r="H1651" i="11" s="1"/>
  <c r="H1650" i="11"/>
  <c r="F1650" i="11"/>
  <c r="H1649" i="11"/>
  <c r="F1649" i="11"/>
  <c r="F1648" i="11"/>
  <c r="H1648" i="11" s="1"/>
  <c r="F1647" i="11"/>
  <c r="H1647" i="11" s="1"/>
  <c r="F1646" i="11"/>
  <c r="H1646" i="11" s="1"/>
  <c r="F1645" i="11"/>
  <c r="H1645" i="11" s="1"/>
  <c r="F1641" i="11"/>
  <c r="H1641" i="11" s="1"/>
  <c r="F1640" i="11"/>
  <c r="H1640" i="11" s="1"/>
  <c r="F1639" i="11"/>
  <c r="H1639" i="11" s="1"/>
  <c r="F1638" i="11"/>
  <c r="H1638" i="11" s="1"/>
  <c r="F1637" i="11"/>
  <c r="H1637" i="11" s="1"/>
  <c r="F1633" i="11"/>
  <c r="H1633" i="11" s="1"/>
  <c r="F1632" i="11"/>
  <c r="H1632" i="11" s="1"/>
  <c r="F1631" i="11"/>
  <c r="H1631" i="11" s="1"/>
  <c r="F1630" i="11"/>
  <c r="H1630" i="11" s="1"/>
  <c r="F1629" i="11"/>
  <c r="H1629" i="11" s="1"/>
  <c r="H1628" i="11"/>
  <c r="F1628" i="11"/>
  <c r="F1627" i="11"/>
  <c r="H1627" i="11" s="1"/>
  <c r="F1626" i="11"/>
  <c r="H1626" i="11" s="1"/>
  <c r="F1625" i="11"/>
  <c r="H1625" i="11" s="1"/>
  <c r="F1624" i="11"/>
  <c r="H1624" i="11" s="1"/>
  <c r="F1623" i="11"/>
  <c r="H1623" i="11" s="1"/>
  <c r="F1622" i="11"/>
  <c r="H1622" i="11" s="1"/>
  <c r="F1621" i="11"/>
  <c r="H1621" i="11" s="1"/>
  <c r="F1620" i="11"/>
  <c r="H1620" i="11" s="1"/>
  <c r="F1619" i="11"/>
  <c r="H1619" i="11" s="1"/>
  <c r="F1615" i="11"/>
  <c r="H1615" i="11" s="1"/>
  <c r="F1614" i="11"/>
  <c r="H1614" i="11" s="1"/>
  <c r="F1613" i="11"/>
  <c r="H1613" i="11" s="1"/>
  <c r="F1612" i="11"/>
  <c r="H1612" i="11" s="1"/>
  <c r="F1611" i="11"/>
  <c r="H1611" i="11" s="1"/>
  <c r="H1610" i="11"/>
  <c r="F1610" i="11"/>
  <c r="F1606" i="11"/>
  <c r="H1606" i="11" s="1"/>
  <c r="F1605" i="11"/>
  <c r="H1605" i="11" s="1"/>
  <c r="H1604" i="11"/>
  <c r="F1604" i="11"/>
  <c r="F1603" i="11"/>
  <c r="H1603" i="11" s="1"/>
  <c r="H1602" i="11"/>
  <c r="F1602" i="11"/>
  <c r="F1598" i="11"/>
  <c r="H1598" i="11" s="1"/>
  <c r="F1597" i="11"/>
  <c r="H1597" i="11" s="1"/>
  <c r="F1596" i="11"/>
  <c r="H1596" i="11" s="1"/>
  <c r="F1595" i="11"/>
  <c r="H1595" i="11" s="1"/>
  <c r="F1594" i="11"/>
  <c r="H1594" i="11" s="1"/>
  <c r="F1590" i="11"/>
  <c r="H1590" i="11" s="1"/>
  <c r="F1589" i="11"/>
  <c r="H1589" i="11" s="1"/>
  <c r="F1588" i="11"/>
  <c r="H1588" i="11" s="1"/>
  <c r="F1587" i="11"/>
  <c r="H1587" i="11" s="1"/>
  <c r="H1586" i="11"/>
  <c r="F1586" i="11"/>
  <c r="F1580" i="11"/>
  <c r="H1580" i="11" s="1"/>
  <c r="F1579" i="11"/>
  <c r="H1579" i="11" s="1"/>
  <c r="F1578" i="11"/>
  <c r="H1578" i="11" s="1"/>
  <c r="F1577" i="11"/>
  <c r="H1577" i="11" s="1"/>
  <c r="H1576" i="11"/>
  <c r="F1576" i="11"/>
  <c r="F1575" i="11"/>
  <c r="H1575" i="11" s="1"/>
  <c r="F1574" i="11"/>
  <c r="H1574" i="11" s="1"/>
  <c r="F1573" i="11"/>
  <c r="H1573" i="11" s="1"/>
  <c r="F1572" i="11"/>
  <c r="H1572" i="11" s="1"/>
  <c r="F1571" i="11"/>
  <c r="H1571" i="11" s="1"/>
  <c r="F1567" i="11"/>
  <c r="H1567" i="11" s="1"/>
  <c r="H1566" i="11"/>
  <c r="F1566" i="11"/>
  <c r="F1565" i="11"/>
  <c r="H1565" i="11" s="1"/>
  <c r="F1564" i="11"/>
  <c r="H1564" i="11" s="1"/>
  <c r="F1563" i="11"/>
  <c r="H1563" i="11" s="1"/>
  <c r="F1562" i="11"/>
  <c r="H1562" i="11" s="1"/>
  <c r="F1561" i="11"/>
  <c r="H1561" i="11" s="1"/>
  <c r="H1560" i="11"/>
  <c r="F1560" i="11"/>
  <c r="F1559" i="11"/>
  <c r="H1559" i="11" s="1"/>
  <c r="F1558" i="11"/>
  <c r="H1558" i="11" s="1"/>
  <c r="F1554" i="11"/>
  <c r="H1554" i="11" s="1"/>
  <c r="F1553" i="11"/>
  <c r="H1553" i="11" s="1"/>
  <c r="F1552" i="11"/>
  <c r="H1552" i="11" s="1"/>
  <c r="F1551" i="11"/>
  <c r="H1551" i="11" s="1"/>
  <c r="F1550" i="11"/>
  <c r="H1550" i="11" s="1"/>
  <c r="F1546" i="11"/>
  <c r="H1546" i="11" s="1"/>
  <c r="F1545" i="11"/>
  <c r="H1545" i="11" s="1"/>
  <c r="F1544" i="11"/>
  <c r="H1544" i="11" s="1"/>
  <c r="F1543" i="11"/>
  <c r="H1543" i="11" s="1"/>
  <c r="F1542" i="11"/>
  <c r="H1542" i="11" s="1"/>
  <c r="F1541" i="11"/>
  <c r="H1541" i="11" s="1"/>
  <c r="F1540" i="11"/>
  <c r="H1540" i="11" s="1"/>
  <c r="F1539" i="11"/>
  <c r="H1539" i="11" s="1"/>
  <c r="F1538" i="11"/>
  <c r="H1538" i="11" s="1"/>
  <c r="F1537" i="11"/>
  <c r="H1537" i="11" s="1"/>
  <c r="F1536" i="11"/>
  <c r="H1536" i="11" s="1"/>
  <c r="F1535" i="11"/>
  <c r="H1535" i="11" s="1"/>
  <c r="F1534" i="11"/>
  <c r="H1534" i="11" s="1"/>
  <c r="F1533" i="11"/>
  <c r="H1533" i="11" s="1"/>
  <c r="F1529" i="11"/>
  <c r="H1529" i="11" s="1"/>
  <c r="F1528" i="11"/>
  <c r="H1528" i="11" s="1"/>
  <c r="H1527" i="11"/>
  <c r="F1527" i="11"/>
  <c r="F1526" i="11"/>
  <c r="H1526" i="11" s="1"/>
  <c r="F1525" i="11"/>
  <c r="H1525" i="11" s="1"/>
  <c r="F1521" i="11"/>
  <c r="H1521" i="11" s="1"/>
  <c r="F1520" i="11"/>
  <c r="H1520" i="11" s="1"/>
  <c r="F1519" i="11"/>
  <c r="H1519" i="11" s="1"/>
  <c r="F1518" i="11"/>
  <c r="H1518" i="11" s="1"/>
  <c r="F1517" i="11"/>
  <c r="H1517" i="11" s="1"/>
  <c r="F1513" i="11"/>
  <c r="H1513" i="11" s="1"/>
  <c r="F1512" i="11"/>
  <c r="H1512" i="11" s="1"/>
  <c r="F1511" i="11"/>
  <c r="H1511" i="11" s="1"/>
  <c r="F1510" i="11"/>
  <c r="H1510" i="11" s="1"/>
  <c r="F1509" i="11"/>
  <c r="H1509" i="11" s="1"/>
  <c r="F1505" i="11"/>
  <c r="H1505" i="11" s="1"/>
  <c r="F1504" i="11"/>
  <c r="H1504" i="11" s="1"/>
  <c r="H1503" i="11"/>
  <c r="F1503" i="11"/>
  <c r="F1502" i="11"/>
  <c r="H1502" i="11" s="1"/>
  <c r="F1501" i="11"/>
  <c r="H1501" i="11" s="1"/>
  <c r="F1494" i="11"/>
  <c r="H1494" i="11" s="1"/>
  <c r="F1493" i="11"/>
  <c r="H1493" i="11" s="1"/>
  <c r="F1492" i="11"/>
  <c r="H1492" i="11" s="1"/>
  <c r="F1491" i="11"/>
  <c r="H1491" i="11" s="1"/>
  <c r="F1490" i="11"/>
  <c r="H1490" i="11" s="1"/>
  <c r="F1489" i="11"/>
  <c r="H1489" i="11" s="1"/>
  <c r="F1488" i="11"/>
  <c r="H1488" i="11" s="1"/>
  <c r="F1487" i="11"/>
  <c r="H1487" i="11" s="1"/>
  <c r="F1486" i="11"/>
  <c r="H1486" i="11" s="1"/>
  <c r="F1482" i="11"/>
  <c r="H1482" i="11" s="1"/>
  <c r="F1481" i="11"/>
  <c r="H1481" i="11" s="1"/>
  <c r="F1480" i="11"/>
  <c r="H1480" i="11" s="1"/>
  <c r="F1479" i="11"/>
  <c r="H1479" i="11" s="1"/>
  <c r="F1478" i="11"/>
  <c r="H1478" i="11" s="1"/>
  <c r="H1477" i="11"/>
  <c r="F1477" i="11"/>
  <c r="F1476" i="11"/>
  <c r="H1476" i="11" s="1"/>
  <c r="F1472" i="11"/>
  <c r="H1472" i="11" s="1"/>
  <c r="F1471" i="11"/>
  <c r="H1471" i="11" s="1"/>
  <c r="F1470" i="11"/>
  <c r="H1470" i="11" s="1"/>
  <c r="F1469" i="11"/>
  <c r="H1469" i="11" s="1"/>
  <c r="H1468" i="11"/>
  <c r="F1468" i="11"/>
  <c r="F1464" i="11"/>
  <c r="H1464" i="11" s="1"/>
  <c r="F1463" i="11"/>
  <c r="H1463" i="11" s="1"/>
  <c r="F1462" i="11"/>
  <c r="H1462" i="11" s="1"/>
  <c r="F1461" i="11"/>
  <c r="H1461" i="11" s="1"/>
  <c r="H1460" i="11"/>
  <c r="F1460" i="11"/>
  <c r="F1459" i="11"/>
  <c r="H1459" i="11" s="1"/>
  <c r="F1458" i="11"/>
  <c r="H1458" i="11" s="1"/>
  <c r="F1457" i="11"/>
  <c r="H1457" i="11" s="1"/>
  <c r="H1456" i="11"/>
  <c r="F1456" i="11"/>
  <c r="F1455" i="11"/>
  <c r="H1455" i="11" s="1"/>
  <c r="F1454" i="11"/>
  <c r="H1454" i="11" s="1"/>
  <c r="F1453" i="11"/>
  <c r="H1453" i="11" s="1"/>
  <c r="H1452" i="11"/>
  <c r="F1452" i="11"/>
  <c r="F1451" i="11"/>
  <c r="H1451" i="11" s="1"/>
  <c r="F1447" i="11"/>
  <c r="H1447" i="11" s="1"/>
  <c r="F1446" i="11"/>
  <c r="H1446" i="11" s="1"/>
  <c r="H1445" i="11"/>
  <c r="F1445" i="11"/>
  <c r="F1444" i="11"/>
  <c r="H1444" i="11" s="1"/>
  <c r="F1443" i="11"/>
  <c r="H1443" i="11" s="1"/>
  <c r="F1439" i="11"/>
  <c r="H1439" i="11" s="1"/>
  <c r="F1438" i="11"/>
  <c r="H1438" i="11" s="1"/>
  <c r="F1437" i="11"/>
  <c r="H1437" i="11" s="1"/>
  <c r="F1436" i="11"/>
  <c r="H1436" i="11" s="1"/>
  <c r="H1435" i="11"/>
  <c r="H1440" i="11" s="1"/>
  <c r="F1435" i="11"/>
  <c r="F1431" i="11"/>
  <c r="H1431" i="11" s="1"/>
  <c r="F1430" i="11"/>
  <c r="H1430" i="11" s="1"/>
  <c r="F1429" i="11"/>
  <c r="H1429" i="11" s="1"/>
  <c r="F1428" i="11"/>
  <c r="H1428" i="11" s="1"/>
  <c r="F1427" i="11"/>
  <c r="H1427" i="11" s="1"/>
  <c r="H1423" i="11"/>
  <c r="F1423" i="11"/>
  <c r="F1422" i="11"/>
  <c r="H1422" i="11" s="1"/>
  <c r="F1421" i="11"/>
  <c r="H1421" i="11" s="1"/>
  <c r="F1420" i="11"/>
  <c r="H1420" i="11" s="1"/>
  <c r="F1419" i="11"/>
  <c r="H1419" i="11" s="1"/>
  <c r="F1413" i="11"/>
  <c r="H1413" i="11" s="1"/>
  <c r="F1412" i="11"/>
  <c r="H1412" i="11" s="1"/>
  <c r="H1408" i="11"/>
  <c r="F1408" i="11"/>
  <c r="F1407" i="11"/>
  <c r="H1407" i="11" s="1"/>
  <c r="H1409" i="11" s="1"/>
  <c r="F1403" i="11"/>
  <c r="H1403" i="11" s="1"/>
  <c r="F1402" i="11"/>
  <c r="H1402" i="11" s="1"/>
  <c r="H1404" i="11" s="1"/>
  <c r="F1398" i="11"/>
  <c r="H1398" i="11" s="1"/>
  <c r="F1397" i="11"/>
  <c r="H1397" i="11" s="1"/>
  <c r="F1396" i="11"/>
  <c r="H1396" i="11" s="1"/>
  <c r="F1395" i="11"/>
  <c r="H1395" i="11" s="1"/>
  <c r="F1394" i="11"/>
  <c r="H1394" i="11" s="1"/>
  <c r="F1393" i="11"/>
  <c r="H1393" i="11" s="1"/>
  <c r="F1392" i="11"/>
  <c r="H1392" i="11" s="1"/>
  <c r="F1391" i="11"/>
  <c r="H1391" i="11" s="1"/>
  <c r="F1390" i="11"/>
  <c r="H1390" i="11" s="1"/>
  <c r="F1389" i="11"/>
  <c r="H1389" i="11" s="1"/>
  <c r="F1388" i="11"/>
  <c r="H1388" i="11" s="1"/>
  <c r="F1387" i="11"/>
  <c r="H1387" i="11" s="1"/>
  <c r="F1386" i="11"/>
  <c r="H1386" i="11" s="1"/>
  <c r="F1385" i="11"/>
  <c r="H1385" i="11" s="1"/>
  <c r="F1381" i="11"/>
  <c r="H1381" i="11" s="1"/>
  <c r="F1380" i="11"/>
  <c r="H1380" i="11" s="1"/>
  <c r="H1382" i="11" s="1"/>
  <c r="F1376" i="11"/>
  <c r="H1376" i="11" s="1"/>
  <c r="F1375" i="11"/>
  <c r="H1375" i="11" s="1"/>
  <c r="H1377" i="11" s="1"/>
  <c r="H1371" i="11"/>
  <c r="F1371" i="11"/>
  <c r="F1370" i="11"/>
  <c r="H1370" i="11" s="1"/>
  <c r="F1366" i="11"/>
  <c r="H1366" i="11" s="1"/>
  <c r="F1365" i="11"/>
  <c r="H1365" i="11" s="1"/>
  <c r="H1359" i="11"/>
  <c r="F1359" i="11"/>
  <c r="F1358" i="11"/>
  <c r="H1358" i="11" s="1"/>
  <c r="F1354" i="11"/>
  <c r="H1354" i="11" s="1"/>
  <c r="F1353" i="11"/>
  <c r="H1353" i="11" s="1"/>
  <c r="F1352" i="11"/>
  <c r="H1352" i="11" s="1"/>
  <c r="H1351" i="11"/>
  <c r="F1351" i="11"/>
  <c r="H1350" i="11"/>
  <c r="F1350" i="11"/>
  <c r="F1349" i="11"/>
  <c r="H1349" i="11" s="1"/>
  <c r="F1348" i="11"/>
  <c r="H1348" i="11" s="1"/>
  <c r="F1347" i="11"/>
  <c r="H1347" i="11" s="1"/>
  <c r="F1346" i="11"/>
  <c r="H1346" i="11" s="1"/>
  <c r="F1345" i="11"/>
  <c r="H1345" i="11" s="1"/>
  <c r="F1344" i="11"/>
  <c r="H1344" i="11" s="1"/>
  <c r="H1343" i="11"/>
  <c r="F1343" i="11"/>
  <c r="F1342" i="11"/>
  <c r="H1342" i="11" s="1"/>
  <c r="F1341" i="11"/>
  <c r="H1341" i="11" s="1"/>
  <c r="F1340" i="11"/>
  <c r="H1340" i="11" s="1"/>
  <c r="F1339" i="11"/>
  <c r="H1339" i="11" s="1"/>
  <c r="H1338" i="11"/>
  <c r="F1338" i="11"/>
  <c r="F1337" i="11"/>
  <c r="H1337" i="11" s="1"/>
  <c r="F1336" i="11"/>
  <c r="H1336" i="11" s="1"/>
  <c r="F1335" i="11"/>
  <c r="H1335" i="11" s="1"/>
  <c r="F1334" i="11"/>
  <c r="H1334" i="11" s="1"/>
  <c r="F1333" i="11"/>
  <c r="H1333" i="11" s="1"/>
  <c r="F1332" i="11"/>
  <c r="H1332" i="11" s="1"/>
  <c r="F1331" i="11"/>
  <c r="H1331" i="11" s="1"/>
  <c r="H1330" i="11"/>
  <c r="F1330" i="11"/>
  <c r="F1329" i="11"/>
  <c r="H1329" i="11" s="1"/>
  <c r="F1328" i="11"/>
  <c r="H1328" i="11" s="1"/>
  <c r="F1327" i="11"/>
  <c r="H1327" i="11" s="1"/>
  <c r="H1326" i="11"/>
  <c r="F1326" i="11"/>
  <c r="F1325" i="11"/>
  <c r="H1325" i="11" s="1"/>
  <c r="F1324" i="11"/>
  <c r="H1324" i="11" s="1"/>
  <c r="H1323" i="11"/>
  <c r="F1323" i="11"/>
  <c r="F1322" i="11"/>
  <c r="H1322" i="11" s="1"/>
  <c r="F1321" i="11"/>
  <c r="H1321" i="11" s="1"/>
  <c r="F1320" i="11"/>
  <c r="H1320" i="11" s="1"/>
  <c r="F1319" i="11"/>
  <c r="H1319" i="11" s="1"/>
  <c r="H1318" i="11"/>
  <c r="F1318" i="11"/>
  <c r="F1317" i="11"/>
  <c r="H1317" i="11" s="1"/>
  <c r="H1316" i="11"/>
  <c r="F1316" i="11"/>
  <c r="F1315" i="11"/>
  <c r="H1315" i="11" s="1"/>
  <c r="F1314" i="11"/>
  <c r="H1314" i="11" s="1"/>
  <c r="F1313" i="11"/>
  <c r="H1313" i="11" s="1"/>
  <c r="F1312" i="11"/>
  <c r="H1312" i="11" s="1"/>
  <c r="F1311" i="11"/>
  <c r="H1311" i="11" s="1"/>
  <c r="F1307" i="11"/>
  <c r="H1307" i="11" s="1"/>
  <c r="F1306" i="11"/>
  <c r="H1306" i="11" s="1"/>
  <c r="F1305" i="11"/>
  <c r="H1305" i="11" s="1"/>
  <c r="F1304" i="11"/>
  <c r="H1304" i="11" s="1"/>
  <c r="F1303" i="11"/>
  <c r="H1303" i="11" s="1"/>
  <c r="H1302" i="11"/>
  <c r="F1302" i="11"/>
  <c r="F1301" i="11"/>
  <c r="H1301" i="11" s="1"/>
  <c r="H1300" i="11"/>
  <c r="F1300" i="11"/>
  <c r="F1299" i="11"/>
  <c r="H1299" i="11" s="1"/>
  <c r="F1298" i="11"/>
  <c r="H1298" i="11" s="1"/>
  <c r="F1297" i="11"/>
  <c r="H1297" i="11" s="1"/>
  <c r="F1293" i="11"/>
  <c r="H1293" i="11" s="1"/>
  <c r="F1292" i="11"/>
  <c r="H1292" i="11" s="1"/>
  <c r="F1288" i="11"/>
  <c r="H1288" i="11" s="1"/>
  <c r="F1287" i="11"/>
  <c r="H1287" i="11" s="1"/>
  <c r="F1283" i="11"/>
  <c r="H1283" i="11" s="1"/>
  <c r="F1282" i="11"/>
  <c r="H1282" i="11" s="1"/>
  <c r="F1278" i="11"/>
  <c r="H1278" i="11" s="1"/>
  <c r="F1277" i="11"/>
  <c r="H1277" i="11" s="1"/>
  <c r="F1273" i="11"/>
  <c r="H1273" i="11" s="1"/>
  <c r="F1272" i="11"/>
  <c r="H1272" i="11" s="1"/>
  <c r="F1266" i="11"/>
  <c r="H1266" i="11" s="1"/>
  <c r="F1265" i="11"/>
  <c r="H1265" i="11" s="1"/>
  <c r="F1264" i="11"/>
  <c r="H1264" i="11" s="1"/>
  <c r="H1263" i="11"/>
  <c r="F1263" i="11"/>
  <c r="F1262" i="11"/>
  <c r="H1262" i="11" s="1"/>
  <c r="F1261" i="11"/>
  <c r="H1261" i="11" s="1"/>
  <c r="F1260" i="11"/>
  <c r="H1260" i="11" s="1"/>
  <c r="F1259" i="11"/>
  <c r="H1259" i="11" s="1"/>
  <c r="H1258" i="11"/>
  <c r="F1258" i="11"/>
  <c r="F1257" i="11"/>
  <c r="H1257" i="11" s="1"/>
  <c r="F1253" i="11"/>
  <c r="H1253" i="11" s="1"/>
  <c r="H1254" i="11" s="1"/>
  <c r="F1252" i="11"/>
  <c r="H1252" i="11" s="1"/>
  <c r="F1248" i="11"/>
  <c r="H1248" i="11" s="1"/>
  <c r="F1247" i="11"/>
  <c r="H1247" i="11" s="1"/>
  <c r="H1249" i="11" s="1"/>
  <c r="F1243" i="11"/>
  <c r="H1243" i="11" s="1"/>
  <c r="F1242" i="11"/>
  <c r="H1242" i="11" s="1"/>
  <c r="F1238" i="11"/>
  <c r="H1238" i="11" s="1"/>
  <c r="F1237" i="11"/>
  <c r="H1237" i="11" s="1"/>
  <c r="H1233" i="11"/>
  <c r="F1233" i="11"/>
  <c r="F1232" i="11"/>
  <c r="H1232" i="11" s="1"/>
  <c r="H1228" i="11"/>
  <c r="F1228" i="11"/>
  <c r="F1227" i="11"/>
  <c r="H1227" i="11" s="1"/>
  <c r="F1223" i="11"/>
  <c r="H1223" i="11" s="1"/>
  <c r="F1222" i="11"/>
  <c r="H1222" i="11" s="1"/>
  <c r="H1215" i="11"/>
  <c r="F1215" i="11"/>
  <c r="F1214" i="11"/>
  <c r="H1214" i="11" s="1"/>
  <c r="F1213" i="11"/>
  <c r="H1213" i="11" s="1"/>
  <c r="F1212" i="11"/>
  <c r="H1212" i="11" s="1"/>
  <c r="F1211" i="11"/>
  <c r="H1211" i="11" s="1"/>
  <c r="F1210" i="11"/>
  <c r="H1210" i="11" s="1"/>
  <c r="F1209" i="11"/>
  <c r="H1209" i="11" s="1"/>
  <c r="F1205" i="11"/>
  <c r="H1205" i="11" s="1"/>
  <c r="F1204" i="11"/>
  <c r="H1204" i="11" s="1"/>
  <c r="F1203" i="11"/>
  <c r="H1203" i="11" s="1"/>
  <c r="H1202" i="11"/>
  <c r="F1202" i="11"/>
  <c r="F1201" i="11"/>
  <c r="H1201" i="11" s="1"/>
  <c r="F1200" i="11"/>
  <c r="H1200" i="11" s="1"/>
  <c r="F1199" i="11"/>
  <c r="H1199" i="11" s="1"/>
  <c r="F1198" i="11"/>
  <c r="H1198" i="11" s="1"/>
  <c r="F1194" i="11"/>
  <c r="H1194" i="11" s="1"/>
  <c r="F1193" i="11"/>
  <c r="H1193" i="11" s="1"/>
  <c r="F1192" i="11"/>
  <c r="H1192" i="11" s="1"/>
  <c r="F1191" i="11"/>
  <c r="H1191" i="11" s="1"/>
  <c r="H1190" i="11"/>
  <c r="F1190" i="11"/>
  <c r="F1186" i="11"/>
  <c r="H1186" i="11" s="1"/>
  <c r="H1185" i="11"/>
  <c r="F1185" i="11"/>
  <c r="F1184" i="11"/>
  <c r="H1184" i="11" s="1"/>
  <c r="F1183" i="11"/>
  <c r="H1183" i="11" s="1"/>
  <c r="F1182" i="11"/>
  <c r="H1182" i="11" s="1"/>
  <c r="F1181" i="11"/>
  <c r="H1181" i="11" s="1"/>
  <c r="F1180" i="11"/>
  <c r="H1180" i="11" s="1"/>
  <c r="F1179" i="11"/>
  <c r="H1179" i="11" s="1"/>
  <c r="F1178" i="11"/>
  <c r="H1178" i="11" s="1"/>
  <c r="F1177" i="11"/>
  <c r="H1177" i="11" s="1"/>
  <c r="F1176" i="11"/>
  <c r="H1176" i="11" s="1"/>
  <c r="F1175" i="11"/>
  <c r="H1175" i="11" s="1"/>
  <c r="F1174" i="11"/>
  <c r="H1174" i="11" s="1"/>
  <c r="F1173" i="11"/>
  <c r="H1173" i="11" s="1"/>
  <c r="F1172" i="11"/>
  <c r="H1172" i="11" s="1"/>
  <c r="F1168" i="11"/>
  <c r="H1168" i="11" s="1"/>
  <c r="F1167" i="11"/>
  <c r="H1167" i="11" s="1"/>
  <c r="F1166" i="11"/>
  <c r="H1166" i="11" s="1"/>
  <c r="H1165" i="11"/>
  <c r="F1165" i="11"/>
  <c r="F1164" i="11"/>
  <c r="H1164" i="11" s="1"/>
  <c r="F1163" i="11"/>
  <c r="H1163" i="11" s="1"/>
  <c r="H1169" i="11" s="1"/>
  <c r="F1159" i="11"/>
  <c r="H1159" i="11" s="1"/>
  <c r="H1158" i="11"/>
  <c r="F1158" i="11"/>
  <c r="H1157" i="11"/>
  <c r="F1157" i="11"/>
  <c r="H1156" i="11"/>
  <c r="F1156" i="11"/>
  <c r="F1155" i="11"/>
  <c r="H1155" i="11" s="1"/>
  <c r="H1151" i="11"/>
  <c r="F1151" i="11"/>
  <c r="H1150" i="11"/>
  <c r="F1150" i="11"/>
  <c r="F1149" i="11"/>
  <c r="H1149" i="11" s="1"/>
  <c r="F1148" i="11"/>
  <c r="H1148" i="11" s="1"/>
  <c r="F1147" i="11"/>
  <c r="H1147" i="11" s="1"/>
  <c r="H1143" i="11"/>
  <c r="F1143" i="11"/>
  <c r="F1142" i="11"/>
  <c r="H1142" i="11" s="1"/>
  <c r="F1141" i="11"/>
  <c r="H1141" i="11" s="1"/>
  <c r="F1140" i="11"/>
  <c r="H1140" i="11" s="1"/>
  <c r="H1139" i="11"/>
  <c r="F1139" i="11"/>
  <c r="H1133" i="11"/>
  <c r="F1133" i="11"/>
  <c r="F1132" i="11"/>
  <c r="H1132" i="11" s="1"/>
  <c r="F1131" i="11"/>
  <c r="H1131" i="11" s="1"/>
  <c r="F1130" i="11"/>
  <c r="H1130" i="11" s="1"/>
  <c r="F1129" i="11"/>
  <c r="H1129" i="11" s="1"/>
  <c r="F1128" i="11"/>
  <c r="H1128" i="11" s="1"/>
  <c r="H1127" i="11"/>
  <c r="F1127" i="11"/>
  <c r="H1126" i="11"/>
  <c r="F1126" i="11"/>
  <c r="H1125" i="11"/>
  <c r="F1125" i="11"/>
  <c r="F1124" i="11"/>
  <c r="H1124" i="11" s="1"/>
  <c r="F1123" i="11"/>
  <c r="H1123" i="11" s="1"/>
  <c r="H1119" i="11"/>
  <c r="F1119" i="11"/>
  <c r="F1118" i="11"/>
  <c r="H1118" i="11" s="1"/>
  <c r="F1117" i="11"/>
  <c r="H1117" i="11" s="1"/>
  <c r="F1116" i="11"/>
  <c r="H1116" i="11" s="1"/>
  <c r="F1115" i="11"/>
  <c r="H1115" i="11" s="1"/>
  <c r="F1114" i="11"/>
  <c r="H1114" i="11" s="1"/>
  <c r="F1113" i="11"/>
  <c r="H1113" i="11" s="1"/>
  <c r="F1112" i="11"/>
  <c r="H1112" i="11" s="1"/>
  <c r="F1108" i="11"/>
  <c r="H1108" i="11" s="1"/>
  <c r="H1107" i="11"/>
  <c r="F1107" i="11"/>
  <c r="F1106" i="11"/>
  <c r="H1106" i="11" s="1"/>
  <c r="F1105" i="11"/>
  <c r="H1105" i="11" s="1"/>
  <c r="F1104" i="11"/>
  <c r="H1104" i="11" s="1"/>
  <c r="H1100" i="11"/>
  <c r="F1100" i="11"/>
  <c r="F1099" i="11"/>
  <c r="H1099" i="11" s="1"/>
  <c r="F1098" i="11"/>
  <c r="H1098" i="11" s="1"/>
  <c r="F1097" i="11"/>
  <c r="H1097" i="11" s="1"/>
  <c r="F1096" i="11"/>
  <c r="H1096" i="11" s="1"/>
  <c r="F1095" i="11"/>
  <c r="H1095" i="11" s="1"/>
  <c r="F1094" i="11"/>
  <c r="H1094" i="11" s="1"/>
  <c r="F1093" i="11"/>
  <c r="H1093" i="11" s="1"/>
  <c r="F1092" i="11"/>
  <c r="H1092" i="11" s="1"/>
  <c r="F1091" i="11"/>
  <c r="H1091" i="11" s="1"/>
  <c r="H1090" i="11"/>
  <c r="F1090" i="11"/>
  <c r="F1089" i="11"/>
  <c r="H1089" i="11" s="1"/>
  <c r="H1088" i="11"/>
  <c r="F1088" i="11"/>
  <c r="F1087" i="11"/>
  <c r="H1087" i="11" s="1"/>
  <c r="F1086" i="11"/>
  <c r="H1086" i="11" s="1"/>
  <c r="F1085" i="11"/>
  <c r="H1085" i="11" s="1"/>
  <c r="H1081" i="11"/>
  <c r="F1081" i="11"/>
  <c r="F1080" i="11"/>
  <c r="H1080" i="11" s="1"/>
  <c r="F1079" i="11"/>
  <c r="H1079" i="11" s="1"/>
  <c r="F1078" i="11"/>
  <c r="H1078" i="11" s="1"/>
  <c r="H1077" i="11"/>
  <c r="F1077" i="11"/>
  <c r="F1073" i="11"/>
  <c r="H1073" i="11" s="1"/>
  <c r="F1072" i="11"/>
  <c r="H1072" i="11" s="1"/>
  <c r="F1071" i="11"/>
  <c r="H1071" i="11" s="1"/>
  <c r="F1070" i="11"/>
  <c r="H1070" i="11" s="1"/>
  <c r="H1069" i="11"/>
  <c r="F1069" i="11"/>
  <c r="F1065" i="11"/>
  <c r="H1065" i="11" s="1"/>
  <c r="F1064" i="11"/>
  <c r="H1064" i="11" s="1"/>
  <c r="F1063" i="11"/>
  <c r="H1063" i="11" s="1"/>
  <c r="F1062" i="11"/>
  <c r="H1062" i="11" s="1"/>
  <c r="F1061" i="11"/>
  <c r="H1061" i="11" s="1"/>
  <c r="F1057" i="11"/>
  <c r="H1057" i="11" s="1"/>
  <c r="H1056" i="11"/>
  <c r="F1056" i="11"/>
  <c r="F1055" i="11"/>
  <c r="H1055" i="11" s="1"/>
  <c r="H1054" i="11"/>
  <c r="F1054" i="11"/>
  <c r="F1053" i="11"/>
  <c r="H1053" i="11" s="1"/>
  <c r="F1052" i="11"/>
  <c r="H1052" i="11" s="1"/>
  <c r="F1051" i="11"/>
  <c r="H1051" i="11" s="1"/>
  <c r="F1050" i="11"/>
  <c r="H1050" i="11" s="1"/>
  <c r="F1044" i="11"/>
  <c r="H1044" i="11" s="1"/>
  <c r="H1043" i="11"/>
  <c r="F1043" i="11"/>
  <c r="F1042" i="11"/>
  <c r="H1042" i="11" s="1"/>
  <c r="F1041" i="11"/>
  <c r="H1041" i="11" s="1"/>
  <c r="F1040" i="11"/>
  <c r="H1040" i="11" s="1"/>
  <c r="F1039" i="11"/>
  <c r="H1039" i="11" s="1"/>
  <c r="F1038" i="11"/>
  <c r="H1038" i="11" s="1"/>
  <c r="F1037" i="11"/>
  <c r="H1037" i="11" s="1"/>
  <c r="H1036" i="11"/>
  <c r="F1036" i="11"/>
  <c r="F1035" i="11"/>
  <c r="H1035" i="11" s="1"/>
  <c r="H1031" i="11"/>
  <c r="F1031" i="11"/>
  <c r="F1030" i="11"/>
  <c r="H1030" i="11" s="1"/>
  <c r="F1029" i="11"/>
  <c r="H1029" i="11" s="1"/>
  <c r="F1028" i="11"/>
  <c r="H1028" i="11" s="1"/>
  <c r="H1027" i="11"/>
  <c r="F1027" i="11"/>
  <c r="F1026" i="11"/>
  <c r="H1026" i="11" s="1"/>
  <c r="F1025" i="11"/>
  <c r="H1025" i="11" s="1"/>
  <c r="F1024" i="11"/>
  <c r="H1024" i="11" s="1"/>
  <c r="H1023" i="11"/>
  <c r="F1023" i="11"/>
  <c r="H1019" i="11"/>
  <c r="F1019" i="11"/>
  <c r="F1018" i="11"/>
  <c r="H1018" i="11" s="1"/>
  <c r="F1017" i="11"/>
  <c r="H1017" i="11" s="1"/>
  <c r="F1016" i="11"/>
  <c r="H1016" i="11" s="1"/>
  <c r="F1015" i="11"/>
  <c r="H1015" i="11" s="1"/>
  <c r="F1011" i="11"/>
  <c r="H1011" i="11" s="1"/>
  <c r="F1010" i="11"/>
  <c r="H1010" i="11" s="1"/>
  <c r="F1009" i="11"/>
  <c r="H1009" i="11" s="1"/>
  <c r="F1008" i="11"/>
  <c r="H1008" i="11" s="1"/>
  <c r="F1007" i="11"/>
  <c r="H1007" i="11" s="1"/>
  <c r="F1006" i="11"/>
  <c r="H1006" i="11" s="1"/>
  <c r="F1005" i="11"/>
  <c r="H1005" i="11" s="1"/>
  <c r="F1004" i="11"/>
  <c r="H1004" i="11" s="1"/>
  <c r="F1003" i="11"/>
  <c r="H1003" i="11" s="1"/>
  <c r="H1002" i="11"/>
  <c r="F1002" i="11"/>
  <c r="F1001" i="11"/>
  <c r="H1001" i="11" s="1"/>
  <c r="F1000" i="11"/>
  <c r="H1000" i="11" s="1"/>
  <c r="F996" i="11"/>
  <c r="H996" i="11" s="1"/>
  <c r="F995" i="11"/>
  <c r="H995" i="11" s="1"/>
  <c r="F994" i="11"/>
  <c r="H994" i="11" s="1"/>
  <c r="F993" i="11"/>
  <c r="H993" i="11" s="1"/>
  <c r="F992" i="11"/>
  <c r="H992" i="11" s="1"/>
  <c r="F991" i="11"/>
  <c r="H991" i="11" s="1"/>
  <c r="F990" i="11"/>
  <c r="H990" i="11" s="1"/>
  <c r="H989" i="11"/>
  <c r="F989" i="11"/>
  <c r="F988" i="11"/>
  <c r="H988" i="11" s="1"/>
  <c r="F987" i="11"/>
  <c r="H987" i="11" s="1"/>
  <c r="H986" i="11"/>
  <c r="F986" i="11"/>
  <c r="F985" i="11"/>
  <c r="H985" i="11" s="1"/>
  <c r="F981" i="11"/>
  <c r="H981" i="11" s="1"/>
  <c r="F976" i="11"/>
  <c r="H976" i="11" s="1"/>
  <c r="F972" i="11"/>
  <c r="H972" i="11" s="1"/>
  <c r="F968" i="11"/>
  <c r="H968" i="11" s="1"/>
  <c r="H973" i="11" s="1"/>
  <c r="F964" i="11"/>
  <c r="H964" i="11" s="1"/>
  <c r="F963" i="11"/>
  <c r="H963" i="11" s="1"/>
  <c r="H962" i="11"/>
  <c r="F962" i="11"/>
  <c r="H961" i="11"/>
  <c r="F961" i="11"/>
  <c r="F960" i="11"/>
  <c r="H960" i="11" s="1"/>
  <c r="F959" i="11"/>
  <c r="H959" i="11" s="1"/>
  <c r="F953" i="11"/>
  <c r="H953" i="11" s="1"/>
  <c r="F952" i="11"/>
  <c r="H952" i="11" s="1"/>
  <c r="F948" i="11"/>
  <c r="H948" i="11" s="1"/>
  <c r="F947" i="11"/>
  <c r="H947" i="11" s="1"/>
  <c r="F943" i="11"/>
  <c r="H943" i="11" s="1"/>
  <c r="F942" i="11"/>
  <c r="H942" i="11" s="1"/>
  <c r="H938" i="11"/>
  <c r="F938" i="11"/>
  <c r="F937" i="11"/>
  <c r="H937" i="11" s="1"/>
  <c r="H936" i="11"/>
  <c r="F936" i="11"/>
  <c r="F935" i="11"/>
  <c r="H935" i="11" s="1"/>
  <c r="F934" i="11"/>
  <c r="H934" i="11" s="1"/>
  <c r="F933" i="11"/>
  <c r="H933" i="11" s="1"/>
  <c r="F932" i="11"/>
  <c r="H932" i="11" s="1"/>
  <c r="F931" i="11"/>
  <c r="H931" i="11" s="1"/>
  <c r="F930" i="11"/>
  <c r="H930" i="11" s="1"/>
  <c r="F929" i="11"/>
  <c r="H929" i="11" s="1"/>
  <c r="F928" i="11"/>
  <c r="H928" i="11" s="1"/>
  <c r="F927" i="11"/>
  <c r="H927" i="11" s="1"/>
  <c r="F926" i="11"/>
  <c r="H926" i="11" s="1"/>
  <c r="F925" i="11"/>
  <c r="H925" i="11" s="1"/>
  <c r="F921" i="11"/>
  <c r="H921" i="11" s="1"/>
  <c r="H920" i="11"/>
  <c r="H922" i="11" s="1"/>
  <c r="F920" i="11"/>
  <c r="F916" i="11"/>
  <c r="H916" i="11" s="1"/>
  <c r="F915" i="11"/>
  <c r="H915" i="11" s="1"/>
  <c r="F911" i="11"/>
  <c r="H911" i="11" s="1"/>
  <c r="F910" i="11"/>
  <c r="H910" i="11" s="1"/>
  <c r="H912" i="11" s="1"/>
  <c r="F906" i="11"/>
  <c r="H906" i="11" s="1"/>
  <c r="F905" i="11"/>
  <c r="H905" i="11" s="1"/>
  <c r="F899" i="11"/>
  <c r="H899" i="11" s="1"/>
  <c r="F898" i="11"/>
  <c r="H898" i="11" s="1"/>
  <c r="F894" i="11"/>
  <c r="H894" i="11" s="1"/>
  <c r="F893" i="11"/>
  <c r="H893" i="11" s="1"/>
  <c r="F892" i="11"/>
  <c r="H892" i="11" s="1"/>
  <c r="H891" i="11"/>
  <c r="F891" i="11"/>
  <c r="F890" i="11"/>
  <c r="H890" i="11" s="1"/>
  <c r="H889" i="11"/>
  <c r="F889" i="11"/>
  <c r="F888" i="11"/>
  <c r="H888" i="11" s="1"/>
  <c r="F887" i="11"/>
  <c r="H887" i="11" s="1"/>
  <c r="F886" i="11"/>
  <c r="H886" i="11" s="1"/>
  <c r="F885" i="11"/>
  <c r="H885" i="11" s="1"/>
  <c r="F884" i="11"/>
  <c r="H884" i="11" s="1"/>
  <c r="F883" i="11"/>
  <c r="H883" i="11" s="1"/>
  <c r="F882" i="11"/>
  <c r="H882" i="11" s="1"/>
  <c r="H881" i="11"/>
  <c r="F881" i="11"/>
  <c r="F880" i="11"/>
  <c r="H880" i="11" s="1"/>
  <c r="F879" i="11"/>
  <c r="H879" i="11" s="1"/>
  <c r="F878" i="11"/>
  <c r="H878" i="11" s="1"/>
  <c r="F877" i="11"/>
  <c r="H877" i="11" s="1"/>
  <c r="F876" i="11"/>
  <c r="H876" i="11" s="1"/>
  <c r="F875" i="11"/>
  <c r="H875" i="11" s="1"/>
  <c r="F874" i="11"/>
  <c r="H874" i="11" s="1"/>
  <c r="F873" i="11"/>
  <c r="H873" i="11" s="1"/>
  <c r="F872" i="11"/>
  <c r="H872" i="11" s="1"/>
  <c r="F871" i="11"/>
  <c r="H871" i="11" s="1"/>
  <c r="F870" i="11"/>
  <c r="H870" i="11" s="1"/>
  <c r="F869" i="11"/>
  <c r="H869" i="11" s="1"/>
  <c r="F868" i="11"/>
  <c r="H868" i="11" s="1"/>
  <c r="F867" i="11"/>
  <c r="H867" i="11" s="1"/>
  <c r="F866" i="11"/>
  <c r="H866" i="11" s="1"/>
  <c r="F865" i="11"/>
  <c r="H865" i="11" s="1"/>
  <c r="F864" i="11"/>
  <c r="H864" i="11" s="1"/>
  <c r="F863" i="11"/>
  <c r="H863" i="11" s="1"/>
  <c r="F862" i="11"/>
  <c r="H862" i="11" s="1"/>
  <c r="H861" i="11"/>
  <c r="F861" i="11"/>
  <c r="F860" i="11"/>
  <c r="H860" i="11" s="1"/>
  <c r="F859" i="11"/>
  <c r="H859" i="11" s="1"/>
  <c r="F858" i="11"/>
  <c r="H858" i="11" s="1"/>
  <c r="F857" i="11"/>
  <c r="H857" i="11" s="1"/>
  <c r="F856" i="11"/>
  <c r="H856" i="11" s="1"/>
  <c r="F855" i="11"/>
  <c r="H855" i="11" s="1"/>
  <c r="F854" i="11"/>
  <c r="H854" i="11" s="1"/>
  <c r="H853" i="11"/>
  <c r="F853" i="11"/>
  <c r="F852" i="11"/>
  <c r="H852" i="11" s="1"/>
  <c r="F851" i="11"/>
  <c r="H851" i="11" s="1"/>
  <c r="F850" i="11"/>
  <c r="H850" i="11" s="1"/>
  <c r="F846" i="11"/>
  <c r="H846" i="11" s="1"/>
  <c r="H845" i="11"/>
  <c r="F845" i="11"/>
  <c r="F844" i="11"/>
  <c r="H844" i="11" s="1"/>
  <c r="F843" i="11"/>
  <c r="H843" i="11" s="1"/>
  <c r="F842" i="11"/>
  <c r="H842" i="11" s="1"/>
  <c r="F841" i="11"/>
  <c r="H841" i="11" s="1"/>
  <c r="F840" i="11"/>
  <c r="H840" i="11" s="1"/>
  <c r="F839" i="11"/>
  <c r="H839" i="11" s="1"/>
  <c r="F838" i="11"/>
  <c r="H838" i="11" s="1"/>
  <c r="F837" i="11"/>
  <c r="H837" i="11" s="1"/>
  <c r="F836" i="11"/>
  <c r="H836" i="11" s="1"/>
  <c r="F835" i="11"/>
  <c r="H835" i="11" s="1"/>
  <c r="F834" i="11"/>
  <c r="H834" i="11" s="1"/>
  <c r="F833" i="11"/>
  <c r="H833" i="11" s="1"/>
  <c r="F829" i="11"/>
  <c r="H829" i="11" s="1"/>
  <c r="H828" i="11"/>
  <c r="F828" i="11"/>
  <c r="F824" i="11"/>
  <c r="H824" i="11" s="1"/>
  <c r="F823" i="11"/>
  <c r="H823" i="11" s="1"/>
  <c r="H825" i="11" s="1"/>
  <c r="F819" i="11"/>
  <c r="H819" i="11" s="1"/>
  <c r="H818" i="11"/>
  <c r="F818" i="11"/>
  <c r="F814" i="11"/>
  <c r="H814" i="11" s="1"/>
  <c r="F813" i="11"/>
  <c r="H813" i="11" s="1"/>
  <c r="F809" i="11"/>
  <c r="H809" i="11" s="1"/>
  <c r="F808" i="11"/>
  <c r="H808" i="11" s="1"/>
  <c r="H810" i="11" s="1"/>
  <c r="H802" i="11"/>
  <c r="F802" i="11"/>
  <c r="F801" i="11"/>
  <c r="H801" i="11" s="1"/>
  <c r="H800" i="11"/>
  <c r="F800" i="11"/>
  <c r="H799" i="11"/>
  <c r="F799" i="11"/>
  <c r="H798" i="11"/>
  <c r="F798" i="11"/>
  <c r="F797" i="11"/>
  <c r="H797" i="11" s="1"/>
  <c r="H796" i="11"/>
  <c r="F796" i="11"/>
  <c r="F795" i="11"/>
  <c r="H795" i="11" s="1"/>
  <c r="F794" i="11"/>
  <c r="H794" i="11" s="1"/>
  <c r="F790" i="11"/>
  <c r="H790" i="11" s="1"/>
  <c r="H789" i="11"/>
  <c r="H791" i="11" s="1"/>
  <c r="F789" i="11"/>
  <c r="F785" i="11"/>
  <c r="H785" i="11" s="1"/>
  <c r="F784" i="11"/>
  <c r="H784" i="11" s="1"/>
  <c r="H780" i="11"/>
  <c r="F780" i="11"/>
  <c r="F779" i="11"/>
  <c r="H779" i="11" s="1"/>
  <c r="H775" i="11"/>
  <c r="F775" i="11"/>
  <c r="F774" i="11"/>
  <c r="H774" i="11" s="1"/>
  <c r="H776" i="11" s="1"/>
  <c r="F770" i="11"/>
  <c r="H770" i="11" s="1"/>
  <c r="H771" i="11" s="1"/>
  <c r="F769" i="11"/>
  <c r="H769" i="11" s="1"/>
  <c r="F765" i="11"/>
  <c r="H765" i="11" s="1"/>
  <c r="H764" i="11"/>
  <c r="F764" i="11"/>
  <c r="F760" i="11"/>
  <c r="H760" i="11" s="1"/>
  <c r="F759" i="11"/>
  <c r="H759" i="11" s="1"/>
  <c r="F752" i="11"/>
  <c r="H752" i="11" s="1"/>
  <c r="F751" i="11"/>
  <c r="H751" i="11" s="1"/>
  <c r="F750" i="11"/>
  <c r="H750" i="11" s="1"/>
  <c r="F749" i="11"/>
  <c r="H749" i="11" s="1"/>
  <c r="F748" i="11"/>
  <c r="H748" i="11" s="1"/>
  <c r="F747" i="11"/>
  <c r="H747" i="11" s="1"/>
  <c r="F746" i="11"/>
  <c r="H746" i="11" s="1"/>
  <c r="F745" i="11"/>
  <c r="H745" i="11" s="1"/>
  <c r="F741" i="11"/>
  <c r="H741" i="11" s="1"/>
  <c r="F740" i="11"/>
  <c r="H740" i="11" s="1"/>
  <c r="F739" i="11"/>
  <c r="H739" i="11" s="1"/>
  <c r="F738" i="11"/>
  <c r="H738" i="11" s="1"/>
  <c r="F737" i="11"/>
  <c r="H737" i="11" s="1"/>
  <c r="F736" i="11"/>
  <c r="H736" i="11" s="1"/>
  <c r="F735" i="11"/>
  <c r="H735" i="11" s="1"/>
  <c r="F734" i="11"/>
  <c r="H734" i="11" s="1"/>
  <c r="F733" i="11"/>
  <c r="H733" i="11" s="1"/>
  <c r="H729" i="11"/>
  <c r="F729" i="11"/>
  <c r="H728" i="11"/>
  <c r="F728" i="11"/>
  <c r="F727" i="11"/>
  <c r="H727" i="11" s="1"/>
  <c r="F726" i="11"/>
  <c r="H726" i="11" s="1"/>
  <c r="F725" i="11"/>
  <c r="H725" i="11" s="1"/>
  <c r="F724" i="11"/>
  <c r="H724" i="11" s="1"/>
  <c r="F723" i="11"/>
  <c r="H723" i="11" s="1"/>
  <c r="F719" i="11"/>
  <c r="H719" i="11" s="1"/>
  <c r="F718" i="11"/>
  <c r="H718" i="11" s="1"/>
  <c r="F717" i="11"/>
  <c r="H717" i="11" s="1"/>
  <c r="F716" i="11"/>
  <c r="H716" i="11" s="1"/>
  <c r="F715" i="11"/>
  <c r="H715" i="11" s="1"/>
  <c r="F714" i="11"/>
  <c r="H714" i="11" s="1"/>
  <c r="F713" i="11"/>
  <c r="H713" i="11" s="1"/>
  <c r="F712" i="11"/>
  <c r="H712" i="11" s="1"/>
  <c r="F711" i="11"/>
  <c r="H711" i="11" s="1"/>
  <c r="F710" i="11"/>
  <c r="H710" i="11" s="1"/>
  <c r="F709" i="11"/>
  <c r="H709" i="11" s="1"/>
  <c r="F708" i="11"/>
  <c r="H708" i="11" s="1"/>
  <c r="F707" i="11"/>
  <c r="H707" i="11" s="1"/>
  <c r="F703" i="11"/>
  <c r="H703" i="11" s="1"/>
  <c r="F702" i="11"/>
  <c r="H702" i="11" s="1"/>
  <c r="F701" i="11"/>
  <c r="H701" i="11" s="1"/>
  <c r="F700" i="11"/>
  <c r="H700" i="11" s="1"/>
  <c r="F699" i="11"/>
  <c r="H699" i="11" s="1"/>
  <c r="F698" i="11"/>
  <c r="H698" i="11" s="1"/>
  <c r="F697" i="11"/>
  <c r="H697" i="11" s="1"/>
  <c r="F693" i="11"/>
  <c r="H693" i="11" s="1"/>
  <c r="F692" i="11"/>
  <c r="H692" i="11" s="1"/>
  <c r="F691" i="11"/>
  <c r="H691" i="11" s="1"/>
  <c r="F690" i="11"/>
  <c r="H690" i="11" s="1"/>
  <c r="F689" i="11"/>
  <c r="H689" i="11" s="1"/>
  <c r="F688" i="11"/>
  <c r="H688" i="11" s="1"/>
  <c r="H694" i="11" s="1"/>
  <c r="F684" i="11"/>
  <c r="H684" i="11" s="1"/>
  <c r="F683" i="11"/>
  <c r="H683" i="11" s="1"/>
  <c r="F682" i="11"/>
  <c r="H682" i="11" s="1"/>
  <c r="F681" i="11"/>
  <c r="H681" i="11" s="1"/>
  <c r="F680" i="11"/>
  <c r="H680" i="11" s="1"/>
  <c r="F679" i="11"/>
  <c r="H679" i="11" s="1"/>
  <c r="F675" i="11"/>
  <c r="H675" i="11" s="1"/>
  <c r="H674" i="11"/>
  <c r="F674" i="11"/>
  <c r="F673" i="11"/>
  <c r="H673" i="11" s="1"/>
  <c r="F672" i="11"/>
  <c r="H672" i="11" s="1"/>
  <c r="F671" i="11"/>
  <c r="H671" i="11" s="1"/>
  <c r="F665" i="11"/>
  <c r="H665" i="11" s="1"/>
  <c r="F664" i="11"/>
  <c r="H664" i="11" s="1"/>
  <c r="F663" i="11"/>
  <c r="H663" i="11" s="1"/>
  <c r="F662" i="11"/>
  <c r="H662" i="11" s="1"/>
  <c r="F661" i="11"/>
  <c r="H661" i="11" s="1"/>
  <c r="F660" i="11"/>
  <c r="H660" i="11" s="1"/>
  <c r="F659" i="11"/>
  <c r="H659" i="11" s="1"/>
  <c r="H658" i="11"/>
  <c r="F658" i="11"/>
  <c r="F657" i="11"/>
  <c r="H657" i="11" s="1"/>
  <c r="F656" i="11"/>
  <c r="H656" i="11" s="1"/>
  <c r="F652" i="11"/>
  <c r="H652" i="11" s="1"/>
  <c r="F651" i="11"/>
  <c r="H651" i="11" s="1"/>
  <c r="F650" i="11"/>
  <c r="H650" i="11" s="1"/>
  <c r="F649" i="11"/>
  <c r="H649" i="11" s="1"/>
  <c r="F648" i="11"/>
  <c r="H648" i="11" s="1"/>
  <c r="F647" i="11"/>
  <c r="H647" i="11" s="1"/>
  <c r="F646" i="11"/>
  <c r="H646" i="11" s="1"/>
  <c r="F645" i="11"/>
  <c r="H645" i="11" s="1"/>
  <c r="F644" i="11"/>
  <c r="H644" i="11" s="1"/>
  <c r="F643" i="11"/>
  <c r="H643" i="11" s="1"/>
  <c r="F636" i="11"/>
  <c r="H636" i="11" s="1"/>
  <c r="F635" i="11"/>
  <c r="H635" i="11" s="1"/>
  <c r="H640" i="11" s="1"/>
  <c r="F631" i="11"/>
  <c r="H631" i="11" s="1"/>
  <c r="F630" i="11"/>
  <c r="H630" i="11" s="1"/>
  <c r="H629" i="11"/>
  <c r="F629" i="11"/>
  <c r="F628" i="11"/>
  <c r="H628" i="11" s="1"/>
  <c r="F627" i="11"/>
  <c r="H627" i="11" s="1"/>
  <c r="F626" i="11"/>
  <c r="H626" i="11" s="1"/>
  <c r="F625" i="11"/>
  <c r="H625" i="11" s="1"/>
  <c r="H624" i="11"/>
  <c r="F624" i="11"/>
  <c r="F623" i="11"/>
  <c r="H623" i="11" s="1"/>
  <c r="H622" i="11"/>
  <c r="F622" i="11"/>
  <c r="F621" i="11"/>
  <c r="H621" i="11" s="1"/>
  <c r="F620" i="11"/>
  <c r="H620" i="11" s="1"/>
  <c r="F619" i="11"/>
  <c r="H619" i="11" s="1"/>
  <c r="F615" i="11"/>
  <c r="H615" i="11" s="1"/>
  <c r="F614" i="11"/>
  <c r="H614" i="11" s="1"/>
  <c r="F613" i="11"/>
  <c r="H613" i="11" s="1"/>
  <c r="F612" i="11"/>
  <c r="H612" i="11" s="1"/>
  <c r="F611" i="11"/>
  <c r="H611" i="11" s="1"/>
  <c r="H610" i="11"/>
  <c r="F610" i="11"/>
  <c r="F606" i="11"/>
  <c r="H606" i="11" s="1"/>
  <c r="F605" i="11"/>
  <c r="H605" i="11" s="1"/>
  <c r="F601" i="11"/>
  <c r="H601" i="11" s="1"/>
  <c r="H600" i="11"/>
  <c r="F600" i="11"/>
  <c r="F599" i="11"/>
  <c r="H599" i="11" s="1"/>
  <c r="F598" i="11"/>
  <c r="H598" i="11" s="1"/>
  <c r="F597" i="11"/>
  <c r="H597" i="11" s="1"/>
  <c r="H596" i="11"/>
  <c r="F596" i="11"/>
  <c r="H592" i="11"/>
  <c r="F592" i="11"/>
  <c r="F591" i="11"/>
  <c r="H591" i="11" s="1"/>
  <c r="F590" i="11"/>
  <c r="H590" i="11" s="1"/>
  <c r="F589" i="11"/>
  <c r="H589" i="11" s="1"/>
  <c r="F588" i="11"/>
  <c r="H588" i="11" s="1"/>
  <c r="H593" i="11" s="1"/>
  <c r="F582" i="11"/>
  <c r="H582" i="11" s="1"/>
  <c r="F581" i="11"/>
  <c r="H581" i="11" s="1"/>
  <c r="F580" i="11"/>
  <c r="H580" i="11" s="1"/>
  <c r="F579" i="11"/>
  <c r="H579" i="11" s="1"/>
  <c r="F578" i="11"/>
  <c r="H578" i="11" s="1"/>
  <c r="F577" i="11"/>
  <c r="H577" i="11" s="1"/>
  <c r="F576" i="11"/>
  <c r="H576" i="11" s="1"/>
  <c r="H575" i="11"/>
  <c r="F575" i="11"/>
  <c r="F574" i="11"/>
  <c r="H574" i="11" s="1"/>
  <c r="F573" i="11"/>
  <c r="H573" i="11" s="1"/>
  <c r="F569" i="11"/>
  <c r="H569" i="11" s="1"/>
  <c r="F568" i="11"/>
  <c r="H568" i="11" s="1"/>
  <c r="F567" i="11"/>
  <c r="H567" i="11" s="1"/>
  <c r="F566" i="11"/>
  <c r="H566" i="11" s="1"/>
  <c r="F565" i="11"/>
  <c r="H565" i="11" s="1"/>
  <c r="F564" i="11"/>
  <c r="H564" i="11" s="1"/>
  <c r="F563" i="11"/>
  <c r="H563" i="11" s="1"/>
  <c r="F562" i="11"/>
  <c r="H562" i="11" s="1"/>
  <c r="H561" i="11"/>
  <c r="F561" i="11"/>
  <c r="F560" i="11"/>
  <c r="H560" i="11" s="1"/>
  <c r="F559" i="11"/>
  <c r="H559" i="11" s="1"/>
  <c r="F558" i="11"/>
  <c r="H558" i="11" s="1"/>
  <c r="F557" i="11"/>
  <c r="H557" i="11" s="1"/>
  <c r="F556" i="11"/>
  <c r="H556" i="11" s="1"/>
  <c r="F555" i="11"/>
  <c r="H555" i="11" s="1"/>
  <c r="F551" i="11"/>
  <c r="H551" i="11" s="1"/>
  <c r="F550" i="11"/>
  <c r="H550" i="11" s="1"/>
  <c r="F549" i="11"/>
  <c r="H549" i="11" s="1"/>
  <c r="F548" i="11"/>
  <c r="H548" i="11" s="1"/>
  <c r="F547" i="11"/>
  <c r="H547" i="11" s="1"/>
  <c r="F543" i="11"/>
  <c r="H543" i="11" s="1"/>
  <c r="F542" i="11"/>
  <c r="H542" i="11" s="1"/>
  <c r="F541" i="11"/>
  <c r="H541" i="11" s="1"/>
  <c r="F540" i="11"/>
  <c r="H540" i="11" s="1"/>
  <c r="F539" i="11"/>
  <c r="H539" i="11" s="1"/>
  <c r="F538" i="11"/>
  <c r="H538" i="11" s="1"/>
  <c r="F537" i="11"/>
  <c r="H537" i="11" s="1"/>
  <c r="F536" i="11"/>
  <c r="H536" i="11" s="1"/>
  <c r="F535" i="11"/>
  <c r="H535" i="11" s="1"/>
  <c r="F534" i="11"/>
  <c r="H534" i="11" s="1"/>
  <c r="F533" i="11"/>
  <c r="H533" i="11" s="1"/>
  <c r="F532" i="11"/>
  <c r="H532" i="11" s="1"/>
  <c r="F531" i="11"/>
  <c r="H531" i="11" s="1"/>
  <c r="F530" i="11"/>
  <c r="H530" i="11" s="1"/>
  <c r="F529" i="11"/>
  <c r="H529" i="11" s="1"/>
  <c r="H528" i="11"/>
  <c r="F528" i="11"/>
  <c r="F527" i="11"/>
  <c r="H527" i="11" s="1"/>
  <c r="F526" i="11"/>
  <c r="H526" i="11" s="1"/>
  <c r="F525" i="11"/>
  <c r="H525" i="11" s="1"/>
  <c r="F524" i="11"/>
  <c r="H524" i="11" s="1"/>
  <c r="H523" i="11"/>
  <c r="F523" i="11"/>
  <c r="F519" i="11"/>
  <c r="H519" i="11" s="1"/>
  <c r="F518" i="11"/>
  <c r="H518" i="11" s="1"/>
  <c r="F517" i="11"/>
  <c r="H517" i="11" s="1"/>
  <c r="F516" i="11"/>
  <c r="H516" i="11" s="1"/>
  <c r="F515" i="11"/>
  <c r="H515" i="11" s="1"/>
  <c r="H514" i="11"/>
  <c r="F514" i="11"/>
  <c r="F513" i="11"/>
  <c r="H513" i="11" s="1"/>
  <c r="F512" i="11"/>
  <c r="H512" i="11" s="1"/>
  <c r="F508" i="11"/>
  <c r="H508" i="11" s="1"/>
  <c r="F507" i="11"/>
  <c r="H507" i="11" s="1"/>
  <c r="F503" i="11"/>
  <c r="H503" i="11" s="1"/>
  <c r="H504" i="11" s="1"/>
  <c r="F502" i="11"/>
  <c r="H502" i="11" s="1"/>
  <c r="F498" i="11"/>
  <c r="H498" i="11" s="1"/>
  <c r="F497" i="11"/>
  <c r="H497" i="11" s="1"/>
  <c r="H499" i="11" s="1"/>
  <c r="F491" i="11"/>
  <c r="H491" i="11" s="1"/>
  <c r="F490" i="11"/>
  <c r="H490" i="11" s="1"/>
  <c r="F489" i="11"/>
  <c r="H489" i="11" s="1"/>
  <c r="H488" i="11"/>
  <c r="F488" i="11"/>
  <c r="F487" i="11"/>
  <c r="H487" i="11" s="1"/>
  <c r="F483" i="11"/>
  <c r="H483" i="11" s="1"/>
  <c r="F482" i="11"/>
  <c r="H482" i="11" s="1"/>
  <c r="F481" i="11"/>
  <c r="H481" i="11" s="1"/>
  <c r="F480" i="11"/>
  <c r="H480" i="11" s="1"/>
  <c r="H479" i="11"/>
  <c r="F479" i="11"/>
  <c r="H478" i="11"/>
  <c r="F478" i="11"/>
  <c r="F477" i="11"/>
  <c r="H477" i="11" s="1"/>
  <c r="F476" i="11"/>
  <c r="H476" i="11" s="1"/>
  <c r="H475" i="11"/>
  <c r="F475" i="11"/>
  <c r="F474" i="11"/>
  <c r="H474" i="11" s="1"/>
  <c r="F473" i="11"/>
  <c r="H473" i="11" s="1"/>
  <c r="F472" i="11"/>
  <c r="H472" i="11" s="1"/>
  <c r="H471" i="11"/>
  <c r="F471" i="11"/>
  <c r="H467" i="11"/>
  <c r="F467" i="11"/>
  <c r="F466" i="11"/>
  <c r="H466" i="11" s="1"/>
  <c r="F465" i="11"/>
  <c r="H465" i="11" s="1"/>
  <c r="F464" i="11"/>
  <c r="H464" i="11" s="1"/>
  <c r="F463" i="11"/>
  <c r="H463" i="11" s="1"/>
  <c r="F459" i="11"/>
  <c r="H459" i="11" s="1"/>
  <c r="H458" i="11"/>
  <c r="F458" i="11"/>
  <c r="F457" i="11"/>
  <c r="H457" i="11" s="1"/>
  <c r="F456" i="11"/>
  <c r="H456" i="11" s="1"/>
  <c r="F455" i="11"/>
  <c r="H455" i="11" s="1"/>
  <c r="H454" i="11"/>
  <c r="F454" i="11"/>
  <c r="F453" i="11"/>
  <c r="H453" i="11" s="1"/>
  <c r="F452" i="11"/>
  <c r="H452" i="11" s="1"/>
  <c r="H451" i="11"/>
  <c r="F451" i="11"/>
  <c r="F450" i="11"/>
  <c r="H450" i="11" s="1"/>
  <c r="F449" i="11"/>
  <c r="H449" i="11" s="1"/>
  <c r="F448" i="11"/>
  <c r="H448" i="11" s="1"/>
  <c r="F447" i="11"/>
  <c r="H447" i="11" s="1"/>
  <c r="F446" i="11"/>
  <c r="H446" i="11" s="1"/>
  <c r="F445" i="11"/>
  <c r="H445" i="11" s="1"/>
  <c r="F444" i="11"/>
  <c r="H444" i="11" s="1"/>
  <c r="F443" i="11"/>
  <c r="H443" i="11" s="1"/>
  <c r="F442" i="11"/>
  <c r="H442" i="11" s="1"/>
  <c r="F441" i="11"/>
  <c r="H441" i="11" s="1"/>
  <c r="F440" i="11"/>
  <c r="H440" i="11" s="1"/>
  <c r="H439" i="11"/>
  <c r="F439" i="11"/>
  <c r="F438" i="11"/>
  <c r="H438" i="11" s="1"/>
  <c r="F437" i="11"/>
  <c r="H437" i="11" s="1"/>
  <c r="F436" i="11"/>
  <c r="H436" i="11" s="1"/>
  <c r="F435" i="11"/>
  <c r="H435" i="11" s="1"/>
  <c r="F434" i="11"/>
  <c r="H434" i="11" s="1"/>
  <c r="F433" i="11"/>
  <c r="H433" i="11" s="1"/>
  <c r="F432" i="11"/>
  <c r="H432" i="11" s="1"/>
  <c r="F431" i="11"/>
  <c r="H431" i="11" s="1"/>
  <c r="F430" i="11"/>
  <c r="H430" i="11" s="1"/>
  <c r="H426" i="11"/>
  <c r="F426" i="11"/>
  <c r="F425" i="11"/>
  <c r="H425" i="11" s="1"/>
  <c r="H424" i="11"/>
  <c r="F424" i="11"/>
  <c r="F423" i="11"/>
  <c r="H423" i="11" s="1"/>
  <c r="F422" i="11"/>
  <c r="H422" i="11" s="1"/>
  <c r="F421" i="11"/>
  <c r="H421" i="11" s="1"/>
  <c r="F420" i="11"/>
  <c r="H420" i="11" s="1"/>
  <c r="H419" i="11"/>
  <c r="F419" i="11"/>
  <c r="F418" i="11"/>
  <c r="H418" i="11" s="1"/>
  <c r="F417" i="11"/>
  <c r="H417" i="11" s="1"/>
  <c r="H416" i="11"/>
  <c r="F416" i="11"/>
  <c r="H415" i="11"/>
  <c r="F415" i="11"/>
  <c r="F414" i="11"/>
  <c r="H414" i="11" s="1"/>
  <c r="F413" i="11"/>
  <c r="H413" i="11" s="1"/>
  <c r="F412" i="11"/>
  <c r="H412" i="11" s="1"/>
  <c r="F411" i="11"/>
  <c r="H411" i="11" s="1"/>
  <c r="H410" i="11"/>
  <c r="F410" i="11"/>
  <c r="F409" i="11"/>
  <c r="H409" i="11" s="1"/>
  <c r="F408" i="11"/>
  <c r="H408" i="11" s="1"/>
  <c r="F407" i="11"/>
  <c r="H407" i="11" s="1"/>
  <c r="F406" i="11"/>
  <c r="H406" i="11" s="1"/>
  <c r="F405" i="11"/>
  <c r="H405" i="11" s="1"/>
  <c r="F404" i="11"/>
  <c r="H404" i="11" s="1"/>
  <c r="F403" i="11"/>
  <c r="H403" i="11" s="1"/>
  <c r="H402" i="11"/>
  <c r="F402" i="11"/>
  <c r="F401" i="11"/>
  <c r="H401" i="11" s="1"/>
  <c r="F400" i="11"/>
  <c r="H400" i="11" s="1"/>
  <c r="F399" i="11"/>
  <c r="H399" i="11" s="1"/>
  <c r="H398" i="11"/>
  <c r="F398" i="11"/>
  <c r="F397" i="11"/>
  <c r="H397" i="11" s="1"/>
  <c r="F396" i="11"/>
  <c r="H396" i="11" s="1"/>
  <c r="F395" i="11"/>
  <c r="H395" i="11" s="1"/>
  <c r="F394" i="11"/>
  <c r="H394" i="11" s="1"/>
  <c r="F393" i="11"/>
  <c r="H393" i="11" s="1"/>
  <c r="F392" i="11"/>
  <c r="H392" i="11" s="1"/>
  <c r="F391" i="11"/>
  <c r="H391" i="11" s="1"/>
  <c r="F390" i="11"/>
  <c r="H390" i="11" s="1"/>
  <c r="F389" i="11"/>
  <c r="H389" i="11" s="1"/>
  <c r="F388" i="11"/>
  <c r="H388" i="11" s="1"/>
  <c r="F387" i="11"/>
  <c r="H387" i="11" s="1"/>
  <c r="H386" i="11"/>
  <c r="F386" i="11"/>
  <c r="F385" i="11"/>
  <c r="H385" i="11" s="1"/>
  <c r="F384" i="11"/>
  <c r="H384" i="11" s="1"/>
  <c r="F383" i="11"/>
  <c r="H383" i="11" s="1"/>
  <c r="F382" i="11"/>
  <c r="H382" i="11" s="1"/>
  <c r="F381" i="11"/>
  <c r="H381" i="11" s="1"/>
  <c r="F380" i="11"/>
  <c r="H380" i="11" s="1"/>
  <c r="F379" i="11"/>
  <c r="H379" i="11" s="1"/>
  <c r="F378" i="11"/>
  <c r="H378" i="11" s="1"/>
  <c r="F377" i="11"/>
  <c r="H377" i="11" s="1"/>
  <c r="F376" i="11"/>
  <c r="H376" i="11" s="1"/>
  <c r="F375" i="11"/>
  <c r="H375" i="11" s="1"/>
  <c r="F374" i="11"/>
  <c r="H374" i="11" s="1"/>
  <c r="H373" i="11"/>
  <c r="F373" i="11"/>
  <c r="F372" i="11"/>
  <c r="H372" i="11" s="1"/>
  <c r="F371" i="11"/>
  <c r="H371" i="11" s="1"/>
  <c r="F370" i="11"/>
  <c r="H370" i="11" s="1"/>
  <c r="F369" i="11"/>
  <c r="H369" i="11" s="1"/>
  <c r="F368" i="11"/>
  <c r="H368" i="11" s="1"/>
  <c r="F367" i="11"/>
  <c r="H367" i="11" s="1"/>
  <c r="F366" i="11"/>
  <c r="H366" i="11" s="1"/>
  <c r="F365" i="11"/>
  <c r="H365" i="11" s="1"/>
  <c r="F364" i="11"/>
  <c r="H364" i="11" s="1"/>
  <c r="H363" i="11"/>
  <c r="F363" i="11"/>
  <c r="F362" i="11"/>
  <c r="H362" i="11" s="1"/>
  <c r="F361" i="11"/>
  <c r="H361" i="11" s="1"/>
  <c r="F360" i="11"/>
  <c r="H360" i="11" s="1"/>
  <c r="F359" i="11"/>
  <c r="H359" i="11" s="1"/>
  <c r="F358" i="11"/>
  <c r="H358" i="11" s="1"/>
  <c r="F357" i="11"/>
  <c r="H357" i="11" s="1"/>
  <c r="F356" i="11"/>
  <c r="H356" i="11" s="1"/>
  <c r="F355" i="11"/>
  <c r="H355" i="11" s="1"/>
  <c r="F354" i="11"/>
  <c r="H354" i="11" s="1"/>
  <c r="F353" i="11"/>
  <c r="H353" i="11" s="1"/>
  <c r="F352" i="11"/>
  <c r="H352" i="11" s="1"/>
  <c r="F351" i="11"/>
  <c r="H351" i="11" s="1"/>
  <c r="F350" i="11"/>
  <c r="H350" i="11" s="1"/>
  <c r="F346" i="11"/>
  <c r="H346" i="11" s="1"/>
  <c r="F345" i="11"/>
  <c r="H345" i="11" s="1"/>
  <c r="F344" i="11"/>
  <c r="H344" i="11" s="1"/>
  <c r="F343" i="11"/>
  <c r="H343" i="11" s="1"/>
  <c r="F342" i="11"/>
  <c r="H342" i="11" s="1"/>
  <c r="H341" i="11"/>
  <c r="F341" i="11"/>
  <c r="H340" i="11"/>
  <c r="F340" i="11"/>
  <c r="F339" i="11"/>
  <c r="H339" i="11" s="1"/>
  <c r="F338" i="11"/>
  <c r="H338" i="11" s="1"/>
  <c r="E337" i="11"/>
  <c r="F337" i="11" s="1"/>
  <c r="H337" i="11" s="1"/>
  <c r="E336" i="11"/>
  <c r="F336" i="11" s="1"/>
  <c r="H336" i="11" s="1"/>
  <c r="E335" i="11"/>
  <c r="F335" i="11" s="1"/>
  <c r="H335" i="11" s="1"/>
  <c r="E334" i="11"/>
  <c r="F334" i="11" s="1"/>
  <c r="H334" i="11" s="1"/>
  <c r="E333" i="11"/>
  <c r="F333" i="11" s="1"/>
  <c r="H333" i="11" s="1"/>
  <c r="E332" i="11"/>
  <c r="F332" i="11" s="1"/>
  <c r="H332" i="11" s="1"/>
  <c r="E331" i="11"/>
  <c r="F331" i="11" s="1"/>
  <c r="H331" i="11" s="1"/>
  <c r="F330" i="11"/>
  <c r="H330" i="11" s="1"/>
  <c r="E330" i="11"/>
  <c r="E329" i="11"/>
  <c r="F329" i="11" s="1"/>
  <c r="H329" i="11" s="1"/>
  <c r="E328" i="11"/>
  <c r="F328" i="11" s="1"/>
  <c r="H328" i="11" s="1"/>
  <c r="E327" i="11"/>
  <c r="F327" i="11" s="1"/>
  <c r="H327" i="11" s="1"/>
  <c r="F326" i="11"/>
  <c r="H326" i="11" s="1"/>
  <c r="E326" i="11"/>
  <c r="E325" i="11"/>
  <c r="F325" i="11" s="1"/>
  <c r="H325" i="11" s="1"/>
  <c r="E324" i="11"/>
  <c r="F324" i="11" s="1"/>
  <c r="H324" i="11" s="1"/>
  <c r="E323" i="11"/>
  <c r="F323" i="11" s="1"/>
  <c r="H323" i="11" s="1"/>
  <c r="F319" i="11"/>
  <c r="H319" i="11" s="1"/>
  <c r="F318" i="11"/>
  <c r="H318" i="11" s="1"/>
  <c r="E317" i="11"/>
  <c r="F317" i="11" s="1"/>
  <c r="H317" i="11" s="1"/>
  <c r="E316" i="11"/>
  <c r="F316" i="11" s="1"/>
  <c r="H316" i="11" s="1"/>
  <c r="E315" i="11"/>
  <c r="F315" i="11" s="1"/>
  <c r="H315" i="11" s="1"/>
  <c r="E314" i="11"/>
  <c r="F314" i="11" s="1"/>
  <c r="H314" i="11" s="1"/>
  <c r="E313" i="11"/>
  <c r="F313" i="11" s="1"/>
  <c r="H313" i="11" s="1"/>
  <c r="E312" i="11"/>
  <c r="F312" i="11" s="1"/>
  <c r="H312" i="11" s="1"/>
  <c r="E311" i="11"/>
  <c r="F311" i="11" s="1"/>
  <c r="H311" i="11" s="1"/>
  <c r="E310" i="11"/>
  <c r="F310" i="11" s="1"/>
  <c r="H310" i="11" s="1"/>
  <c r="E309" i="11"/>
  <c r="F309" i="11" s="1"/>
  <c r="H309" i="11" s="1"/>
  <c r="E308" i="11"/>
  <c r="F308" i="11" s="1"/>
  <c r="H308" i="11" s="1"/>
  <c r="E307" i="11"/>
  <c r="F307" i="11" s="1"/>
  <c r="H307" i="11" s="1"/>
  <c r="F303" i="11"/>
  <c r="H303" i="11" s="1"/>
  <c r="F302" i="11"/>
  <c r="H302" i="11" s="1"/>
  <c r="F301" i="11"/>
  <c r="H301" i="11" s="1"/>
  <c r="E300" i="11"/>
  <c r="F300" i="11" s="1"/>
  <c r="H300" i="11" s="1"/>
  <c r="E299" i="11"/>
  <c r="F299" i="11" s="1"/>
  <c r="H299" i="11" s="1"/>
  <c r="E298" i="11"/>
  <c r="F298" i="11" s="1"/>
  <c r="H298" i="11" s="1"/>
  <c r="E297" i="11"/>
  <c r="F297" i="11" s="1"/>
  <c r="H297" i="11" s="1"/>
  <c r="E296" i="11"/>
  <c r="F296" i="11" s="1"/>
  <c r="H296" i="11" s="1"/>
  <c r="E295" i="11"/>
  <c r="F295" i="11" s="1"/>
  <c r="H295" i="11" s="1"/>
  <c r="E294" i="11"/>
  <c r="F294" i="11" s="1"/>
  <c r="H294" i="11" s="1"/>
  <c r="E293" i="11"/>
  <c r="F293" i="11" s="1"/>
  <c r="H293" i="11" s="1"/>
  <c r="H292" i="11"/>
  <c r="E292" i="11"/>
  <c r="F292" i="11" s="1"/>
  <c r="E291" i="11"/>
  <c r="F291" i="11" s="1"/>
  <c r="H291" i="11" s="1"/>
  <c r="F290" i="11"/>
  <c r="H290" i="11" s="1"/>
  <c r="E290" i="11"/>
  <c r="E289" i="11"/>
  <c r="F289" i="11" s="1"/>
  <c r="H289" i="11" s="1"/>
  <c r="F288" i="11"/>
  <c r="H288" i="11" s="1"/>
  <c r="E288" i="11"/>
  <c r="F287" i="11"/>
  <c r="H287" i="11" s="1"/>
  <c r="E287" i="11"/>
  <c r="E286" i="11"/>
  <c r="F286" i="11" s="1"/>
  <c r="H286" i="11" s="1"/>
  <c r="F280" i="11"/>
  <c r="H280" i="11" s="1"/>
  <c r="F279" i="11"/>
  <c r="H279" i="11" s="1"/>
  <c r="F278" i="11"/>
  <c r="H278" i="11" s="1"/>
  <c r="H277" i="11"/>
  <c r="F277" i="11"/>
  <c r="H276" i="11"/>
  <c r="F276" i="11"/>
  <c r="H275" i="11"/>
  <c r="F275" i="11"/>
  <c r="F274" i="11"/>
  <c r="H274" i="11" s="1"/>
  <c r="H273" i="11"/>
  <c r="F273" i="11"/>
  <c r="F272" i="11"/>
  <c r="H272" i="11" s="1"/>
  <c r="F271" i="11"/>
  <c r="H271" i="11" s="1"/>
  <c r="F267" i="11"/>
  <c r="H267" i="11" s="1"/>
  <c r="F266" i="11"/>
  <c r="H266" i="11" s="1"/>
  <c r="F265" i="11"/>
  <c r="H265" i="11" s="1"/>
  <c r="F264" i="11"/>
  <c r="H264" i="11" s="1"/>
  <c r="F263" i="11"/>
  <c r="H263" i="11" s="1"/>
  <c r="H262" i="11"/>
  <c r="F262" i="11"/>
  <c r="F261" i="11"/>
  <c r="H261" i="11" s="1"/>
  <c r="F260" i="11"/>
  <c r="H260" i="11" s="1"/>
  <c r="H259" i="11"/>
  <c r="F259" i="11"/>
  <c r="F258" i="11"/>
  <c r="H258" i="11" s="1"/>
  <c r="F257" i="11"/>
  <c r="H257" i="11" s="1"/>
  <c r="F256" i="11"/>
  <c r="H256" i="11" s="1"/>
  <c r="F252" i="11"/>
  <c r="H252" i="11" s="1"/>
  <c r="H251" i="11"/>
  <c r="H253" i="11" s="1"/>
  <c r="F251" i="11"/>
  <c r="H250" i="11"/>
  <c r="F250" i="11"/>
  <c r="H249" i="11"/>
  <c r="F249" i="11"/>
  <c r="F248" i="11"/>
  <c r="H248" i="11" s="1"/>
  <c r="H244" i="11"/>
  <c r="F244" i="11"/>
  <c r="F243" i="11"/>
  <c r="H243" i="11" s="1"/>
  <c r="F242" i="11"/>
  <c r="H242" i="11" s="1"/>
  <c r="F241" i="11"/>
  <c r="H241" i="11" s="1"/>
  <c r="H240" i="11"/>
  <c r="F240" i="11"/>
  <c r="F239" i="11"/>
  <c r="H239" i="11" s="1"/>
  <c r="F238" i="11"/>
  <c r="H238" i="11" s="1"/>
  <c r="F237" i="11"/>
  <c r="H237" i="11" s="1"/>
  <c r="H236" i="11"/>
  <c r="F236" i="11"/>
  <c r="F235" i="11"/>
  <c r="H235" i="11" s="1"/>
  <c r="F231" i="11"/>
  <c r="H231" i="11" s="1"/>
  <c r="F230" i="11"/>
  <c r="H230" i="11" s="1"/>
  <c r="F226" i="11"/>
  <c r="H226" i="11" s="1"/>
  <c r="F225" i="11"/>
  <c r="H225" i="11" s="1"/>
  <c r="H221" i="11"/>
  <c r="F221" i="11"/>
  <c r="F220" i="11"/>
  <c r="H220" i="11" s="1"/>
  <c r="F216" i="11"/>
  <c r="H216" i="11" s="1"/>
  <c r="F215" i="11"/>
  <c r="H215" i="11" s="1"/>
  <c r="H217" i="11" s="1"/>
  <c r="H208" i="11"/>
  <c r="F208" i="11"/>
  <c r="F207" i="11"/>
  <c r="H207" i="11" s="1"/>
  <c r="F203" i="11"/>
  <c r="H203" i="11" s="1"/>
  <c r="H202" i="11"/>
  <c r="F202" i="11"/>
  <c r="F198" i="11"/>
  <c r="H198" i="11" s="1"/>
  <c r="F197" i="11"/>
  <c r="H197" i="11" s="1"/>
  <c r="H199" i="11" s="1"/>
  <c r="F193" i="11"/>
  <c r="H193" i="11" s="1"/>
  <c r="F192" i="11"/>
  <c r="H192" i="11" s="1"/>
  <c r="F188" i="11"/>
  <c r="H188" i="11" s="1"/>
  <c r="F187" i="11"/>
  <c r="H187" i="11" s="1"/>
  <c r="H189" i="11" s="1"/>
  <c r="F183" i="11"/>
  <c r="H183" i="11" s="1"/>
  <c r="F182" i="11"/>
  <c r="H182" i="11" s="1"/>
  <c r="F178" i="11"/>
  <c r="H178" i="11" s="1"/>
  <c r="F177" i="11"/>
  <c r="H177" i="11" s="1"/>
  <c r="E173" i="11"/>
  <c r="F173" i="11" s="1"/>
  <c r="H173" i="11" s="1"/>
  <c r="E172" i="11"/>
  <c r="F172" i="11" s="1"/>
  <c r="H172" i="11" s="1"/>
  <c r="E171" i="11"/>
  <c r="F171" i="11" s="1"/>
  <c r="H171" i="11" s="1"/>
  <c r="E170" i="11"/>
  <c r="F170" i="11" s="1"/>
  <c r="H170" i="11" s="1"/>
  <c r="E169" i="11"/>
  <c r="F169" i="11" s="1"/>
  <c r="H169" i="11" s="1"/>
  <c r="F168" i="11"/>
  <c r="H168" i="11" s="1"/>
  <c r="E168" i="11"/>
  <c r="E167" i="11"/>
  <c r="F167" i="11" s="1"/>
  <c r="H167" i="11" s="1"/>
  <c r="F166" i="11"/>
  <c r="H166" i="11" s="1"/>
  <c r="E166" i="11"/>
  <c r="E165" i="11"/>
  <c r="F165" i="11" s="1"/>
  <c r="H165" i="11" s="1"/>
  <c r="E164" i="11"/>
  <c r="F164" i="11" s="1"/>
  <c r="H164" i="11" s="1"/>
  <c r="F163" i="11"/>
  <c r="H163" i="11" s="1"/>
  <c r="E163" i="11"/>
  <c r="E162" i="11"/>
  <c r="F162" i="11" s="1"/>
  <c r="H162" i="11" s="1"/>
  <c r="E161" i="11"/>
  <c r="F161" i="11" s="1"/>
  <c r="H161" i="11" s="1"/>
  <c r="F160" i="11"/>
  <c r="H160" i="11" s="1"/>
  <c r="E160" i="11"/>
  <c r="E159" i="11"/>
  <c r="F159" i="11" s="1"/>
  <c r="H159" i="11" s="1"/>
  <c r="E158" i="11"/>
  <c r="F158" i="11" s="1"/>
  <c r="H158" i="11" s="1"/>
  <c r="E157" i="11"/>
  <c r="F157" i="11" s="1"/>
  <c r="H157" i="11" s="1"/>
  <c r="E156" i="11"/>
  <c r="F156" i="11" s="1"/>
  <c r="H156" i="11" s="1"/>
  <c r="E155" i="11"/>
  <c r="F155" i="11" s="1"/>
  <c r="H155" i="11" s="1"/>
  <c r="E154" i="11"/>
  <c r="F154" i="11" s="1"/>
  <c r="H154" i="11" s="1"/>
  <c r="F153" i="11"/>
  <c r="H153" i="11" s="1"/>
  <c r="E153" i="11"/>
  <c r="H147" i="11"/>
  <c r="F147" i="11"/>
  <c r="F146" i="11"/>
  <c r="H146" i="11" s="1"/>
  <c r="F145" i="11"/>
  <c r="H145" i="11" s="1"/>
  <c r="F144" i="11"/>
  <c r="H144" i="11" s="1"/>
  <c r="F143" i="11"/>
  <c r="H143" i="11" s="1"/>
  <c r="F142" i="11"/>
  <c r="H142" i="11" s="1"/>
  <c r="H141" i="11"/>
  <c r="F141" i="11"/>
  <c r="H140" i="11"/>
  <c r="F140" i="11"/>
  <c r="F139" i="11"/>
  <c r="H139" i="11" s="1"/>
  <c r="H138" i="11"/>
  <c r="F138" i="11"/>
  <c r="F134" i="11"/>
  <c r="H134" i="11" s="1"/>
  <c r="F133" i="11"/>
  <c r="H133" i="11" s="1"/>
  <c r="F132" i="11"/>
  <c r="H132" i="11" s="1"/>
  <c r="F131" i="11"/>
  <c r="H131" i="11" s="1"/>
  <c r="F130" i="11"/>
  <c r="H130" i="11" s="1"/>
  <c r="F129" i="11"/>
  <c r="H129" i="11" s="1"/>
  <c r="F128" i="11"/>
  <c r="H128" i="11" s="1"/>
  <c r="F127" i="11"/>
  <c r="H127" i="11" s="1"/>
  <c r="H126" i="11"/>
  <c r="F126" i="11"/>
  <c r="H125" i="11"/>
  <c r="F125" i="11"/>
  <c r="H124" i="11"/>
  <c r="F124" i="11"/>
  <c r="F123" i="11"/>
  <c r="H123" i="11" s="1"/>
  <c r="F122" i="11"/>
  <c r="H122" i="11" s="1"/>
  <c r="F121" i="11"/>
  <c r="H121" i="11" s="1"/>
  <c r="F120" i="11"/>
  <c r="H120" i="11" s="1"/>
  <c r="F119" i="11"/>
  <c r="H119" i="11" s="1"/>
  <c r="F118" i="11"/>
  <c r="H118" i="11" s="1"/>
  <c r="F117" i="11"/>
  <c r="H117" i="11" s="1"/>
  <c r="F116" i="11"/>
  <c r="H116" i="11" s="1"/>
  <c r="F115" i="11"/>
  <c r="H115" i="11" s="1"/>
  <c r="F114" i="11"/>
  <c r="H114" i="11" s="1"/>
  <c r="F113" i="11"/>
  <c r="H113" i="11" s="1"/>
  <c r="F112" i="11"/>
  <c r="H112" i="11" s="1"/>
  <c r="F111" i="11"/>
  <c r="H111" i="11" s="1"/>
  <c r="H110" i="11"/>
  <c r="F110" i="11"/>
  <c r="H109" i="11"/>
  <c r="F109" i="11"/>
  <c r="F108" i="11"/>
  <c r="H108" i="11" s="1"/>
  <c r="H107" i="11"/>
  <c r="F107" i="11"/>
  <c r="F106" i="11"/>
  <c r="H106" i="11" s="1"/>
  <c r="F105" i="11"/>
  <c r="H105" i="11" s="1"/>
  <c r="F104" i="11"/>
  <c r="H104" i="11" s="1"/>
  <c r="F103" i="11"/>
  <c r="H103" i="11" s="1"/>
  <c r="F102" i="11"/>
  <c r="H102" i="11" s="1"/>
  <c r="F101" i="11"/>
  <c r="H101" i="11" s="1"/>
  <c r="F100" i="11"/>
  <c r="H100" i="11" s="1"/>
  <c r="F99" i="11"/>
  <c r="H99" i="11" s="1"/>
  <c r="F98" i="11"/>
  <c r="H98" i="11" s="1"/>
  <c r="F97" i="11"/>
  <c r="H97" i="11" s="1"/>
  <c r="F96" i="11"/>
  <c r="H96" i="11" s="1"/>
  <c r="F95" i="11"/>
  <c r="H95" i="11" s="1"/>
  <c r="H94" i="11"/>
  <c r="F94" i="11"/>
  <c r="F93" i="11"/>
  <c r="H93" i="11" s="1"/>
  <c r="F92" i="11"/>
  <c r="H92" i="11" s="1"/>
  <c r="F91" i="11"/>
  <c r="H91" i="11" s="1"/>
  <c r="F90" i="11"/>
  <c r="H90" i="11" s="1"/>
  <c r="F89" i="11"/>
  <c r="H89" i="11" s="1"/>
  <c r="F85" i="11"/>
  <c r="H85" i="11" s="1"/>
  <c r="F84" i="11"/>
  <c r="H84" i="11" s="1"/>
  <c r="F83" i="11"/>
  <c r="H83" i="11" s="1"/>
  <c r="F82" i="11"/>
  <c r="H82" i="11" s="1"/>
  <c r="H81" i="11"/>
  <c r="F81" i="11"/>
  <c r="F80" i="11"/>
  <c r="H80" i="11" s="1"/>
  <c r="F79" i="11"/>
  <c r="H79" i="11" s="1"/>
  <c r="H78" i="11"/>
  <c r="F78" i="11"/>
  <c r="F74" i="11"/>
  <c r="H74" i="11" s="1"/>
  <c r="F73" i="11"/>
  <c r="H73" i="11" s="1"/>
  <c r="F69" i="11"/>
  <c r="H69" i="11" s="1"/>
  <c r="F68" i="11"/>
  <c r="H68" i="11" s="1"/>
  <c r="H70" i="11" s="1"/>
  <c r="F64" i="11"/>
  <c r="H64" i="11" s="1"/>
  <c r="H63" i="11"/>
  <c r="H65" i="11" s="1"/>
  <c r="F63" i="11"/>
  <c r="H59" i="11"/>
  <c r="F59" i="11"/>
  <c r="F58" i="11"/>
  <c r="H58" i="11" s="1"/>
  <c r="H54" i="11"/>
  <c r="F54" i="11"/>
  <c r="F53" i="11"/>
  <c r="H53" i="11" s="1"/>
  <c r="H55" i="11" s="1"/>
  <c r="F47" i="11"/>
  <c r="H47" i="11" s="1"/>
  <c r="F46" i="11"/>
  <c r="H46" i="11" s="1"/>
  <c r="H45" i="11"/>
  <c r="F45" i="11"/>
  <c r="F44" i="11"/>
  <c r="H44" i="11" s="1"/>
  <c r="F43" i="11"/>
  <c r="H43" i="11" s="1"/>
  <c r="F42" i="11"/>
  <c r="H42" i="11" s="1"/>
  <c r="F41" i="11"/>
  <c r="H41" i="11" s="1"/>
  <c r="F40" i="11"/>
  <c r="H40" i="11" s="1"/>
  <c r="F39" i="11"/>
  <c r="H39" i="11" s="1"/>
  <c r="F35" i="11"/>
  <c r="H35" i="11" s="1"/>
  <c r="H36" i="11" s="1"/>
  <c r="F34" i="11"/>
  <c r="H34" i="11" s="1"/>
  <c r="H30" i="11"/>
  <c r="H31" i="11" s="1"/>
  <c r="F30" i="11"/>
  <c r="H29" i="11"/>
  <c r="F29" i="11"/>
  <c r="F25" i="11"/>
  <c r="H25" i="11" s="1"/>
  <c r="F24" i="11"/>
  <c r="H24" i="11" s="1"/>
  <c r="F20" i="11"/>
  <c r="H20" i="11" s="1"/>
  <c r="F19" i="11"/>
  <c r="H19" i="11" s="1"/>
  <c r="K18" i="11"/>
  <c r="H15" i="11"/>
  <c r="F15" i="11"/>
  <c r="F14" i="11"/>
  <c r="H14" i="11" s="1"/>
  <c r="F10" i="11"/>
  <c r="H10" i="11" s="1"/>
  <c r="F9" i="11"/>
  <c r="H9" i="11" s="1"/>
  <c r="F5" i="11"/>
  <c r="H5" i="11" s="1"/>
  <c r="F4" i="11"/>
  <c r="H4" i="11" s="1"/>
  <c r="H6" i="11" s="1"/>
  <c r="F1779" i="10"/>
  <c r="H1779" i="10" s="1"/>
  <c r="F1778" i="10"/>
  <c r="H1778" i="10" s="1"/>
  <c r="F1774" i="10"/>
  <c r="H1774" i="10" s="1"/>
  <c r="F1773" i="10"/>
  <c r="H1773" i="10" s="1"/>
  <c r="F1769" i="10"/>
  <c r="H1769" i="10" s="1"/>
  <c r="E1768" i="10"/>
  <c r="F1768" i="10" s="1"/>
  <c r="H1768" i="10" s="1"/>
  <c r="F1764" i="10"/>
  <c r="H1764" i="10" s="1"/>
  <c r="F1763" i="10"/>
  <c r="H1763" i="10" s="1"/>
  <c r="F1759" i="10"/>
  <c r="H1759" i="10" s="1"/>
  <c r="F1758" i="10"/>
  <c r="H1758" i="10" s="1"/>
  <c r="F1754" i="10"/>
  <c r="H1754" i="10" s="1"/>
  <c r="F1753" i="10"/>
  <c r="H1753" i="10" s="1"/>
  <c r="H1755" i="10" s="1"/>
  <c r="K13" i="10" s="1"/>
  <c r="F1749" i="10"/>
  <c r="H1749" i="10" s="1"/>
  <c r="E1748" i="10"/>
  <c r="F1748" i="10" s="1"/>
  <c r="H1748" i="10" s="1"/>
  <c r="F1742" i="10"/>
  <c r="H1742" i="10" s="1"/>
  <c r="F1741" i="10"/>
  <c r="H1741" i="10" s="1"/>
  <c r="F1740" i="10"/>
  <c r="H1740" i="10" s="1"/>
  <c r="F1739" i="10"/>
  <c r="H1739" i="10" s="1"/>
  <c r="F1738" i="10"/>
  <c r="H1738" i="10" s="1"/>
  <c r="F1737" i="10"/>
  <c r="H1737" i="10" s="1"/>
  <c r="F1733" i="10"/>
  <c r="H1733" i="10" s="1"/>
  <c r="F1732" i="10"/>
  <c r="H1732" i="10" s="1"/>
  <c r="F1731" i="10"/>
  <c r="H1731" i="10" s="1"/>
  <c r="F1730" i="10"/>
  <c r="H1730" i="10" s="1"/>
  <c r="F1729" i="10"/>
  <c r="H1729" i="10" s="1"/>
  <c r="F1728" i="10"/>
  <c r="H1728" i="10" s="1"/>
  <c r="F1727" i="10"/>
  <c r="H1727" i="10" s="1"/>
  <c r="F1726" i="10"/>
  <c r="H1726" i="10" s="1"/>
  <c r="F1722" i="10"/>
  <c r="H1722" i="10" s="1"/>
  <c r="F1721" i="10"/>
  <c r="H1721" i="10" s="1"/>
  <c r="F1720" i="10"/>
  <c r="H1720" i="10" s="1"/>
  <c r="F1719" i="10"/>
  <c r="H1719" i="10" s="1"/>
  <c r="F1718" i="10"/>
  <c r="H1718" i="10" s="1"/>
  <c r="H1714" i="10"/>
  <c r="F1714" i="10"/>
  <c r="F1713" i="10"/>
  <c r="H1713" i="10" s="1"/>
  <c r="F1712" i="10"/>
  <c r="H1712" i="10" s="1"/>
  <c r="F1711" i="10"/>
  <c r="H1711" i="10" s="1"/>
  <c r="F1710" i="10"/>
  <c r="H1710" i="10" s="1"/>
  <c r="F1709" i="10"/>
  <c r="H1709" i="10" s="1"/>
  <c r="F1708" i="10"/>
  <c r="H1708" i="10" s="1"/>
  <c r="F1707" i="10"/>
  <c r="H1707" i="10" s="1"/>
  <c r="F1706" i="10"/>
  <c r="H1706" i="10" s="1"/>
  <c r="F1705" i="10"/>
  <c r="H1705" i="10" s="1"/>
  <c r="F1704" i="10"/>
  <c r="H1704" i="10" s="1"/>
  <c r="F1703" i="10"/>
  <c r="H1703" i="10" s="1"/>
  <c r="F1702" i="10"/>
  <c r="H1702" i="10" s="1"/>
  <c r="F1701" i="10"/>
  <c r="H1701" i="10" s="1"/>
  <c r="F1700" i="10"/>
  <c r="F1696" i="10"/>
  <c r="H1696" i="10" s="1"/>
  <c r="F1695" i="10"/>
  <c r="H1695" i="10" s="1"/>
  <c r="F1694" i="10"/>
  <c r="H1694" i="10" s="1"/>
  <c r="F1693" i="10"/>
  <c r="H1693" i="10" s="1"/>
  <c r="F1692" i="10"/>
  <c r="H1692" i="10" s="1"/>
  <c r="F1691" i="10"/>
  <c r="H1691" i="10" s="1"/>
  <c r="F1687" i="10"/>
  <c r="H1687" i="10" s="1"/>
  <c r="F1686" i="10"/>
  <c r="H1686" i="10" s="1"/>
  <c r="F1685" i="10"/>
  <c r="H1685" i="10" s="1"/>
  <c r="F1684" i="10"/>
  <c r="H1684" i="10" s="1"/>
  <c r="F1683" i="10"/>
  <c r="H1683" i="10" s="1"/>
  <c r="F1679" i="10"/>
  <c r="H1679" i="10" s="1"/>
  <c r="F1678" i="10"/>
  <c r="H1678" i="10" s="1"/>
  <c r="F1677" i="10"/>
  <c r="H1677" i="10" s="1"/>
  <c r="F1676" i="10"/>
  <c r="H1676" i="10" s="1"/>
  <c r="H1675" i="10"/>
  <c r="F1675" i="10"/>
  <c r="F1671" i="10"/>
  <c r="H1671" i="10" s="1"/>
  <c r="F1670" i="10"/>
  <c r="H1670" i="10" s="1"/>
  <c r="F1669" i="10"/>
  <c r="H1669" i="10" s="1"/>
  <c r="F1668" i="10"/>
  <c r="H1668" i="10" s="1"/>
  <c r="F1667" i="10"/>
  <c r="H1667" i="10" s="1"/>
  <c r="F1661" i="10"/>
  <c r="H1661" i="10" s="1"/>
  <c r="F1660" i="10"/>
  <c r="H1660" i="10" s="1"/>
  <c r="F1659" i="10"/>
  <c r="H1659" i="10" s="1"/>
  <c r="F1658" i="10"/>
  <c r="H1658" i="10" s="1"/>
  <c r="F1657" i="10"/>
  <c r="H1657" i="10" s="1"/>
  <c r="F1656" i="10"/>
  <c r="H1656" i="10" s="1"/>
  <c r="F1652" i="10"/>
  <c r="H1652" i="10" s="1"/>
  <c r="F1651" i="10"/>
  <c r="H1651" i="10" s="1"/>
  <c r="F1650" i="10"/>
  <c r="H1650" i="10" s="1"/>
  <c r="F1649" i="10"/>
  <c r="H1649" i="10" s="1"/>
  <c r="F1648" i="10"/>
  <c r="H1648" i="10" s="1"/>
  <c r="F1647" i="10"/>
  <c r="H1647" i="10" s="1"/>
  <c r="F1646" i="10"/>
  <c r="H1646" i="10" s="1"/>
  <c r="F1645" i="10"/>
  <c r="H1645" i="10" s="1"/>
  <c r="F1641" i="10"/>
  <c r="H1641" i="10" s="1"/>
  <c r="F1640" i="10"/>
  <c r="H1640" i="10" s="1"/>
  <c r="F1639" i="10"/>
  <c r="H1639" i="10" s="1"/>
  <c r="F1638" i="10"/>
  <c r="H1638" i="10" s="1"/>
  <c r="F1637" i="10"/>
  <c r="H1637" i="10" s="1"/>
  <c r="F1633" i="10"/>
  <c r="H1633" i="10" s="1"/>
  <c r="F1632" i="10"/>
  <c r="H1632" i="10" s="1"/>
  <c r="F1631" i="10"/>
  <c r="H1631" i="10" s="1"/>
  <c r="H1630" i="10"/>
  <c r="F1630" i="10"/>
  <c r="F1629" i="10"/>
  <c r="H1629" i="10" s="1"/>
  <c r="F1628" i="10"/>
  <c r="H1628" i="10" s="1"/>
  <c r="F1627" i="10"/>
  <c r="H1627" i="10" s="1"/>
  <c r="F1626" i="10"/>
  <c r="H1626" i="10" s="1"/>
  <c r="F1625" i="10"/>
  <c r="H1625" i="10" s="1"/>
  <c r="F1624" i="10"/>
  <c r="H1624" i="10" s="1"/>
  <c r="F1623" i="10"/>
  <c r="H1623" i="10" s="1"/>
  <c r="F1622" i="10"/>
  <c r="H1622" i="10" s="1"/>
  <c r="H1621" i="10"/>
  <c r="F1621" i="10"/>
  <c r="F1620" i="10"/>
  <c r="H1620" i="10" s="1"/>
  <c r="F1619" i="10"/>
  <c r="F1615" i="10"/>
  <c r="H1615" i="10" s="1"/>
  <c r="F1614" i="10"/>
  <c r="H1614" i="10" s="1"/>
  <c r="F1613" i="10"/>
  <c r="H1613" i="10" s="1"/>
  <c r="F1612" i="10"/>
  <c r="H1612" i="10" s="1"/>
  <c r="F1611" i="10"/>
  <c r="H1611" i="10" s="1"/>
  <c r="F1610" i="10"/>
  <c r="H1610" i="10" s="1"/>
  <c r="F1606" i="10"/>
  <c r="H1606" i="10" s="1"/>
  <c r="F1605" i="10"/>
  <c r="H1605" i="10" s="1"/>
  <c r="F1604" i="10"/>
  <c r="H1604" i="10" s="1"/>
  <c r="F1603" i="10"/>
  <c r="H1603" i="10" s="1"/>
  <c r="F1602" i="10"/>
  <c r="H1602" i="10" s="1"/>
  <c r="F1598" i="10"/>
  <c r="H1598" i="10" s="1"/>
  <c r="F1597" i="10"/>
  <c r="H1597" i="10" s="1"/>
  <c r="F1596" i="10"/>
  <c r="H1596" i="10" s="1"/>
  <c r="F1595" i="10"/>
  <c r="H1595" i="10" s="1"/>
  <c r="F1594" i="10"/>
  <c r="H1594" i="10" s="1"/>
  <c r="F1590" i="10"/>
  <c r="H1590" i="10" s="1"/>
  <c r="F1589" i="10"/>
  <c r="H1589" i="10" s="1"/>
  <c r="F1588" i="10"/>
  <c r="H1588" i="10" s="1"/>
  <c r="H1587" i="10"/>
  <c r="F1587" i="10"/>
  <c r="F1586" i="10"/>
  <c r="H1586" i="10" s="1"/>
  <c r="F1580" i="10"/>
  <c r="H1580" i="10" s="1"/>
  <c r="H1579" i="10"/>
  <c r="F1579" i="10"/>
  <c r="H1578" i="10"/>
  <c r="F1578" i="10"/>
  <c r="F1577" i="10"/>
  <c r="H1577" i="10" s="1"/>
  <c r="F1576" i="10"/>
  <c r="H1576" i="10" s="1"/>
  <c r="H1575" i="10"/>
  <c r="F1575" i="10"/>
  <c r="F1574" i="10"/>
  <c r="H1574" i="10" s="1"/>
  <c r="F1573" i="10"/>
  <c r="H1573" i="10" s="1"/>
  <c r="F1572" i="10"/>
  <c r="H1572" i="10" s="1"/>
  <c r="F1571" i="10"/>
  <c r="H1571" i="10" s="1"/>
  <c r="H1567" i="10"/>
  <c r="F1567" i="10"/>
  <c r="F1566" i="10"/>
  <c r="H1566" i="10" s="1"/>
  <c r="F1565" i="10"/>
  <c r="H1565" i="10" s="1"/>
  <c r="F1564" i="10"/>
  <c r="H1564" i="10" s="1"/>
  <c r="H1563" i="10"/>
  <c r="F1563" i="10"/>
  <c r="F1562" i="10"/>
  <c r="H1562" i="10" s="1"/>
  <c r="F1561" i="10"/>
  <c r="H1561" i="10" s="1"/>
  <c r="F1560" i="10"/>
  <c r="H1560" i="10" s="1"/>
  <c r="F1559" i="10"/>
  <c r="H1559" i="10" s="1"/>
  <c r="F1558" i="10"/>
  <c r="H1558" i="10" s="1"/>
  <c r="F1554" i="10"/>
  <c r="H1554" i="10" s="1"/>
  <c r="F1553" i="10"/>
  <c r="H1553" i="10" s="1"/>
  <c r="F1552" i="10"/>
  <c r="H1552" i="10" s="1"/>
  <c r="F1551" i="10"/>
  <c r="H1551" i="10" s="1"/>
  <c r="F1550" i="10"/>
  <c r="H1550" i="10" s="1"/>
  <c r="H1555" i="10" s="1"/>
  <c r="F1546" i="10"/>
  <c r="H1546" i="10" s="1"/>
  <c r="F1545" i="10"/>
  <c r="H1545" i="10" s="1"/>
  <c r="H1544" i="10"/>
  <c r="F1544" i="10"/>
  <c r="F1543" i="10"/>
  <c r="H1543" i="10" s="1"/>
  <c r="F1542" i="10"/>
  <c r="H1542" i="10" s="1"/>
  <c r="F1541" i="10"/>
  <c r="H1541" i="10" s="1"/>
  <c r="F1540" i="10"/>
  <c r="H1540" i="10" s="1"/>
  <c r="F1539" i="10"/>
  <c r="H1539" i="10" s="1"/>
  <c r="F1538" i="10"/>
  <c r="H1538" i="10" s="1"/>
  <c r="F1537" i="10"/>
  <c r="H1537" i="10" s="1"/>
  <c r="H1536" i="10"/>
  <c r="F1536" i="10"/>
  <c r="F1535" i="10"/>
  <c r="F1534" i="10"/>
  <c r="H1534" i="10" s="1"/>
  <c r="F1533" i="10"/>
  <c r="H1533" i="10" s="1"/>
  <c r="F1529" i="10"/>
  <c r="H1529" i="10" s="1"/>
  <c r="F1528" i="10"/>
  <c r="H1528" i="10" s="1"/>
  <c r="F1527" i="10"/>
  <c r="H1527" i="10" s="1"/>
  <c r="F1526" i="10"/>
  <c r="H1526" i="10" s="1"/>
  <c r="F1525" i="10"/>
  <c r="H1525" i="10" s="1"/>
  <c r="F1521" i="10"/>
  <c r="H1521" i="10" s="1"/>
  <c r="F1520" i="10"/>
  <c r="H1520" i="10" s="1"/>
  <c r="F1519" i="10"/>
  <c r="H1519" i="10" s="1"/>
  <c r="F1518" i="10"/>
  <c r="H1518" i="10" s="1"/>
  <c r="F1517" i="10"/>
  <c r="H1517" i="10" s="1"/>
  <c r="F1513" i="10"/>
  <c r="H1513" i="10" s="1"/>
  <c r="F1512" i="10"/>
  <c r="H1512" i="10" s="1"/>
  <c r="F1511" i="10"/>
  <c r="H1511" i="10" s="1"/>
  <c r="F1510" i="10"/>
  <c r="H1510" i="10" s="1"/>
  <c r="F1509" i="10"/>
  <c r="H1509" i="10" s="1"/>
  <c r="F1505" i="10"/>
  <c r="H1505" i="10" s="1"/>
  <c r="F1504" i="10"/>
  <c r="H1504" i="10" s="1"/>
  <c r="F1503" i="10"/>
  <c r="H1503" i="10" s="1"/>
  <c r="F1502" i="10"/>
  <c r="H1502" i="10" s="1"/>
  <c r="F1501" i="10"/>
  <c r="H1501" i="10" s="1"/>
  <c r="F1494" i="10"/>
  <c r="H1494" i="10" s="1"/>
  <c r="F1493" i="10"/>
  <c r="H1493" i="10" s="1"/>
  <c r="F1492" i="10"/>
  <c r="H1492" i="10" s="1"/>
  <c r="F1491" i="10"/>
  <c r="H1491" i="10" s="1"/>
  <c r="F1490" i="10"/>
  <c r="H1490" i="10" s="1"/>
  <c r="H1489" i="10"/>
  <c r="F1489" i="10"/>
  <c r="F1488" i="10"/>
  <c r="H1488" i="10" s="1"/>
  <c r="F1487" i="10"/>
  <c r="H1487" i="10" s="1"/>
  <c r="F1486" i="10"/>
  <c r="H1486" i="10" s="1"/>
  <c r="F1482" i="10"/>
  <c r="H1482" i="10" s="1"/>
  <c r="F1481" i="10"/>
  <c r="H1481" i="10" s="1"/>
  <c r="F1480" i="10"/>
  <c r="H1480" i="10" s="1"/>
  <c r="F1479" i="10"/>
  <c r="H1479" i="10" s="1"/>
  <c r="H1478" i="10"/>
  <c r="F1478" i="10"/>
  <c r="F1477" i="10"/>
  <c r="H1477" i="10" s="1"/>
  <c r="F1476" i="10"/>
  <c r="H1476" i="10" s="1"/>
  <c r="F1472" i="10"/>
  <c r="H1472" i="10" s="1"/>
  <c r="F1471" i="10"/>
  <c r="H1471" i="10" s="1"/>
  <c r="F1470" i="10"/>
  <c r="H1470" i="10" s="1"/>
  <c r="F1469" i="10"/>
  <c r="H1469" i="10" s="1"/>
  <c r="F1468" i="10"/>
  <c r="H1468" i="10" s="1"/>
  <c r="F1464" i="10"/>
  <c r="H1464" i="10" s="1"/>
  <c r="F1463" i="10"/>
  <c r="H1463" i="10" s="1"/>
  <c r="F1462" i="10"/>
  <c r="H1462" i="10" s="1"/>
  <c r="F1461" i="10"/>
  <c r="H1461" i="10" s="1"/>
  <c r="F1460" i="10"/>
  <c r="H1460" i="10" s="1"/>
  <c r="F1459" i="10"/>
  <c r="H1459" i="10" s="1"/>
  <c r="F1458" i="10"/>
  <c r="H1458" i="10" s="1"/>
  <c r="F1457" i="10"/>
  <c r="H1457" i="10" s="1"/>
  <c r="F1456" i="10"/>
  <c r="H1456" i="10" s="1"/>
  <c r="F1455" i="10"/>
  <c r="H1455" i="10" s="1"/>
  <c r="F1454" i="10"/>
  <c r="H1454" i="10" s="1"/>
  <c r="F1453" i="10"/>
  <c r="H1453" i="10" s="1"/>
  <c r="F1452" i="10"/>
  <c r="H1452" i="10" s="1"/>
  <c r="F1451" i="10"/>
  <c r="F1447" i="10"/>
  <c r="H1447" i="10" s="1"/>
  <c r="F1446" i="10"/>
  <c r="H1446" i="10" s="1"/>
  <c r="F1445" i="10"/>
  <c r="H1445" i="10" s="1"/>
  <c r="F1444" i="10"/>
  <c r="H1444" i="10" s="1"/>
  <c r="F1443" i="10"/>
  <c r="H1443" i="10" s="1"/>
  <c r="F1439" i="10"/>
  <c r="H1439" i="10" s="1"/>
  <c r="F1438" i="10"/>
  <c r="H1438" i="10" s="1"/>
  <c r="F1437" i="10"/>
  <c r="H1437" i="10" s="1"/>
  <c r="F1436" i="10"/>
  <c r="H1436" i="10" s="1"/>
  <c r="F1435" i="10"/>
  <c r="H1435" i="10" s="1"/>
  <c r="F1431" i="10"/>
  <c r="H1431" i="10" s="1"/>
  <c r="F1430" i="10"/>
  <c r="H1430" i="10" s="1"/>
  <c r="F1429" i="10"/>
  <c r="H1429" i="10" s="1"/>
  <c r="F1428" i="10"/>
  <c r="H1428" i="10" s="1"/>
  <c r="F1427" i="10"/>
  <c r="H1427" i="10" s="1"/>
  <c r="F1423" i="10"/>
  <c r="H1423" i="10" s="1"/>
  <c r="F1422" i="10"/>
  <c r="H1422" i="10" s="1"/>
  <c r="F1421" i="10"/>
  <c r="H1421" i="10" s="1"/>
  <c r="F1420" i="10"/>
  <c r="H1420" i="10" s="1"/>
  <c r="F1419" i="10"/>
  <c r="H1419" i="10" s="1"/>
  <c r="F1413" i="10"/>
  <c r="H1413" i="10" s="1"/>
  <c r="F1412" i="10"/>
  <c r="H1412" i="10" s="1"/>
  <c r="H1414" i="10" s="1"/>
  <c r="F1408" i="10"/>
  <c r="H1408" i="10" s="1"/>
  <c r="F1407" i="10"/>
  <c r="H1407" i="10" s="1"/>
  <c r="F1403" i="10"/>
  <c r="H1403" i="10" s="1"/>
  <c r="F1402" i="10"/>
  <c r="H1402" i="10" s="1"/>
  <c r="F1398" i="10"/>
  <c r="H1398" i="10" s="1"/>
  <c r="F1397" i="10"/>
  <c r="H1397" i="10" s="1"/>
  <c r="F1396" i="10"/>
  <c r="H1396" i="10" s="1"/>
  <c r="F1395" i="10"/>
  <c r="H1395" i="10" s="1"/>
  <c r="F1394" i="10"/>
  <c r="H1394" i="10" s="1"/>
  <c r="F1393" i="10"/>
  <c r="H1393" i="10" s="1"/>
  <c r="F1392" i="10"/>
  <c r="H1392" i="10" s="1"/>
  <c r="F1391" i="10"/>
  <c r="H1391" i="10" s="1"/>
  <c r="F1390" i="10"/>
  <c r="H1390" i="10" s="1"/>
  <c r="H1389" i="10"/>
  <c r="F1389" i="10"/>
  <c r="F1388" i="10"/>
  <c r="H1388" i="10" s="1"/>
  <c r="F1387" i="10"/>
  <c r="H1387" i="10" s="1"/>
  <c r="F1386" i="10"/>
  <c r="H1386" i="10" s="1"/>
  <c r="F1385" i="10"/>
  <c r="F1381" i="10"/>
  <c r="H1381" i="10" s="1"/>
  <c r="F1380" i="10"/>
  <c r="H1380" i="10" s="1"/>
  <c r="H1376" i="10"/>
  <c r="F1376" i="10"/>
  <c r="F1375" i="10"/>
  <c r="H1375" i="10" s="1"/>
  <c r="F1371" i="10"/>
  <c r="H1371" i="10" s="1"/>
  <c r="F1370" i="10"/>
  <c r="H1370" i="10" s="1"/>
  <c r="F1366" i="10"/>
  <c r="H1366" i="10" s="1"/>
  <c r="F1365" i="10"/>
  <c r="H1365" i="10" s="1"/>
  <c r="F1359" i="10"/>
  <c r="H1359" i="10" s="1"/>
  <c r="F1358" i="10"/>
  <c r="H1358" i="10" s="1"/>
  <c r="H1360" i="10" s="1"/>
  <c r="F1354" i="10"/>
  <c r="H1354" i="10" s="1"/>
  <c r="F1353" i="10"/>
  <c r="H1353" i="10" s="1"/>
  <c r="F1352" i="10"/>
  <c r="H1352" i="10" s="1"/>
  <c r="H1351" i="10"/>
  <c r="F1351" i="10"/>
  <c r="F1350" i="10"/>
  <c r="H1350" i="10" s="1"/>
  <c r="F1349" i="10"/>
  <c r="H1349" i="10" s="1"/>
  <c r="F1348" i="10"/>
  <c r="H1348" i="10" s="1"/>
  <c r="F1347" i="10"/>
  <c r="H1347" i="10" s="1"/>
  <c r="F1346" i="10"/>
  <c r="H1346" i="10" s="1"/>
  <c r="F1345" i="10"/>
  <c r="H1345" i="10" s="1"/>
  <c r="F1344" i="10"/>
  <c r="H1344" i="10" s="1"/>
  <c r="F1343" i="10"/>
  <c r="H1343" i="10" s="1"/>
  <c r="F1342" i="10"/>
  <c r="H1342" i="10" s="1"/>
  <c r="F1341" i="10"/>
  <c r="H1341" i="10" s="1"/>
  <c r="F1340" i="10"/>
  <c r="H1340" i="10" s="1"/>
  <c r="F1339" i="10"/>
  <c r="H1339" i="10" s="1"/>
  <c r="F1338" i="10"/>
  <c r="H1338" i="10" s="1"/>
  <c r="F1337" i="10"/>
  <c r="H1337" i="10" s="1"/>
  <c r="F1336" i="10"/>
  <c r="H1336" i="10" s="1"/>
  <c r="F1335" i="10"/>
  <c r="H1335" i="10" s="1"/>
  <c r="F1334" i="10"/>
  <c r="H1334" i="10" s="1"/>
  <c r="F1333" i="10"/>
  <c r="H1333" i="10" s="1"/>
  <c r="F1332" i="10"/>
  <c r="H1332" i="10" s="1"/>
  <c r="F1331" i="10"/>
  <c r="H1331" i="10" s="1"/>
  <c r="F1330" i="10"/>
  <c r="H1330" i="10" s="1"/>
  <c r="F1329" i="10"/>
  <c r="H1329" i="10" s="1"/>
  <c r="F1328" i="10"/>
  <c r="H1328" i="10" s="1"/>
  <c r="F1327" i="10"/>
  <c r="H1327" i="10" s="1"/>
  <c r="F1326" i="10"/>
  <c r="H1326" i="10" s="1"/>
  <c r="F1325" i="10"/>
  <c r="H1325" i="10" s="1"/>
  <c r="F1324" i="10"/>
  <c r="H1324" i="10" s="1"/>
  <c r="F1323" i="10"/>
  <c r="H1323" i="10" s="1"/>
  <c r="F1322" i="10"/>
  <c r="H1322" i="10" s="1"/>
  <c r="F1321" i="10"/>
  <c r="H1321" i="10" s="1"/>
  <c r="F1320" i="10"/>
  <c r="H1320" i="10" s="1"/>
  <c r="F1319" i="10"/>
  <c r="H1319" i="10" s="1"/>
  <c r="F1318" i="10"/>
  <c r="H1318" i="10" s="1"/>
  <c r="F1317" i="10"/>
  <c r="H1317" i="10" s="1"/>
  <c r="F1316" i="10"/>
  <c r="H1316" i="10" s="1"/>
  <c r="F1315" i="10"/>
  <c r="H1315" i="10" s="1"/>
  <c r="F1314" i="10"/>
  <c r="H1314" i="10" s="1"/>
  <c r="F1313" i="10"/>
  <c r="H1313" i="10" s="1"/>
  <c r="F1312" i="10"/>
  <c r="H1312" i="10" s="1"/>
  <c r="F1311" i="10"/>
  <c r="H1311" i="10" s="1"/>
  <c r="F1307" i="10"/>
  <c r="H1307" i="10" s="1"/>
  <c r="F1306" i="10"/>
  <c r="H1306" i="10" s="1"/>
  <c r="F1305" i="10"/>
  <c r="H1305" i="10" s="1"/>
  <c r="F1304" i="10"/>
  <c r="H1304" i="10" s="1"/>
  <c r="H1303" i="10"/>
  <c r="F1303" i="10"/>
  <c r="F1302" i="10"/>
  <c r="H1302" i="10" s="1"/>
  <c r="F1301" i="10"/>
  <c r="H1301" i="10" s="1"/>
  <c r="F1300" i="10"/>
  <c r="H1300" i="10" s="1"/>
  <c r="F1299" i="10"/>
  <c r="H1299" i="10" s="1"/>
  <c r="F1298" i="10"/>
  <c r="H1298" i="10" s="1"/>
  <c r="F1297" i="10"/>
  <c r="H1297" i="10" s="1"/>
  <c r="F1293" i="10"/>
  <c r="H1293" i="10" s="1"/>
  <c r="F1292" i="10"/>
  <c r="H1292" i="10" s="1"/>
  <c r="H1294" i="10" s="1"/>
  <c r="F1288" i="10"/>
  <c r="H1288" i="10" s="1"/>
  <c r="F1287" i="10"/>
  <c r="H1287" i="10" s="1"/>
  <c r="F1283" i="10"/>
  <c r="H1283" i="10" s="1"/>
  <c r="F1282" i="10"/>
  <c r="H1282" i="10" s="1"/>
  <c r="H1284" i="10" s="1"/>
  <c r="F1278" i="10"/>
  <c r="H1278" i="10" s="1"/>
  <c r="F1277" i="10"/>
  <c r="H1277" i="10" s="1"/>
  <c r="F1273" i="10"/>
  <c r="H1273" i="10" s="1"/>
  <c r="F1272" i="10"/>
  <c r="H1272" i="10" s="1"/>
  <c r="F1266" i="10"/>
  <c r="H1266" i="10" s="1"/>
  <c r="F1265" i="10"/>
  <c r="H1265" i="10" s="1"/>
  <c r="F1264" i="10"/>
  <c r="H1264" i="10" s="1"/>
  <c r="F1263" i="10"/>
  <c r="H1263" i="10" s="1"/>
  <c r="F1262" i="10"/>
  <c r="H1262" i="10" s="1"/>
  <c r="F1261" i="10"/>
  <c r="H1261" i="10" s="1"/>
  <c r="F1260" i="10"/>
  <c r="H1260" i="10" s="1"/>
  <c r="F1259" i="10"/>
  <c r="H1259" i="10" s="1"/>
  <c r="F1258" i="10"/>
  <c r="H1258" i="10" s="1"/>
  <c r="F1257" i="10"/>
  <c r="H1257" i="10" s="1"/>
  <c r="F1253" i="10"/>
  <c r="H1253" i="10" s="1"/>
  <c r="F1252" i="10"/>
  <c r="H1252" i="10" s="1"/>
  <c r="H1254" i="10" s="1"/>
  <c r="H1248" i="10"/>
  <c r="F1248" i="10"/>
  <c r="F1247" i="10"/>
  <c r="H1247" i="10" s="1"/>
  <c r="F1243" i="10"/>
  <c r="H1243" i="10" s="1"/>
  <c r="F1242" i="10"/>
  <c r="H1242" i="10" s="1"/>
  <c r="F1238" i="10"/>
  <c r="H1238" i="10" s="1"/>
  <c r="F1237" i="10"/>
  <c r="H1237" i="10" s="1"/>
  <c r="F1233" i="10"/>
  <c r="H1233" i="10" s="1"/>
  <c r="F1232" i="10"/>
  <c r="H1232" i="10" s="1"/>
  <c r="H1234" i="10" s="1"/>
  <c r="F1228" i="10"/>
  <c r="H1228" i="10" s="1"/>
  <c r="F1227" i="10"/>
  <c r="H1227" i="10" s="1"/>
  <c r="F1223" i="10"/>
  <c r="H1223" i="10" s="1"/>
  <c r="F1222" i="10"/>
  <c r="H1222" i="10" s="1"/>
  <c r="F1215" i="10"/>
  <c r="H1215" i="10" s="1"/>
  <c r="F1214" i="10"/>
  <c r="H1214" i="10" s="1"/>
  <c r="F1213" i="10"/>
  <c r="H1213" i="10" s="1"/>
  <c r="F1212" i="10"/>
  <c r="H1212" i="10" s="1"/>
  <c r="F1211" i="10"/>
  <c r="H1211" i="10" s="1"/>
  <c r="F1210" i="10"/>
  <c r="H1210" i="10" s="1"/>
  <c r="F1209" i="10"/>
  <c r="H1209" i="10" s="1"/>
  <c r="F1205" i="10"/>
  <c r="H1205" i="10" s="1"/>
  <c r="F1204" i="10"/>
  <c r="H1204" i="10" s="1"/>
  <c r="F1203" i="10"/>
  <c r="H1203" i="10" s="1"/>
  <c r="F1202" i="10"/>
  <c r="H1202" i="10" s="1"/>
  <c r="F1201" i="10"/>
  <c r="H1201" i="10" s="1"/>
  <c r="H1200" i="10"/>
  <c r="F1200" i="10"/>
  <c r="F1199" i="10"/>
  <c r="H1199" i="10" s="1"/>
  <c r="F1198" i="10"/>
  <c r="H1198" i="10" s="1"/>
  <c r="F1194" i="10"/>
  <c r="H1194" i="10" s="1"/>
  <c r="F1193" i="10"/>
  <c r="H1193" i="10" s="1"/>
  <c r="F1192" i="10"/>
  <c r="H1192" i="10" s="1"/>
  <c r="F1191" i="10"/>
  <c r="H1191" i="10" s="1"/>
  <c r="F1190" i="10"/>
  <c r="H1190" i="10" s="1"/>
  <c r="F1186" i="10"/>
  <c r="H1186" i="10" s="1"/>
  <c r="F1185" i="10"/>
  <c r="H1185" i="10" s="1"/>
  <c r="F1184" i="10"/>
  <c r="H1184" i="10" s="1"/>
  <c r="F1183" i="10"/>
  <c r="H1183" i="10" s="1"/>
  <c r="F1182" i="10"/>
  <c r="H1182" i="10" s="1"/>
  <c r="F1181" i="10"/>
  <c r="H1181" i="10" s="1"/>
  <c r="F1180" i="10"/>
  <c r="H1180" i="10" s="1"/>
  <c r="F1179" i="10"/>
  <c r="H1179" i="10" s="1"/>
  <c r="F1178" i="10"/>
  <c r="H1178" i="10" s="1"/>
  <c r="F1177" i="10"/>
  <c r="H1177" i="10" s="1"/>
  <c r="F1176" i="10"/>
  <c r="H1176" i="10" s="1"/>
  <c r="F1175" i="10"/>
  <c r="H1175" i="10" s="1"/>
  <c r="F1174" i="10"/>
  <c r="F1173" i="10"/>
  <c r="H1173" i="10" s="1"/>
  <c r="F1172" i="10"/>
  <c r="H1172" i="10" s="1"/>
  <c r="F1168" i="10"/>
  <c r="H1168" i="10" s="1"/>
  <c r="F1167" i="10"/>
  <c r="H1167" i="10" s="1"/>
  <c r="F1166" i="10"/>
  <c r="H1166" i="10" s="1"/>
  <c r="F1165" i="10"/>
  <c r="H1165" i="10" s="1"/>
  <c r="F1164" i="10"/>
  <c r="H1164" i="10" s="1"/>
  <c r="F1163" i="10"/>
  <c r="H1163" i="10" s="1"/>
  <c r="F1159" i="10"/>
  <c r="H1159" i="10" s="1"/>
  <c r="F1158" i="10"/>
  <c r="H1158" i="10" s="1"/>
  <c r="F1157" i="10"/>
  <c r="H1157" i="10" s="1"/>
  <c r="F1156" i="10"/>
  <c r="H1156" i="10" s="1"/>
  <c r="F1155" i="10"/>
  <c r="H1155" i="10" s="1"/>
  <c r="F1151" i="10"/>
  <c r="H1151" i="10" s="1"/>
  <c r="H1150" i="10"/>
  <c r="F1150" i="10"/>
  <c r="F1149" i="10"/>
  <c r="H1149" i="10" s="1"/>
  <c r="F1148" i="10"/>
  <c r="H1148" i="10" s="1"/>
  <c r="F1147" i="10"/>
  <c r="H1147" i="10" s="1"/>
  <c r="F1143" i="10"/>
  <c r="H1143" i="10" s="1"/>
  <c r="F1142" i="10"/>
  <c r="H1142" i="10" s="1"/>
  <c r="F1141" i="10"/>
  <c r="H1141" i="10" s="1"/>
  <c r="F1140" i="10"/>
  <c r="H1140" i="10" s="1"/>
  <c r="F1139" i="10"/>
  <c r="H1139" i="10" s="1"/>
  <c r="F1133" i="10"/>
  <c r="H1133" i="10" s="1"/>
  <c r="F1132" i="10"/>
  <c r="H1132" i="10" s="1"/>
  <c r="F1131" i="10"/>
  <c r="H1131" i="10" s="1"/>
  <c r="F1130" i="10"/>
  <c r="H1130" i="10" s="1"/>
  <c r="F1129" i="10"/>
  <c r="H1129" i="10" s="1"/>
  <c r="F1128" i="10"/>
  <c r="H1128" i="10" s="1"/>
  <c r="F1127" i="10"/>
  <c r="H1127" i="10" s="1"/>
  <c r="F1126" i="10"/>
  <c r="H1126" i="10" s="1"/>
  <c r="F1125" i="10"/>
  <c r="H1125" i="10" s="1"/>
  <c r="H1124" i="10"/>
  <c r="F1124" i="10"/>
  <c r="F1123" i="10"/>
  <c r="H1123" i="10" s="1"/>
  <c r="F1119" i="10"/>
  <c r="H1119" i="10" s="1"/>
  <c r="F1118" i="10"/>
  <c r="H1118" i="10" s="1"/>
  <c r="F1117" i="10"/>
  <c r="H1117" i="10" s="1"/>
  <c r="F1116" i="10"/>
  <c r="H1116" i="10" s="1"/>
  <c r="F1115" i="10"/>
  <c r="H1115" i="10" s="1"/>
  <c r="F1114" i="10"/>
  <c r="H1114" i="10" s="1"/>
  <c r="F1113" i="10"/>
  <c r="H1113" i="10" s="1"/>
  <c r="F1112" i="10"/>
  <c r="H1112" i="10" s="1"/>
  <c r="F1108" i="10"/>
  <c r="H1108" i="10" s="1"/>
  <c r="F1107" i="10"/>
  <c r="H1107" i="10" s="1"/>
  <c r="F1106" i="10"/>
  <c r="H1106" i="10" s="1"/>
  <c r="F1105" i="10"/>
  <c r="H1105" i="10" s="1"/>
  <c r="F1104" i="10"/>
  <c r="H1104" i="10" s="1"/>
  <c r="F1100" i="10"/>
  <c r="H1100" i="10" s="1"/>
  <c r="F1099" i="10"/>
  <c r="H1099" i="10" s="1"/>
  <c r="F1098" i="10"/>
  <c r="H1098" i="10" s="1"/>
  <c r="F1097" i="10"/>
  <c r="H1097" i="10" s="1"/>
  <c r="F1096" i="10"/>
  <c r="H1096" i="10" s="1"/>
  <c r="F1095" i="10"/>
  <c r="H1095" i="10" s="1"/>
  <c r="F1094" i="10"/>
  <c r="H1094" i="10" s="1"/>
  <c r="F1093" i="10"/>
  <c r="H1093" i="10" s="1"/>
  <c r="F1092" i="10"/>
  <c r="H1092" i="10" s="1"/>
  <c r="F1091" i="10"/>
  <c r="H1091" i="10" s="1"/>
  <c r="F1090" i="10"/>
  <c r="H1090" i="10" s="1"/>
  <c r="F1089" i="10"/>
  <c r="H1089" i="10" s="1"/>
  <c r="F1088" i="10"/>
  <c r="H1088" i="10" s="1"/>
  <c r="H1087" i="10"/>
  <c r="F1087" i="10"/>
  <c r="F1086" i="10"/>
  <c r="H1086" i="10" s="1"/>
  <c r="F1085" i="10"/>
  <c r="F1081" i="10"/>
  <c r="H1081" i="10" s="1"/>
  <c r="F1080" i="10"/>
  <c r="H1080" i="10" s="1"/>
  <c r="F1079" i="10"/>
  <c r="H1079" i="10" s="1"/>
  <c r="H1078" i="10"/>
  <c r="F1078" i="10"/>
  <c r="F1077" i="10"/>
  <c r="H1077" i="10" s="1"/>
  <c r="F1073" i="10"/>
  <c r="H1073" i="10" s="1"/>
  <c r="F1072" i="10"/>
  <c r="H1072" i="10" s="1"/>
  <c r="F1071" i="10"/>
  <c r="H1071" i="10" s="1"/>
  <c r="F1070" i="10"/>
  <c r="H1070" i="10" s="1"/>
  <c r="F1069" i="10"/>
  <c r="H1069" i="10" s="1"/>
  <c r="F1065" i="10"/>
  <c r="H1065" i="10" s="1"/>
  <c r="F1064" i="10"/>
  <c r="H1064" i="10" s="1"/>
  <c r="F1063" i="10"/>
  <c r="H1063" i="10" s="1"/>
  <c r="F1062" i="10"/>
  <c r="H1062" i="10" s="1"/>
  <c r="H1061" i="10"/>
  <c r="F1061" i="10"/>
  <c r="F1057" i="10"/>
  <c r="H1057" i="10" s="1"/>
  <c r="F1056" i="10"/>
  <c r="H1056" i="10" s="1"/>
  <c r="F1055" i="10"/>
  <c r="H1055" i="10" s="1"/>
  <c r="F1054" i="10"/>
  <c r="H1054" i="10" s="1"/>
  <c r="F1053" i="10"/>
  <c r="H1053" i="10" s="1"/>
  <c r="F1052" i="10"/>
  <c r="H1052" i="10" s="1"/>
  <c r="F1051" i="10"/>
  <c r="H1051" i="10" s="1"/>
  <c r="F1050" i="10"/>
  <c r="H1050" i="10" s="1"/>
  <c r="F1044" i="10"/>
  <c r="H1044" i="10" s="1"/>
  <c r="F1043" i="10"/>
  <c r="H1043" i="10" s="1"/>
  <c r="F1042" i="10"/>
  <c r="H1042" i="10" s="1"/>
  <c r="F1041" i="10"/>
  <c r="H1041" i="10" s="1"/>
  <c r="F1040" i="10"/>
  <c r="H1040" i="10" s="1"/>
  <c r="F1039" i="10"/>
  <c r="H1039" i="10" s="1"/>
  <c r="F1038" i="10"/>
  <c r="H1038" i="10" s="1"/>
  <c r="F1037" i="10"/>
  <c r="H1037" i="10" s="1"/>
  <c r="F1036" i="10"/>
  <c r="H1036" i="10" s="1"/>
  <c r="F1035" i="10"/>
  <c r="H1035" i="10" s="1"/>
  <c r="F1031" i="10"/>
  <c r="H1031" i="10" s="1"/>
  <c r="F1030" i="10"/>
  <c r="H1030" i="10" s="1"/>
  <c r="F1029" i="10"/>
  <c r="H1029" i="10" s="1"/>
  <c r="H1028" i="10"/>
  <c r="F1028" i="10"/>
  <c r="F1027" i="10"/>
  <c r="H1027" i="10" s="1"/>
  <c r="F1026" i="10"/>
  <c r="H1026" i="10" s="1"/>
  <c r="F1025" i="10"/>
  <c r="H1025" i="10" s="1"/>
  <c r="F1024" i="10"/>
  <c r="H1024" i="10" s="1"/>
  <c r="F1023" i="10"/>
  <c r="H1023" i="10" s="1"/>
  <c r="F1019" i="10"/>
  <c r="H1019" i="10" s="1"/>
  <c r="F1018" i="10"/>
  <c r="H1018" i="10" s="1"/>
  <c r="H1020" i="10" s="1"/>
  <c r="F1017" i="10"/>
  <c r="H1017" i="10" s="1"/>
  <c r="F1016" i="10"/>
  <c r="H1016" i="10" s="1"/>
  <c r="F1015" i="10"/>
  <c r="H1015" i="10" s="1"/>
  <c r="F1011" i="10"/>
  <c r="H1011" i="10" s="1"/>
  <c r="F1010" i="10"/>
  <c r="H1010" i="10" s="1"/>
  <c r="F1009" i="10"/>
  <c r="H1009" i="10" s="1"/>
  <c r="H1008" i="10"/>
  <c r="F1008" i="10"/>
  <c r="F1007" i="10"/>
  <c r="H1007" i="10" s="1"/>
  <c r="F1006" i="10"/>
  <c r="H1006" i="10" s="1"/>
  <c r="F1005" i="10"/>
  <c r="H1005" i="10" s="1"/>
  <c r="F1004" i="10"/>
  <c r="H1004" i="10" s="1"/>
  <c r="F1003" i="10"/>
  <c r="H1003" i="10" s="1"/>
  <c r="F1002" i="10"/>
  <c r="H1002" i="10" s="1"/>
  <c r="F1001" i="10"/>
  <c r="H1001" i="10" s="1"/>
  <c r="F1000" i="10"/>
  <c r="F996" i="10"/>
  <c r="H996" i="10" s="1"/>
  <c r="F995" i="10"/>
  <c r="H995" i="10" s="1"/>
  <c r="F994" i="10"/>
  <c r="H994" i="10" s="1"/>
  <c r="F993" i="10"/>
  <c r="H993" i="10" s="1"/>
  <c r="F992" i="10"/>
  <c r="H992" i="10" s="1"/>
  <c r="F991" i="10"/>
  <c r="H991" i="10" s="1"/>
  <c r="F990" i="10"/>
  <c r="H990" i="10" s="1"/>
  <c r="F989" i="10"/>
  <c r="H989" i="10" s="1"/>
  <c r="F988" i="10"/>
  <c r="H988" i="10" s="1"/>
  <c r="H987" i="10"/>
  <c r="F987" i="10"/>
  <c r="F986" i="10"/>
  <c r="H986" i="10" s="1"/>
  <c r="F985" i="10"/>
  <c r="H985" i="10" s="1"/>
  <c r="F981" i="10"/>
  <c r="H981" i="10" s="1"/>
  <c r="H982" i="10" s="1"/>
  <c r="F976" i="10"/>
  <c r="H976" i="10" s="1"/>
  <c r="F972" i="10"/>
  <c r="H972" i="10" s="1"/>
  <c r="H973" i="10" s="1"/>
  <c r="F968" i="10"/>
  <c r="H968" i="10" s="1"/>
  <c r="F964" i="10"/>
  <c r="H964" i="10" s="1"/>
  <c r="F963" i="10"/>
  <c r="H963" i="10" s="1"/>
  <c r="F962" i="10"/>
  <c r="H962" i="10" s="1"/>
  <c r="F961" i="10"/>
  <c r="H961" i="10" s="1"/>
  <c r="F960" i="10"/>
  <c r="H960" i="10" s="1"/>
  <c r="F959" i="10"/>
  <c r="H959" i="10" s="1"/>
  <c r="F953" i="10"/>
  <c r="H953" i="10" s="1"/>
  <c r="F952" i="10"/>
  <c r="H952" i="10" s="1"/>
  <c r="F948" i="10"/>
  <c r="H948" i="10" s="1"/>
  <c r="H949" i="10" s="1"/>
  <c r="F947" i="10"/>
  <c r="H947" i="10" s="1"/>
  <c r="H943" i="10"/>
  <c r="F943" i="10"/>
  <c r="F942" i="10"/>
  <c r="H942" i="10" s="1"/>
  <c r="F938" i="10"/>
  <c r="H938" i="10" s="1"/>
  <c r="H937" i="10"/>
  <c r="F937" i="10"/>
  <c r="F936" i="10"/>
  <c r="H936" i="10" s="1"/>
  <c r="F935" i="10"/>
  <c r="H935" i="10" s="1"/>
  <c r="H934" i="10"/>
  <c r="F934" i="10"/>
  <c r="F933" i="10"/>
  <c r="H933" i="10" s="1"/>
  <c r="F932" i="10"/>
  <c r="H932" i="10" s="1"/>
  <c r="F931" i="10"/>
  <c r="H931" i="10" s="1"/>
  <c r="F930" i="10"/>
  <c r="H930" i="10" s="1"/>
  <c r="F929" i="10"/>
  <c r="H929" i="10" s="1"/>
  <c r="F928" i="10"/>
  <c r="H928" i="10" s="1"/>
  <c r="F927" i="10"/>
  <c r="H927" i="10" s="1"/>
  <c r="F926" i="10"/>
  <c r="H926" i="10" s="1"/>
  <c r="F925" i="10"/>
  <c r="F921" i="10"/>
  <c r="H921" i="10" s="1"/>
  <c r="F920" i="10"/>
  <c r="H920" i="10" s="1"/>
  <c r="F916" i="10"/>
  <c r="H916" i="10" s="1"/>
  <c r="F915" i="10"/>
  <c r="H915" i="10" s="1"/>
  <c r="F911" i="10"/>
  <c r="H911" i="10" s="1"/>
  <c r="F910" i="10"/>
  <c r="H910" i="10" s="1"/>
  <c r="F906" i="10"/>
  <c r="H906" i="10" s="1"/>
  <c r="F905" i="10"/>
  <c r="H905" i="10" s="1"/>
  <c r="F899" i="10"/>
  <c r="H899" i="10" s="1"/>
  <c r="F898" i="10"/>
  <c r="H898" i="10" s="1"/>
  <c r="F894" i="10"/>
  <c r="H894" i="10" s="1"/>
  <c r="F893" i="10"/>
  <c r="H893" i="10" s="1"/>
  <c r="F892" i="10"/>
  <c r="H892" i="10" s="1"/>
  <c r="F891" i="10"/>
  <c r="H891" i="10" s="1"/>
  <c r="H890" i="10"/>
  <c r="F890" i="10"/>
  <c r="F889" i="10"/>
  <c r="H889" i="10" s="1"/>
  <c r="F888" i="10"/>
  <c r="H888" i="10" s="1"/>
  <c r="F887" i="10"/>
  <c r="H887" i="10" s="1"/>
  <c r="F886" i="10"/>
  <c r="H886" i="10" s="1"/>
  <c r="F885" i="10"/>
  <c r="H885" i="10" s="1"/>
  <c r="F884" i="10"/>
  <c r="H884" i="10" s="1"/>
  <c r="F883" i="10"/>
  <c r="H883" i="10" s="1"/>
  <c r="F882" i="10"/>
  <c r="H882" i="10" s="1"/>
  <c r="F881" i="10"/>
  <c r="H881" i="10" s="1"/>
  <c r="F880" i="10"/>
  <c r="H880" i="10" s="1"/>
  <c r="F879" i="10"/>
  <c r="H879" i="10" s="1"/>
  <c r="F878" i="10"/>
  <c r="H878" i="10" s="1"/>
  <c r="F877" i="10"/>
  <c r="H877" i="10" s="1"/>
  <c r="F876" i="10"/>
  <c r="H876" i="10" s="1"/>
  <c r="F875" i="10"/>
  <c r="H875" i="10" s="1"/>
  <c r="F874" i="10"/>
  <c r="H874" i="10" s="1"/>
  <c r="F873" i="10"/>
  <c r="H873" i="10" s="1"/>
  <c r="F872" i="10"/>
  <c r="H872" i="10" s="1"/>
  <c r="F871" i="10"/>
  <c r="H871" i="10" s="1"/>
  <c r="F870" i="10"/>
  <c r="H870" i="10" s="1"/>
  <c r="F869" i="10"/>
  <c r="H869" i="10" s="1"/>
  <c r="F868" i="10"/>
  <c r="H868" i="10" s="1"/>
  <c r="F867" i="10"/>
  <c r="H867" i="10" s="1"/>
  <c r="F866" i="10"/>
  <c r="H866" i="10" s="1"/>
  <c r="F865" i="10"/>
  <c r="H865" i="10" s="1"/>
  <c r="F864" i="10"/>
  <c r="H864" i="10" s="1"/>
  <c r="F863" i="10"/>
  <c r="H863" i="10" s="1"/>
  <c r="F862" i="10"/>
  <c r="H862" i="10" s="1"/>
  <c r="F861" i="10"/>
  <c r="H861" i="10" s="1"/>
  <c r="F860" i="10"/>
  <c r="H860" i="10" s="1"/>
  <c r="F859" i="10"/>
  <c r="H859" i="10" s="1"/>
  <c r="F858" i="10"/>
  <c r="H858" i="10" s="1"/>
  <c r="F857" i="10"/>
  <c r="H857" i="10" s="1"/>
  <c r="F856" i="10"/>
  <c r="H856" i="10" s="1"/>
  <c r="F855" i="10"/>
  <c r="H855" i="10" s="1"/>
  <c r="F854" i="10"/>
  <c r="H854" i="10" s="1"/>
  <c r="F853" i="10"/>
  <c r="H853" i="10" s="1"/>
  <c r="F852" i="10"/>
  <c r="H852" i="10" s="1"/>
  <c r="F851" i="10"/>
  <c r="H851" i="10" s="1"/>
  <c r="F850" i="10"/>
  <c r="H850" i="10" s="1"/>
  <c r="F846" i="10"/>
  <c r="H846" i="10" s="1"/>
  <c r="F845" i="10"/>
  <c r="H845" i="10" s="1"/>
  <c r="F844" i="10"/>
  <c r="H844" i="10" s="1"/>
  <c r="F843" i="10"/>
  <c r="H843" i="10" s="1"/>
  <c r="F842" i="10"/>
  <c r="H842" i="10" s="1"/>
  <c r="F841" i="10"/>
  <c r="H841" i="10" s="1"/>
  <c r="F840" i="10"/>
  <c r="H840" i="10" s="1"/>
  <c r="F839" i="10"/>
  <c r="H839" i="10" s="1"/>
  <c r="F838" i="10"/>
  <c r="H838" i="10" s="1"/>
  <c r="F837" i="10"/>
  <c r="H837" i="10" s="1"/>
  <c r="F836" i="10"/>
  <c r="H836" i="10" s="1"/>
  <c r="F835" i="10"/>
  <c r="H835" i="10" s="1"/>
  <c r="F834" i="10"/>
  <c r="H834" i="10" s="1"/>
  <c r="F833" i="10"/>
  <c r="H833" i="10" s="1"/>
  <c r="F829" i="10"/>
  <c r="H829" i="10" s="1"/>
  <c r="H830" i="10" s="1"/>
  <c r="F828" i="10"/>
  <c r="H828" i="10" s="1"/>
  <c r="F824" i="10"/>
  <c r="H824" i="10" s="1"/>
  <c r="F823" i="10"/>
  <c r="H823" i="10" s="1"/>
  <c r="F819" i="10"/>
  <c r="H819" i="10" s="1"/>
  <c r="F818" i="10"/>
  <c r="H818" i="10" s="1"/>
  <c r="H814" i="10"/>
  <c r="F814" i="10"/>
  <c r="F813" i="10"/>
  <c r="H813" i="10" s="1"/>
  <c r="F809" i="10"/>
  <c r="H809" i="10" s="1"/>
  <c r="F808" i="10"/>
  <c r="H808" i="10" s="1"/>
  <c r="H810" i="10" s="1"/>
  <c r="F802" i="10"/>
  <c r="H802" i="10" s="1"/>
  <c r="F801" i="10"/>
  <c r="H801" i="10" s="1"/>
  <c r="F800" i="10"/>
  <c r="H800" i="10" s="1"/>
  <c r="F799" i="10"/>
  <c r="H799" i="10" s="1"/>
  <c r="F798" i="10"/>
  <c r="H798" i="10" s="1"/>
  <c r="F797" i="10"/>
  <c r="H797" i="10" s="1"/>
  <c r="F796" i="10"/>
  <c r="H796" i="10" s="1"/>
  <c r="F795" i="10"/>
  <c r="H795" i="10" s="1"/>
  <c r="F794" i="10"/>
  <c r="H794" i="10" s="1"/>
  <c r="F790" i="10"/>
  <c r="H790" i="10" s="1"/>
  <c r="F789" i="10"/>
  <c r="H789" i="10" s="1"/>
  <c r="F785" i="10"/>
  <c r="H785" i="10" s="1"/>
  <c r="F784" i="10"/>
  <c r="H784" i="10" s="1"/>
  <c r="F780" i="10"/>
  <c r="H780" i="10" s="1"/>
  <c r="F779" i="10"/>
  <c r="H779" i="10" s="1"/>
  <c r="F775" i="10"/>
  <c r="H775" i="10" s="1"/>
  <c r="F774" i="10"/>
  <c r="H774" i="10" s="1"/>
  <c r="F770" i="10"/>
  <c r="H770" i="10" s="1"/>
  <c r="F769" i="10"/>
  <c r="H769" i="10" s="1"/>
  <c r="H771" i="10" s="1"/>
  <c r="F765" i="10"/>
  <c r="H765" i="10" s="1"/>
  <c r="F764" i="10"/>
  <c r="H764" i="10" s="1"/>
  <c r="F760" i="10"/>
  <c r="H760" i="10" s="1"/>
  <c r="F759" i="10"/>
  <c r="H759" i="10" s="1"/>
  <c r="F752" i="10"/>
  <c r="H752" i="10" s="1"/>
  <c r="F751" i="10"/>
  <c r="H751" i="10" s="1"/>
  <c r="F750" i="10"/>
  <c r="H750" i="10" s="1"/>
  <c r="F749" i="10"/>
  <c r="H749" i="10" s="1"/>
  <c r="F748" i="10"/>
  <c r="H748" i="10" s="1"/>
  <c r="F747" i="10"/>
  <c r="H747" i="10" s="1"/>
  <c r="F746" i="10"/>
  <c r="H746" i="10" s="1"/>
  <c r="F745" i="10"/>
  <c r="H745" i="10" s="1"/>
  <c r="F741" i="10"/>
  <c r="H741" i="10" s="1"/>
  <c r="F740" i="10"/>
  <c r="H740" i="10" s="1"/>
  <c r="F739" i="10"/>
  <c r="H739" i="10" s="1"/>
  <c r="F738" i="10"/>
  <c r="H738" i="10" s="1"/>
  <c r="F737" i="10"/>
  <c r="H737" i="10" s="1"/>
  <c r="F736" i="10"/>
  <c r="H736" i="10" s="1"/>
  <c r="F735" i="10"/>
  <c r="H735" i="10" s="1"/>
  <c r="F734" i="10"/>
  <c r="H734" i="10" s="1"/>
  <c r="F733" i="10"/>
  <c r="H733" i="10" s="1"/>
  <c r="F729" i="10"/>
  <c r="H729" i="10" s="1"/>
  <c r="F728" i="10"/>
  <c r="H728" i="10" s="1"/>
  <c r="F727" i="10"/>
  <c r="H727" i="10" s="1"/>
  <c r="F726" i="10"/>
  <c r="H726" i="10" s="1"/>
  <c r="F725" i="10"/>
  <c r="H725" i="10" s="1"/>
  <c r="F724" i="10"/>
  <c r="H724" i="10" s="1"/>
  <c r="F723" i="10"/>
  <c r="H723" i="10" s="1"/>
  <c r="F719" i="10"/>
  <c r="H719" i="10" s="1"/>
  <c r="F718" i="10"/>
  <c r="H718" i="10" s="1"/>
  <c r="F717" i="10"/>
  <c r="H717" i="10" s="1"/>
  <c r="F716" i="10"/>
  <c r="H716" i="10" s="1"/>
  <c r="F715" i="10"/>
  <c r="H715" i="10" s="1"/>
  <c r="F714" i="10"/>
  <c r="H714" i="10" s="1"/>
  <c r="F713" i="10"/>
  <c r="H713" i="10" s="1"/>
  <c r="F712" i="10"/>
  <c r="H712" i="10" s="1"/>
  <c r="F711" i="10"/>
  <c r="H711" i="10" s="1"/>
  <c r="F710" i="10"/>
  <c r="H710" i="10" s="1"/>
  <c r="F709" i="10"/>
  <c r="H709" i="10" s="1"/>
  <c r="F708" i="10"/>
  <c r="H708" i="10" s="1"/>
  <c r="F707" i="10"/>
  <c r="F703" i="10"/>
  <c r="H703" i="10" s="1"/>
  <c r="F702" i="10"/>
  <c r="H702" i="10" s="1"/>
  <c r="F701" i="10"/>
  <c r="H701" i="10" s="1"/>
  <c r="F700" i="10"/>
  <c r="H700" i="10" s="1"/>
  <c r="F699" i="10"/>
  <c r="H699" i="10" s="1"/>
  <c r="F698" i="10"/>
  <c r="H698" i="10" s="1"/>
  <c r="F697" i="10"/>
  <c r="H697" i="10" s="1"/>
  <c r="F693" i="10"/>
  <c r="H693" i="10" s="1"/>
  <c r="F692" i="10"/>
  <c r="H692" i="10" s="1"/>
  <c r="F691" i="10"/>
  <c r="H691" i="10" s="1"/>
  <c r="F690" i="10"/>
  <c r="H690" i="10" s="1"/>
  <c r="F689" i="10"/>
  <c r="H689" i="10" s="1"/>
  <c r="F688" i="10"/>
  <c r="H688" i="10" s="1"/>
  <c r="F684" i="10"/>
  <c r="H684" i="10" s="1"/>
  <c r="F683" i="10"/>
  <c r="H683" i="10" s="1"/>
  <c r="F682" i="10"/>
  <c r="H682" i="10" s="1"/>
  <c r="F681" i="10"/>
  <c r="H681" i="10" s="1"/>
  <c r="F680" i="10"/>
  <c r="H680" i="10" s="1"/>
  <c r="F679" i="10"/>
  <c r="H679" i="10" s="1"/>
  <c r="F675" i="10"/>
  <c r="H675" i="10" s="1"/>
  <c r="F674" i="10"/>
  <c r="H674" i="10" s="1"/>
  <c r="F673" i="10"/>
  <c r="H673" i="10" s="1"/>
  <c r="F672" i="10"/>
  <c r="H672" i="10" s="1"/>
  <c r="F671" i="10"/>
  <c r="H671" i="10" s="1"/>
  <c r="F665" i="10"/>
  <c r="H665" i="10" s="1"/>
  <c r="F664" i="10"/>
  <c r="H664" i="10" s="1"/>
  <c r="F663" i="10"/>
  <c r="H663" i="10" s="1"/>
  <c r="F662" i="10"/>
  <c r="H662" i="10" s="1"/>
  <c r="F661" i="10"/>
  <c r="H661" i="10" s="1"/>
  <c r="F660" i="10"/>
  <c r="H660" i="10" s="1"/>
  <c r="F659" i="10"/>
  <c r="H659" i="10" s="1"/>
  <c r="F658" i="10"/>
  <c r="H658" i="10" s="1"/>
  <c r="F657" i="10"/>
  <c r="H657" i="10" s="1"/>
  <c r="F656" i="10"/>
  <c r="H656" i="10" s="1"/>
  <c r="F652" i="10"/>
  <c r="H652" i="10" s="1"/>
  <c r="F651" i="10"/>
  <c r="H651" i="10" s="1"/>
  <c r="F650" i="10"/>
  <c r="H650" i="10" s="1"/>
  <c r="F649" i="10"/>
  <c r="H649" i="10" s="1"/>
  <c r="F648" i="10"/>
  <c r="H648" i="10" s="1"/>
  <c r="F647" i="10"/>
  <c r="H647" i="10" s="1"/>
  <c r="F646" i="10"/>
  <c r="H646" i="10" s="1"/>
  <c r="F645" i="10"/>
  <c r="H645" i="10" s="1"/>
  <c r="F644" i="10"/>
  <c r="H644" i="10" s="1"/>
  <c r="F643" i="10"/>
  <c r="H643" i="10" s="1"/>
  <c r="F636" i="10"/>
  <c r="H636" i="10" s="1"/>
  <c r="H640" i="10" s="1"/>
  <c r="H635" i="10"/>
  <c r="F635" i="10"/>
  <c r="F631" i="10"/>
  <c r="H631" i="10" s="1"/>
  <c r="F630" i="10"/>
  <c r="H630" i="10" s="1"/>
  <c r="F629" i="10"/>
  <c r="H629" i="10" s="1"/>
  <c r="F628" i="10"/>
  <c r="H628" i="10" s="1"/>
  <c r="H627" i="10"/>
  <c r="F627" i="10"/>
  <c r="F626" i="10"/>
  <c r="H626" i="10" s="1"/>
  <c r="F625" i="10"/>
  <c r="H625" i="10" s="1"/>
  <c r="F624" i="10"/>
  <c r="H624" i="10" s="1"/>
  <c r="F623" i="10"/>
  <c r="H623" i="10" s="1"/>
  <c r="F622" i="10"/>
  <c r="H622" i="10" s="1"/>
  <c r="F621" i="10"/>
  <c r="H621" i="10" s="1"/>
  <c r="F620" i="10"/>
  <c r="H620" i="10" s="1"/>
  <c r="F619" i="10"/>
  <c r="F615" i="10"/>
  <c r="H615" i="10" s="1"/>
  <c r="F614" i="10"/>
  <c r="H614" i="10" s="1"/>
  <c r="F613" i="10"/>
  <c r="H613" i="10" s="1"/>
  <c r="F612" i="10"/>
  <c r="H612" i="10" s="1"/>
  <c r="F611" i="10"/>
  <c r="H611" i="10" s="1"/>
  <c r="F610" i="10"/>
  <c r="H610" i="10" s="1"/>
  <c r="F606" i="10"/>
  <c r="H606" i="10" s="1"/>
  <c r="F605" i="10"/>
  <c r="H605" i="10" s="1"/>
  <c r="F601" i="10"/>
  <c r="H601" i="10" s="1"/>
  <c r="F600" i="10"/>
  <c r="H600" i="10" s="1"/>
  <c r="F599" i="10"/>
  <c r="H599" i="10" s="1"/>
  <c r="F598" i="10"/>
  <c r="H598" i="10" s="1"/>
  <c r="F597" i="10"/>
  <c r="H597" i="10" s="1"/>
  <c r="F596" i="10"/>
  <c r="H596" i="10" s="1"/>
  <c r="F592" i="10"/>
  <c r="H592" i="10" s="1"/>
  <c r="F591" i="10"/>
  <c r="H591" i="10" s="1"/>
  <c r="F590" i="10"/>
  <c r="H590" i="10" s="1"/>
  <c r="F589" i="10"/>
  <c r="H589" i="10" s="1"/>
  <c r="F588" i="10"/>
  <c r="H588" i="10" s="1"/>
  <c r="F582" i="10"/>
  <c r="H582" i="10" s="1"/>
  <c r="F581" i="10"/>
  <c r="H581" i="10" s="1"/>
  <c r="F580" i="10"/>
  <c r="H580" i="10" s="1"/>
  <c r="F579" i="10"/>
  <c r="H579" i="10" s="1"/>
  <c r="F578" i="10"/>
  <c r="H578" i="10" s="1"/>
  <c r="F577" i="10"/>
  <c r="H577" i="10" s="1"/>
  <c r="F576" i="10"/>
  <c r="H576" i="10" s="1"/>
  <c r="F575" i="10"/>
  <c r="H575" i="10" s="1"/>
  <c r="F574" i="10"/>
  <c r="H574" i="10" s="1"/>
  <c r="F573" i="10"/>
  <c r="H573" i="10" s="1"/>
  <c r="F569" i="10"/>
  <c r="H569" i="10" s="1"/>
  <c r="H568" i="10"/>
  <c r="F568" i="10"/>
  <c r="F567" i="10"/>
  <c r="H567" i="10" s="1"/>
  <c r="F566" i="10"/>
  <c r="H566" i="10" s="1"/>
  <c r="F565" i="10"/>
  <c r="H565" i="10" s="1"/>
  <c r="F564" i="10"/>
  <c r="H564" i="10" s="1"/>
  <c r="F563" i="10"/>
  <c r="H563" i="10" s="1"/>
  <c r="F562" i="10"/>
  <c r="H562" i="10" s="1"/>
  <c r="F561" i="10"/>
  <c r="H561" i="10" s="1"/>
  <c r="F560" i="10"/>
  <c r="H560" i="10" s="1"/>
  <c r="F559" i="10"/>
  <c r="H559" i="10" s="1"/>
  <c r="F558" i="10"/>
  <c r="H558" i="10" s="1"/>
  <c r="F557" i="10"/>
  <c r="H557" i="10" s="1"/>
  <c r="F556" i="10"/>
  <c r="H556" i="10" s="1"/>
  <c r="F555" i="10"/>
  <c r="H555" i="10" s="1"/>
  <c r="H551" i="10"/>
  <c r="F551" i="10"/>
  <c r="F550" i="10"/>
  <c r="H550" i="10" s="1"/>
  <c r="F549" i="10"/>
  <c r="H549" i="10" s="1"/>
  <c r="F548" i="10"/>
  <c r="H548" i="10" s="1"/>
  <c r="F547" i="10"/>
  <c r="H547" i="10" s="1"/>
  <c r="F543" i="10"/>
  <c r="H543" i="10" s="1"/>
  <c r="F542" i="10"/>
  <c r="H542" i="10" s="1"/>
  <c r="F541" i="10"/>
  <c r="H541" i="10" s="1"/>
  <c r="F540" i="10"/>
  <c r="H540" i="10" s="1"/>
  <c r="F539" i="10"/>
  <c r="H539" i="10" s="1"/>
  <c r="F538" i="10"/>
  <c r="H538" i="10" s="1"/>
  <c r="F537" i="10"/>
  <c r="H537" i="10" s="1"/>
  <c r="F536" i="10"/>
  <c r="H536" i="10" s="1"/>
  <c r="F535" i="10"/>
  <c r="H535" i="10" s="1"/>
  <c r="F534" i="10"/>
  <c r="H534" i="10" s="1"/>
  <c r="F533" i="10"/>
  <c r="H533" i="10" s="1"/>
  <c r="F532" i="10"/>
  <c r="H532" i="10" s="1"/>
  <c r="F531" i="10"/>
  <c r="H531" i="10" s="1"/>
  <c r="F530" i="10"/>
  <c r="H530" i="10" s="1"/>
  <c r="F529" i="10"/>
  <c r="H529" i="10" s="1"/>
  <c r="F528" i="10"/>
  <c r="H528" i="10" s="1"/>
  <c r="F527" i="10"/>
  <c r="H527" i="10" s="1"/>
  <c r="F526" i="10"/>
  <c r="F525" i="10"/>
  <c r="H525" i="10" s="1"/>
  <c r="F524" i="10"/>
  <c r="H524" i="10" s="1"/>
  <c r="F523" i="10"/>
  <c r="H523" i="10" s="1"/>
  <c r="F519" i="10"/>
  <c r="H519" i="10" s="1"/>
  <c r="F518" i="10"/>
  <c r="H518" i="10" s="1"/>
  <c r="F517" i="10"/>
  <c r="H517" i="10" s="1"/>
  <c r="F516" i="10"/>
  <c r="H516" i="10" s="1"/>
  <c r="F515" i="10"/>
  <c r="H515" i="10" s="1"/>
  <c r="F514" i="10"/>
  <c r="H514" i="10" s="1"/>
  <c r="F513" i="10"/>
  <c r="H513" i="10" s="1"/>
  <c r="F512" i="10"/>
  <c r="H512" i="10" s="1"/>
  <c r="F508" i="10"/>
  <c r="H508" i="10" s="1"/>
  <c r="F507" i="10"/>
  <c r="H507" i="10" s="1"/>
  <c r="F503" i="10"/>
  <c r="H503" i="10" s="1"/>
  <c r="F502" i="10"/>
  <c r="H502" i="10" s="1"/>
  <c r="H504" i="10" s="1"/>
  <c r="F498" i="10"/>
  <c r="H498" i="10" s="1"/>
  <c r="F497" i="10"/>
  <c r="H497" i="10" s="1"/>
  <c r="F491" i="10"/>
  <c r="H491" i="10" s="1"/>
  <c r="F490" i="10"/>
  <c r="H490" i="10" s="1"/>
  <c r="F489" i="10"/>
  <c r="H489" i="10" s="1"/>
  <c r="F488" i="10"/>
  <c r="H488" i="10" s="1"/>
  <c r="F487" i="10"/>
  <c r="H487" i="10" s="1"/>
  <c r="F483" i="10"/>
  <c r="H483" i="10" s="1"/>
  <c r="F482" i="10"/>
  <c r="H482" i="10" s="1"/>
  <c r="F481" i="10"/>
  <c r="H481" i="10" s="1"/>
  <c r="F480" i="10"/>
  <c r="H480" i="10" s="1"/>
  <c r="F479" i="10"/>
  <c r="H479" i="10" s="1"/>
  <c r="F478" i="10"/>
  <c r="H478" i="10" s="1"/>
  <c r="F477" i="10"/>
  <c r="H477" i="10" s="1"/>
  <c r="F476" i="10"/>
  <c r="H476" i="10" s="1"/>
  <c r="F475" i="10"/>
  <c r="H475" i="10" s="1"/>
  <c r="F474" i="10"/>
  <c r="H474" i="10" s="1"/>
  <c r="F473" i="10"/>
  <c r="H473" i="10" s="1"/>
  <c r="F472" i="10"/>
  <c r="H472" i="10" s="1"/>
  <c r="F471" i="10"/>
  <c r="H471" i="10" s="1"/>
  <c r="F467" i="10"/>
  <c r="H467" i="10" s="1"/>
  <c r="F466" i="10"/>
  <c r="H466" i="10" s="1"/>
  <c r="F465" i="10"/>
  <c r="H465" i="10" s="1"/>
  <c r="F464" i="10"/>
  <c r="H464" i="10" s="1"/>
  <c r="F463" i="10"/>
  <c r="H463" i="10" s="1"/>
  <c r="F459" i="10"/>
  <c r="H459" i="10" s="1"/>
  <c r="F458" i="10"/>
  <c r="H458" i="10" s="1"/>
  <c r="F457" i="10"/>
  <c r="H457" i="10" s="1"/>
  <c r="F456" i="10"/>
  <c r="H456" i="10" s="1"/>
  <c r="F455" i="10"/>
  <c r="H455" i="10" s="1"/>
  <c r="F454" i="10"/>
  <c r="H454" i="10" s="1"/>
  <c r="F453" i="10"/>
  <c r="H453" i="10" s="1"/>
  <c r="F452" i="10"/>
  <c r="H452" i="10" s="1"/>
  <c r="F451" i="10"/>
  <c r="H451" i="10" s="1"/>
  <c r="F450" i="10"/>
  <c r="H450" i="10" s="1"/>
  <c r="F449" i="10"/>
  <c r="H449" i="10" s="1"/>
  <c r="F448" i="10"/>
  <c r="H448" i="10" s="1"/>
  <c r="F447" i="10"/>
  <c r="H447" i="10" s="1"/>
  <c r="F446" i="10"/>
  <c r="H446" i="10" s="1"/>
  <c r="F445" i="10"/>
  <c r="H445" i="10" s="1"/>
  <c r="F444" i="10"/>
  <c r="H444" i="10" s="1"/>
  <c r="F443" i="10"/>
  <c r="H443" i="10" s="1"/>
  <c r="F442" i="10"/>
  <c r="H442" i="10" s="1"/>
  <c r="F441" i="10"/>
  <c r="H441" i="10" s="1"/>
  <c r="F440" i="10"/>
  <c r="H440" i="10" s="1"/>
  <c r="F439" i="10"/>
  <c r="H439" i="10" s="1"/>
  <c r="F438" i="10"/>
  <c r="H438" i="10" s="1"/>
  <c r="F437" i="10"/>
  <c r="H437" i="10" s="1"/>
  <c r="F436" i="10"/>
  <c r="H436" i="10" s="1"/>
  <c r="F435" i="10"/>
  <c r="H435" i="10" s="1"/>
  <c r="F434" i="10"/>
  <c r="H434" i="10" s="1"/>
  <c r="F433" i="10"/>
  <c r="H433" i="10" s="1"/>
  <c r="F432" i="10"/>
  <c r="H432" i="10" s="1"/>
  <c r="F431" i="10"/>
  <c r="H431" i="10" s="1"/>
  <c r="F430" i="10"/>
  <c r="H430" i="10" s="1"/>
  <c r="F426" i="10"/>
  <c r="H426" i="10" s="1"/>
  <c r="F425" i="10"/>
  <c r="H425" i="10" s="1"/>
  <c r="F424" i="10"/>
  <c r="H424" i="10" s="1"/>
  <c r="F423" i="10"/>
  <c r="H423" i="10" s="1"/>
  <c r="F422" i="10"/>
  <c r="H422" i="10" s="1"/>
  <c r="F421" i="10"/>
  <c r="H421" i="10" s="1"/>
  <c r="F420" i="10"/>
  <c r="H420" i="10" s="1"/>
  <c r="F419" i="10"/>
  <c r="H419" i="10" s="1"/>
  <c r="F418" i="10"/>
  <c r="H418" i="10" s="1"/>
  <c r="F417" i="10"/>
  <c r="H417" i="10" s="1"/>
  <c r="F416" i="10"/>
  <c r="H416" i="10" s="1"/>
  <c r="F415" i="10"/>
  <c r="H415" i="10" s="1"/>
  <c r="F414" i="10"/>
  <c r="H414" i="10" s="1"/>
  <c r="F413" i="10"/>
  <c r="H413" i="10" s="1"/>
  <c r="F412" i="10"/>
  <c r="H412" i="10" s="1"/>
  <c r="F411" i="10"/>
  <c r="H411" i="10" s="1"/>
  <c r="F410" i="10"/>
  <c r="H410" i="10" s="1"/>
  <c r="F409" i="10"/>
  <c r="H409" i="10" s="1"/>
  <c r="F408" i="10"/>
  <c r="H408" i="10" s="1"/>
  <c r="F407" i="10"/>
  <c r="H407" i="10" s="1"/>
  <c r="F406" i="10"/>
  <c r="H406" i="10" s="1"/>
  <c r="F405" i="10"/>
  <c r="H405" i="10" s="1"/>
  <c r="F404" i="10"/>
  <c r="H404" i="10" s="1"/>
  <c r="F403" i="10"/>
  <c r="H403" i="10" s="1"/>
  <c r="F402" i="10"/>
  <c r="H402" i="10" s="1"/>
  <c r="F401" i="10"/>
  <c r="H401" i="10" s="1"/>
  <c r="F400" i="10"/>
  <c r="H400" i="10" s="1"/>
  <c r="F399" i="10"/>
  <c r="H399" i="10" s="1"/>
  <c r="F398" i="10"/>
  <c r="H398" i="10" s="1"/>
  <c r="F397" i="10"/>
  <c r="H397" i="10" s="1"/>
  <c r="F396" i="10"/>
  <c r="H396" i="10" s="1"/>
  <c r="F395" i="10"/>
  <c r="H395" i="10" s="1"/>
  <c r="F394" i="10"/>
  <c r="H394" i="10" s="1"/>
  <c r="F393" i="10"/>
  <c r="H393" i="10" s="1"/>
  <c r="F392" i="10"/>
  <c r="H392" i="10" s="1"/>
  <c r="F391" i="10"/>
  <c r="H391" i="10" s="1"/>
  <c r="F390" i="10"/>
  <c r="H390" i="10" s="1"/>
  <c r="F389" i="10"/>
  <c r="H389" i="10" s="1"/>
  <c r="F388" i="10"/>
  <c r="H388" i="10" s="1"/>
  <c r="F387" i="10"/>
  <c r="H387" i="10" s="1"/>
  <c r="F386" i="10"/>
  <c r="H386" i="10" s="1"/>
  <c r="F385" i="10"/>
  <c r="H385" i="10" s="1"/>
  <c r="F384" i="10"/>
  <c r="H384" i="10" s="1"/>
  <c r="F383" i="10"/>
  <c r="H383" i="10" s="1"/>
  <c r="F382" i="10"/>
  <c r="H382" i="10" s="1"/>
  <c r="F381" i="10"/>
  <c r="H381" i="10" s="1"/>
  <c r="F380" i="10"/>
  <c r="H380" i="10" s="1"/>
  <c r="F379" i="10"/>
  <c r="H379" i="10" s="1"/>
  <c r="F378" i="10"/>
  <c r="H378" i="10" s="1"/>
  <c r="F377" i="10"/>
  <c r="H377" i="10" s="1"/>
  <c r="F376" i="10"/>
  <c r="H376" i="10" s="1"/>
  <c r="F375" i="10"/>
  <c r="H375" i="10" s="1"/>
  <c r="F374" i="10"/>
  <c r="H374" i="10" s="1"/>
  <c r="F373" i="10"/>
  <c r="H373" i="10" s="1"/>
  <c r="F372" i="10"/>
  <c r="H372" i="10" s="1"/>
  <c r="F371" i="10"/>
  <c r="H371" i="10" s="1"/>
  <c r="F370" i="10"/>
  <c r="H370" i="10" s="1"/>
  <c r="F369" i="10"/>
  <c r="H369" i="10" s="1"/>
  <c r="F368" i="10"/>
  <c r="H368" i="10" s="1"/>
  <c r="F367" i="10"/>
  <c r="H367" i="10" s="1"/>
  <c r="F366" i="10"/>
  <c r="H366" i="10" s="1"/>
  <c r="F365" i="10"/>
  <c r="H365" i="10" s="1"/>
  <c r="H364" i="10"/>
  <c r="F364" i="10"/>
  <c r="F363" i="10"/>
  <c r="H363" i="10" s="1"/>
  <c r="F362" i="10"/>
  <c r="H362" i="10" s="1"/>
  <c r="F361" i="10"/>
  <c r="H361" i="10" s="1"/>
  <c r="F360" i="10"/>
  <c r="H360" i="10" s="1"/>
  <c r="F359" i="10"/>
  <c r="H359" i="10" s="1"/>
  <c r="F358" i="10"/>
  <c r="H358" i="10" s="1"/>
  <c r="F357" i="10"/>
  <c r="H357" i="10" s="1"/>
  <c r="F356" i="10"/>
  <c r="H356" i="10" s="1"/>
  <c r="F355" i="10"/>
  <c r="H355" i="10" s="1"/>
  <c r="F354" i="10"/>
  <c r="H354" i="10" s="1"/>
  <c r="F353" i="10"/>
  <c r="H353" i="10" s="1"/>
  <c r="F352" i="10"/>
  <c r="H352" i="10" s="1"/>
  <c r="F351" i="10"/>
  <c r="H351" i="10" s="1"/>
  <c r="F350" i="10"/>
  <c r="H350" i="10" s="1"/>
  <c r="F346" i="10"/>
  <c r="H346" i="10" s="1"/>
  <c r="F345" i="10"/>
  <c r="H345" i="10" s="1"/>
  <c r="F344" i="10"/>
  <c r="H344" i="10" s="1"/>
  <c r="F343" i="10"/>
  <c r="H343" i="10" s="1"/>
  <c r="F342" i="10"/>
  <c r="H342" i="10" s="1"/>
  <c r="F341" i="10"/>
  <c r="H341" i="10" s="1"/>
  <c r="F340" i="10"/>
  <c r="H340" i="10" s="1"/>
  <c r="F339" i="10"/>
  <c r="H339" i="10" s="1"/>
  <c r="F338" i="10"/>
  <c r="H338" i="10" s="1"/>
  <c r="E337" i="10"/>
  <c r="F337" i="10" s="1"/>
  <c r="H337" i="10" s="1"/>
  <c r="E336" i="10"/>
  <c r="F336" i="10" s="1"/>
  <c r="H336" i="10" s="1"/>
  <c r="E335" i="10"/>
  <c r="F335" i="10" s="1"/>
  <c r="H335" i="10" s="1"/>
  <c r="E334" i="10"/>
  <c r="F334" i="10" s="1"/>
  <c r="H334" i="10" s="1"/>
  <c r="E333" i="10"/>
  <c r="F333" i="10" s="1"/>
  <c r="H333" i="10" s="1"/>
  <c r="E332" i="10"/>
  <c r="F332" i="10" s="1"/>
  <c r="H332" i="10" s="1"/>
  <c r="E331" i="10"/>
  <c r="F331" i="10" s="1"/>
  <c r="H331" i="10" s="1"/>
  <c r="E330" i="10"/>
  <c r="F330" i="10" s="1"/>
  <c r="H330" i="10" s="1"/>
  <c r="E329" i="10"/>
  <c r="F329" i="10" s="1"/>
  <c r="H329" i="10" s="1"/>
  <c r="F328" i="10"/>
  <c r="H328" i="10" s="1"/>
  <c r="E328" i="10"/>
  <c r="E327" i="10"/>
  <c r="F327" i="10" s="1"/>
  <c r="H327" i="10" s="1"/>
  <c r="E326" i="10"/>
  <c r="F326" i="10" s="1"/>
  <c r="H326" i="10" s="1"/>
  <c r="E325" i="10"/>
  <c r="F325" i="10" s="1"/>
  <c r="H325" i="10" s="1"/>
  <c r="E324" i="10"/>
  <c r="F324" i="10" s="1"/>
  <c r="H324" i="10" s="1"/>
  <c r="F323" i="10"/>
  <c r="H323" i="10" s="1"/>
  <c r="E323" i="10"/>
  <c r="F319" i="10"/>
  <c r="H319" i="10" s="1"/>
  <c r="F318" i="10"/>
  <c r="H318" i="10" s="1"/>
  <c r="E317" i="10"/>
  <c r="F317" i="10" s="1"/>
  <c r="H317" i="10" s="1"/>
  <c r="E316" i="10"/>
  <c r="F316" i="10" s="1"/>
  <c r="H316" i="10" s="1"/>
  <c r="E315" i="10"/>
  <c r="F315" i="10" s="1"/>
  <c r="H315" i="10" s="1"/>
  <c r="E314" i="10"/>
  <c r="F314" i="10" s="1"/>
  <c r="H314" i="10" s="1"/>
  <c r="E313" i="10"/>
  <c r="F313" i="10" s="1"/>
  <c r="H313" i="10" s="1"/>
  <c r="E312" i="10"/>
  <c r="F312" i="10" s="1"/>
  <c r="H312" i="10" s="1"/>
  <c r="E311" i="10"/>
  <c r="F311" i="10" s="1"/>
  <c r="H311" i="10" s="1"/>
  <c r="E310" i="10"/>
  <c r="F310" i="10" s="1"/>
  <c r="H310" i="10" s="1"/>
  <c r="E309" i="10"/>
  <c r="F309" i="10" s="1"/>
  <c r="H309" i="10" s="1"/>
  <c r="E308" i="10"/>
  <c r="F308" i="10" s="1"/>
  <c r="H308" i="10" s="1"/>
  <c r="E307" i="10"/>
  <c r="F307" i="10" s="1"/>
  <c r="H307" i="10" s="1"/>
  <c r="F303" i="10"/>
  <c r="H303" i="10" s="1"/>
  <c r="F302" i="10"/>
  <c r="H302" i="10" s="1"/>
  <c r="F301" i="10"/>
  <c r="H301" i="10" s="1"/>
  <c r="F300" i="10"/>
  <c r="H300" i="10" s="1"/>
  <c r="F299" i="10"/>
  <c r="H299" i="10" s="1"/>
  <c r="F298" i="10"/>
  <c r="H298" i="10" s="1"/>
  <c r="F297" i="10"/>
  <c r="H297" i="10" s="1"/>
  <c r="E296" i="10"/>
  <c r="F296" i="10" s="1"/>
  <c r="H296" i="10" s="1"/>
  <c r="E295" i="10"/>
  <c r="F295" i="10" s="1"/>
  <c r="H295" i="10" s="1"/>
  <c r="E294" i="10"/>
  <c r="F294" i="10" s="1"/>
  <c r="H294" i="10" s="1"/>
  <c r="E293" i="10"/>
  <c r="F293" i="10" s="1"/>
  <c r="H293" i="10" s="1"/>
  <c r="E292" i="10"/>
  <c r="F292" i="10" s="1"/>
  <c r="H292" i="10" s="1"/>
  <c r="E291" i="10"/>
  <c r="F291" i="10" s="1"/>
  <c r="H291" i="10" s="1"/>
  <c r="E290" i="10"/>
  <c r="F290" i="10" s="1"/>
  <c r="H290" i="10" s="1"/>
  <c r="E289" i="10"/>
  <c r="F289" i="10" s="1"/>
  <c r="H289" i="10" s="1"/>
  <c r="E288" i="10"/>
  <c r="F288" i="10" s="1"/>
  <c r="H288" i="10" s="1"/>
  <c r="E287" i="10"/>
  <c r="F287" i="10" s="1"/>
  <c r="H287" i="10" s="1"/>
  <c r="E286" i="10"/>
  <c r="F286" i="10" s="1"/>
  <c r="H286" i="10" s="1"/>
  <c r="F280" i="10"/>
  <c r="H280" i="10" s="1"/>
  <c r="F279" i="10"/>
  <c r="H279" i="10" s="1"/>
  <c r="F278" i="10"/>
  <c r="H278" i="10" s="1"/>
  <c r="F277" i="10"/>
  <c r="H277" i="10" s="1"/>
  <c r="H276" i="10"/>
  <c r="F276" i="10"/>
  <c r="H275" i="10"/>
  <c r="F275" i="10"/>
  <c r="F274" i="10"/>
  <c r="H274" i="10" s="1"/>
  <c r="F273" i="10"/>
  <c r="H273" i="10" s="1"/>
  <c r="F272" i="10"/>
  <c r="H272" i="10" s="1"/>
  <c r="F271" i="10"/>
  <c r="H271" i="10" s="1"/>
  <c r="F267" i="10"/>
  <c r="H267" i="10" s="1"/>
  <c r="H266" i="10"/>
  <c r="F266" i="10"/>
  <c r="F265" i="10"/>
  <c r="H265" i="10" s="1"/>
  <c r="F264" i="10"/>
  <c r="H264" i="10" s="1"/>
  <c r="F263" i="10"/>
  <c r="H263" i="10" s="1"/>
  <c r="F262" i="10"/>
  <c r="H262" i="10" s="1"/>
  <c r="F261" i="10"/>
  <c r="H261" i="10" s="1"/>
  <c r="F260" i="10"/>
  <c r="H260" i="10" s="1"/>
  <c r="F259" i="10"/>
  <c r="H259" i="10" s="1"/>
  <c r="F258" i="10"/>
  <c r="H258" i="10" s="1"/>
  <c r="F257" i="10"/>
  <c r="H257" i="10" s="1"/>
  <c r="F256" i="10"/>
  <c r="H256" i="10" s="1"/>
  <c r="F252" i="10"/>
  <c r="H252" i="10" s="1"/>
  <c r="F251" i="10"/>
  <c r="H251" i="10" s="1"/>
  <c r="F250" i="10"/>
  <c r="H250" i="10" s="1"/>
  <c r="F249" i="10"/>
  <c r="H249" i="10" s="1"/>
  <c r="F248" i="10"/>
  <c r="H248" i="10" s="1"/>
  <c r="F244" i="10"/>
  <c r="H244" i="10" s="1"/>
  <c r="F243" i="10"/>
  <c r="H243" i="10" s="1"/>
  <c r="F242" i="10"/>
  <c r="H242" i="10" s="1"/>
  <c r="F241" i="10"/>
  <c r="H241" i="10" s="1"/>
  <c r="F240" i="10"/>
  <c r="H240" i="10" s="1"/>
  <c r="F239" i="10"/>
  <c r="H239" i="10" s="1"/>
  <c r="F238" i="10"/>
  <c r="H238" i="10" s="1"/>
  <c r="F237" i="10"/>
  <c r="H237" i="10" s="1"/>
  <c r="F236" i="10"/>
  <c r="H236" i="10" s="1"/>
  <c r="F235" i="10"/>
  <c r="F231" i="10"/>
  <c r="H231" i="10" s="1"/>
  <c r="F230" i="10"/>
  <c r="H230" i="10" s="1"/>
  <c r="H232" i="10" s="1"/>
  <c r="F226" i="10"/>
  <c r="H226" i="10" s="1"/>
  <c r="F225" i="10"/>
  <c r="H225" i="10" s="1"/>
  <c r="F221" i="10"/>
  <c r="H221" i="10" s="1"/>
  <c r="F220" i="10"/>
  <c r="H220" i="10" s="1"/>
  <c r="H222" i="10" s="1"/>
  <c r="F216" i="10"/>
  <c r="H216" i="10" s="1"/>
  <c r="F215" i="10"/>
  <c r="H215" i="10" s="1"/>
  <c r="H217" i="10" s="1"/>
  <c r="F208" i="10"/>
  <c r="H208" i="10" s="1"/>
  <c r="F207" i="10"/>
  <c r="H207" i="10" s="1"/>
  <c r="F203" i="10"/>
  <c r="H203" i="10" s="1"/>
  <c r="F202" i="10"/>
  <c r="H202" i="10" s="1"/>
  <c r="H204" i="10" s="1"/>
  <c r="H198" i="10"/>
  <c r="F198" i="10"/>
  <c r="F197" i="10"/>
  <c r="H197" i="10" s="1"/>
  <c r="F193" i="10"/>
  <c r="H193" i="10" s="1"/>
  <c r="F192" i="10"/>
  <c r="H192" i="10" s="1"/>
  <c r="F188" i="10"/>
  <c r="H188" i="10" s="1"/>
  <c r="F187" i="10"/>
  <c r="H187" i="10" s="1"/>
  <c r="F183" i="10"/>
  <c r="H183" i="10" s="1"/>
  <c r="F182" i="10"/>
  <c r="H182" i="10" s="1"/>
  <c r="F178" i="10"/>
  <c r="H178" i="10" s="1"/>
  <c r="F177" i="10"/>
  <c r="H177" i="10" s="1"/>
  <c r="E173" i="10"/>
  <c r="F173" i="10" s="1"/>
  <c r="H173" i="10" s="1"/>
  <c r="E172" i="10"/>
  <c r="F172" i="10" s="1"/>
  <c r="H172" i="10" s="1"/>
  <c r="E171" i="10"/>
  <c r="F171" i="10" s="1"/>
  <c r="H171" i="10" s="1"/>
  <c r="E170" i="10"/>
  <c r="F170" i="10" s="1"/>
  <c r="H170" i="10" s="1"/>
  <c r="E169" i="10"/>
  <c r="F169" i="10" s="1"/>
  <c r="H169" i="10" s="1"/>
  <c r="E168" i="10"/>
  <c r="F168" i="10" s="1"/>
  <c r="H168" i="10" s="1"/>
  <c r="E167" i="10"/>
  <c r="F167" i="10" s="1"/>
  <c r="H167" i="10" s="1"/>
  <c r="E166" i="10"/>
  <c r="F166" i="10" s="1"/>
  <c r="H166" i="10" s="1"/>
  <c r="E165" i="10"/>
  <c r="F165" i="10" s="1"/>
  <c r="H165" i="10" s="1"/>
  <c r="E164" i="10"/>
  <c r="F164" i="10" s="1"/>
  <c r="H164" i="10" s="1"/>
  <c r="E163" i="10"/>
  <c r="F163" i="10" s="1"/>
  <c r="H163" i="10" s="1"/>
  <c r="E162" i="10"/>
  <c r="F162" i="10" s="1"/>
  <c r="H162" i="10" s="1"/>
  <c r="E161" i="10"/>
  <c r="F161" i="10" s="1"/>
  <c r="H161" i="10" s="1"/>
  <c r="E160" i="10"/>
  <c r="F160" i="10" s="1"/>
  <c r="H160" i="10" s="1"/>
  <c r="E159" i="10"/>
  <c r="F159" i="10" s="1"/>
  <c r="H159" i="10" s="1"/>
  <c r="E158" i="10"/>
  <c r="F158" i="10" s="1"/>
  <c r="H158" i="10" s="1"/>
  <c r="E157" i="10"/>
  <c r="F157" i="10" s="1"/>
  <c r="H157" i="10" s="1"/>
  <c r="E156" i="10"/>
  <c r="F156" i="10" s="1"/>
  <c r="H156" i="10" s="1"/>
  <c r="E155" i="10"/>
  <c r="F155" i="10" s="1"/>
  <c r="H155" i="10" s="1"/>
  <c r="E154" i="10"/>
  <c r="F154" i="10" s="1"/>
  <c r="H154" i="10" s="1"/>
  <c r="E153" i="10"/>
  <c r="F153" i="10" s="1"/>
  <c r="H153" i="10" s="1"/>
  <c r="F147" i="10"/>
  <c r="H147" i="10" s="1"/>
  <c r="F146" i="10"/>
  <c r="H146" i="10" s="1"/>
  <c r="F145" i="10"/>
  <c r="H145" i="10" s="1"/>
  <c r="F144" i="10"/>
  <c r="H144" i="10" s="1"/>
  <c r="F143" i="10"/>
  <c r="H143" i="10" s="1"/>
  <c r="F142" i="10"/>
  <c r="H142" i="10" s="1"/>
  <c r="F141" i="10"/>
  <c r="H141" i="10" s="1"/>
  <c r="F140" i="10"/>
  <c r="H140" i="10" s="1"/>
  <c r="F139" i="10"/>
  <c r="H139" i="10" s="1"/>
  <c r="F138" i="10"/>
  <c r="H138" i="10" s="1"/>
  <c r="F134" i="10"/>
  <c r="H134" i="10" s="1"/>
  <c r="F133" i="10"/>
  <c r="H133" i="10" s="1"/>
  <c r="F132" i="10"/>
  <c r="H132" i="10" s="1"/>
  <c r="F131" i="10"/>
  <c r="H131" i="10" s="1"/>
  <c r="F130" i="10"/>
  <c r="H130" i="10" s="1"/>
  <c r="F129" i="10"/>
  <c r="H129" i="10" s="1"/>
  <c r="F128" i="10"/>
  <c r="H128" i="10" s="1"/>
  <c r="F127" i="10"/>
  <c r="H127" i="10" s="1"/>
  <c r="F126" i="10"/>
  <c r="H126" i="10" s="1"/>
  <c r="F125" i="10"/>
  <c r="H125" i="10" s="1"/>
  <c r="F124" i="10"/>
  <c r="H124" i="10" s="1"/>
  <c r="F123" i="10"/>
  <c r="H123" i="10" s="1"/>
  <c r="F122" i="10"/>
  <c r="H122" i="10" s="1"/>
  <c r="F121" i="10"/>
  <c r="H121" i="10" s="1"/>
  <c r="F120" i="10"/>
  <c r="H120" i="10" s="1"/>
  <c r="F119" i="10"/>
  <c r="H119" i="10" s="1"/>
  <c r="F118" i="10"/>
  <c r="H118" i="10" s="1"/>
  <c r="F117" i="10"/>
  <c r="H117" i="10" s="1"/>
  <c r="F116" i="10"/>
  <c r="H116" i="10" s="1"/>
  <c r="F115" i="10"/>
  <c r="H115" i="10" s="1"/>
  <c r="F114" i="10"/>
  <c r="H114" i="10" s="1"/>
  <c r="F113" i="10"/>
  <c r="H113" i="10" s="1"/>
  <c r="F112" i="10"/>
  <c r="H112" i="10" s="1"/>
  <c r="F111" i="10"/>
  <c r="H111" i="10" s="1"/>
  <c r="F110" i="10"/>
  <c r="H110" i="10" s="1"/>
  <c r="F109" i="10"/>
  <c r="H109" i="10" s="1"/>
  <c r="F108" i="10"/>
  <c r="H108" i="10" s="1"/>
  <c r="F107" i="10"/>
  <c r="H107" i="10" s="1"/>
  <c r="F106" i="10"/>
  <c r="H106" i="10" s="1"/>
  <c r="F105" i="10"/>
  <c r="H105" i="10" s="1"/>
  <c r="F104" i="10"/>
  <c r="H104" i="10" s="1"/>
  <c r="F103" i="10"/>
  <c r="H103" i="10" s="1"/>
  <c r="F102" i="10"/>
  <c r="H102" i="10" s="1"/>
  <c r="F101" i="10"/>
  <c r="H101" i="10" s="1"/>
  <c r="F100" i="10"/>
  <c r="H100" i="10" s="1"/>
  <c r="F99" i="10"/>
  <c r="H99" i="10" s="1"/>
  <c r="F98" i="10"/>
  <c r="H98" i="10" s="1"/>
  <c r="F97" i="10"/>
  <c r="H97" i="10" s="1"/>
  <c r="F96" i="10"/>
  <c r="H96" i="10" s="1"/>
  <c r="F95" i="10"/>
  <c r="H95" i="10" s="1"/>
  <c r="F94" i="10"/>
  <c r="H94" i="10" s="1"/>
  <c r="F93" i="10"/>
  <c r="H93" i="10" s="1"/>
  <c r="F92" i="10"/>
  <c r="H92" i="10" s="1"/>
  <c r="F91" i="10"/>
  <c r="H91" i="10" s="1"/>
  <c r="F90" i="10"/>
  <c r="H90" i="10" s="1"/>
  <c r="F89" i="10"/>
  <c r="H89" i="10" s="1"/>
  <c r="F85" i="10"/>
  <c r="H85" i="10" s="1"/>
  <c r="F84" i="10"/>
  <c r="H84" i="10" s="1"/>
  <c r="F83" i="10"/>
  <c r="H83" i="10" s="1"/>
  <c r="F82" i="10"/>
  <c r="H82" i="10" s="1"/>
  <c r="F81" i="10"/>
  <c r="H81" i="10" s="1"/>
  <c r="F80" i="10"/>
  <c r="H80" i="10" s="1"/>
  <c r="F79" i="10"/>
  <c r="H79" i="10" s="1"/>
  <c r="F78" i="10"/>
  <c r="H78" i="10" s="1"/>
  <c r="F74" i="10"/>
  <c r="H74" i="10" s="1"/>
  <c r="F73" i="10"/>
  <c r="H73" i="10" s="1"/>
  <c r="F69" i="10"/>
  <c r="H69" i="10" s="1"/>
  <c r="F68" i="10"/>
  <c r="H68" i="10" s="1"/>
  <c r="F64" i="10"/>
  <c r="H64" i="10" s="1"/>
  <c r="F63" i="10"/>
  <c r="H63" i="10" s="1"/>
  <c r="F59" i="10"/>
  <c r="H59" i="10" s="1"/>
  <c r="F58" i="10"/>
  <c r="H58" i="10" s="1"/>
  <c r="F54" i="10"/>
  <c r="H54" i="10" s="1"/>
  <c r="F53" i="10"/>
  <c r="H53" i="10" s="1"/>
  <c r="F47" i="10"/>
  <c r="H47" i="10" s="1"/>
  <c r="F46" i="10"/>
  <c r="H46" i="10" s="1"/>
  <c r="F45" i="10"/>
  <c r="H45" i="10" s="1"/>
  <c r="F44" i="10"/>
  <c r="H44" i="10" s="1"/>
  <c r="F43" i="10"/>
  <c r="H43" i="10" s="1"/>
  <c r="F42" i="10"/>
  <c r="H42" i="10" s="1"/>
  <c r="F41" i="10"/>
  <c r="H41" i="10" s="1"/>
  <c r="F40" i="10"/>
  <c r="H40" i="10" s="1"/>
  <c r="F39" i="10"/>
  <c r="H39" i="10" s="1"/>
  <c r="F35" i="10"/>
  <c r="H35" i="10" s="1"/>
  <c r="F34" i="10"/>
  <c r="H34" i="10" s="1"/>
  <c r="F30" i="10"/>
  <c r="H30" i="10" s="1"/>
  <c r="F29" i="10"/>
  <c r="H29" i="10" s="1"/>
  <c r="F25" i="10"/>
  <c r="H25" i="10" s="1"/>
  <c r="F24" i="10"/>
  <c r="H24" i="10" s="1"/>
  <c r="F20" i="10"/>
  <c r="H20" i="10" s="1"/>
  <c r="F19" i="10"/>
  <c r="H19" i="10" s="1"/>
  <c r="F15" i="10"/>
  <c r="H15" i="10" s="1"/>
  <c r="H16" i="10" s="1"/>
  <c r="F14" i="10"/>
  <c r="H14" i="10" s="1"/>
  <c r="F10" i="10"/>
  <c r="H10" i="10" s="1"/>
  <c r="F9" i="10"/>
  <c r="H9" i="10" s="1"/>
  <c r="F5" i="10"/>
  <c r="H5" i="10" s="1"/>
  <c r="F4" i="10"/>
  <c r="H4" i="10" s="1"/>
  <c r="F67" i="9"/>
  <c r="H67" i="9" s="1"/>
  <c r="H66" i="9"/>
  <c r="F65" i="9"/>
  <c r="H65" i="9" s="1"/>
  <c r="F64" i="9"/>
  <c r="H64" i="9" s="1"/>
  <c r="F63" i="9"/>
  <c r="H63" i="9" s="1"/>
  <c r="F62" i="9"/>
  <c r="H62" i="9" s="1"/>
  <c r="F61" i="9"/>
  <c r="H61" i="9" s="1"/>
  <c r="H60" i="9"/>
  <c r="F60" i="9"/>
  <c r="F59" i="9"/>
  <c r="H59" i="9" s="1"/>
  <c r="F58" i="9"/>
  <c r="H58" i="9" s="1"/>
  <c r="F54" i="9"/>
  <c r="H54" i="9" s="1"/>
  <c r="F53" i="9"/>
  <c r="H53" i="9" s="1"/>
  <c r="F52" i="9"/>
  <c r="H52" i="9" s="1"/>
  <c r="F51" i="9"/>
  <c r="H51" i="9" s="1"/>
  <c r="F50" i="9"/>
  <c r="H50" i="9" s="1"/>
  <c r="F49" i="9"/>
  <c r="H49" i="9" s="1"/>
  <c r="F48" i="9"/>
  <c r="H48" i="9" s="1"/>
  <c r="F47" i="9"/>
  <c r="H47" i="9" s="1"/>
  <c r="F46" i="9"/>
  <c r="H46" i="9" s="1"/>
  <c r="F42" i="9"/>
  <c r="H42" i="9" s="1"/>
  <c r="F41" i="9"/>
  <c r="H41" i="9" s="1"/>
  <c r="F40" i="9"/>
  <c r="H40" i="9" s="1"/>
  <c r="H39" i="9"/>
  <c r="F39" i="9"/>
  <c r="F35" i="9"/>
  <c r="H35" i="9" s="1"/>
  <c r="F34" i="9"/>
  <c r="H34" i="9" s="1"/>
  <c r="F33" i="9"/>
  <c r="H33" i="9" s="1"/>
  <c r="F32" i="9"/>
  <c r="H32" i="9" s="1"/>
  <c r="F31" i="9"/>
  <c r="H31" i="9" s="1"/>
  <c r="F30" i="9"/>
  <c r="H30" i="9" s="1"/>
  <c r="F29" i="9"/>
  <c r="H29" i="9" s="1"/>
  <c r="F28" i="9"/>
  <c r="H28" i="9" s="1"/>
  <c r="F27" i="9"/>
  <c r="H27" i="9" s="1"/>
  <c r="F26" i="9"/>
  <c r="H26" i="9" s="1"/>
  <c r="F25" i="9"/>
  <c r="H25" i="9" s="1"/>
  <c r="F24" i="9"/>
  <c r="H24" i="9" s="1"/>
  <c r="F20" i="9"/>
  <c r="H20" i="9" s="1"/>
  <c r="F19" i="9"/>
  <c r="H19" i="9" s="1"/>
  <c r="H21" i="9" s="1"/>
  <c r="K7" i="9" s="1"/>
  <c r="K18" i="9"/>
  <c r="K17" i="9"/>
  <c r="K16" i="9"/>
  <c r="K15" i="9"/>
  <c r="F15" i="9"/>
  <c r="H15" i="9" s="1"/>
  <c r="K14" i="9"/>
  <c r="F14" i="9"/>
  <c r="H14" i="9" s="1"/>
  <c r="H16" i="9" s="1"/>
  <c r="K6" i="9" s="1"/>
  <c r="K13" i="9"/>
  <c r="K12" i="9"/>
  <c r="F10" i="9"/>
  <c r="H10" i="9" s="1"/>
  <c r="F9" i="9"/>
  <c r="H9" i="9" s="1"/>
  <c r="H11" i="9" s="1"/>
  <c r="K5" i="9" s="1"/>
  <c r="F5" i="9"/>
  <c r="H5" i="9" s="1"/>
  <c r="F4" i="9"/>
  <c r="H4" i="9" s="1"/>
  <c r="H6" i="9" s="1"/>
  <c r="H413" i="8"/>
  <c r="F413" i="8"/>
  <c r="F412" i="8"/>
  <c r="H412" i="8" s="1"/>
  <c r="F411" i="8"/>
  <c r="F410" i="8"/>
  <c r="H410" i="8" s="1"/>
  <c r="F409" i="8"/>
  <c r="H409" i="8" s="1"/>
  <c r="F408" i="8"/>
  <c r="H408" i="8" s="1"/>
  <c r="F407" i="8"/>
  <c r="H407" i="8" s="1"/>
  <c r="H406" i="8"/>
  <c r="F406" i="8"/>
  <c r="F405" i="8"/>
  <c r="H405" i="8" s="1"/>
  <c r="H404" i="8"/>
  <c r="F404" i="8"/>
  <c r="F400" i="8"/>
  <c r="H400" i="8" s="1"/>
  <c r="F399" i="8"/>
  <c r="H399" i="8" s="1"/>
  <c r="F398" i="8"/>
  <c r="H398" i="8" s="1"/>
  <c r="F397" i="8"/>
  <c r="H397" i="8" s="1"/>
  <c r="F396" i="8"/>
  <c r="H396" i="8" s="1"/>
  <c r="F395" i="8"/>
  <c r="H395" i="8" s="1"/>
  <c r="F394" i="8"/>
  <c r="H394" i="8" s="1"/>
  <c r="F390" i="8"/>
  <c r="H390" i="8" s="1"/>
  <c r="F389" i="8"/>
  <c r="H389" i="8" s="1"/>
  <c r="F388" i="8"/>
  <c r="H388" i="8" s="1"/>
  <c r="F387" i="8"/>
  <c r="H387" i="8" s="1"/>
  <c r="F386" i="8"/>
  <c r="H386" i="8" s="1"/>
  <c r="H391" i="8" s="1"/>
  <c r="F382" i="8"/>
  <c r="H382" i="8" s="1"/>
  <c r="H383" i="8" s="1"/>
  <c r="H381" i="8"/>
  <c r="F381" i="8"/>
  <c r="F377" i="8"/>
  <c r="H377" i="8" s="1"/>
  <c r="F376" i="8"/>
  <c r="H376" i="8" s="1"/>
  <c r="F372" i="8"/>
  <c r="H372" i="8" s="1"/>
  <c r="F371" i="8"/>
  <c r="H371" i="8" s="1"/>
  <c r="F367" i="8"/>
  <c r="H367" i="8" s="1"/>
  <c r="F366" i="8"/>
  <c r="H366" i="8" s="1"/>
  <c r="F362" i="8"/>
  <c r="H362" i="8" s="1"/>
  <c r="F361" i="8"/>
  <c r="H361" i="8" s="1"/>
  <c r="H363" i="8" s="1"/>
  <c r="F355" i="8"/>
  <c r="H355" i="8" s="1"/>
  <c r="F354" i="8"/>
  <c r="H354" i="8" s="1"/>
  <c r="F353" i="8"/>
  <c r="H353" i="8" s="1"/>
  <c r="F352" i="8"/>
  <c r="H352" i="8" s="1"/>
  <c r="F351" i="8"/>
  <c r="H351" i="8" s="1"/>
  <c r="F350" i="8"/>
  <c r="H350" i="8" s="1"/>
  <c r="F349" i="8"/>
  <c r="H349" i="8" s="1"/>
  <c r="F348" i="8"/>
  <c r="H348" i="8" s="1"/>
  <c r="F347" i="8"/>
  <c r="H347" i="8" s="1"/>
  <c r="F343" i="8"/>
  <c r="H343" i="8" s="1"/>
  <c r="F342" i="8"/>
  <c r="H342" i="8" s="1"/>
  <c r="F341" i="8"/>
  <c r="H341" i="8" s="1"/>
  <c r="F340" i="8"/>
  <c r="H340" i="8" s="1"/>
  <c r="F339" i="8"/>
  <c r="H339" i="8" s="1"/>
  <c r="F338" i="8"/>
  <c r="H338" i="8" s="1"/>
  <c r="F337" i="8"/>
  <c r="H337" i="8" s="1"/>
  <c r="F333" i="8"/>
  <c r="H333" i="8" s="1"/>
  <c r="F332" i="8"/>
  <c r="H332" i="8" s="1"/>
  <c r="F331" i="8"/>
  <c r="H331" i="8" s="1"/>
  <c r="H330" i="8"/>
  <c r="F330" i="8"/>
  <c r="F329" i="8"/>
  <c r="H329" i="8" s="1"/>
  <c r="F325" i="8"/>
  <c r="H325" i="8" s="1"/>
  <c r="F324" i="8"/>
  <c r="H324" i="8" s="1"/>
  <c r="H326" i="8" s="1"/>
  <c r="F320" i="8"/>
  <c r="H320" i="8" s="1"/>
  <c r="F319" i="8"/>
  <c r="H319" i="8" s="1"/>
  <c r="H321" i="8" s="1"/>
  <c r="F315" i="8"/>
  <c r="H315" i="8" s="1"/>
  <c r="H314" i="8"/>
  <c r="F314" i="8"/>
  <c r="F310" i="8"/>
  <c r="H310" i="8" s="1"/>
  <c r="F309" i="8"/>
  <c r="H309" i="8" s="1"/>
  <c r="F305" i="8"/>
  <c r="H305" i="8" s="1"/>
  <c r="F304" i="8"/>
  <c r="H304" i="8" s="1"/>
  <c r="H306" i="8" s="1"/>
  <c r="F298" i="8"/>
  <c r="H298" i="8" s="1"/>
  <c r="F297" i="8"/>
  <c r="H297" i="8" s="1"/>
  <c r="F296" i="8"/>
  <c r="H296" i="8" s="1"/>
  <c r="F295" i="8"/>
  <c r="H295" i="8" s="1"/>
  <c r="F294" i="8"/>
  <c r="H294" i="8" s="1"/>
  <c r="F293" i="8"/>
  <c r="H293" i="8" s="1"/>
  <c r="H292" i="8"/>
  <c r="F292" i="8"/>
  <c r="F291" i="8"/>
  <c r="H291" i="8" s="1"/>
  <c r="F290" i="8"/>
  <c r="H290" i="8" s="1"/>
  <c r="H289" i="8"/>
  <c r="F289" i="8"/>
  <c r="F285" i="8"/>
  <c r="H285" i="8" s="1"/>
  <c r="F284" i="8"/>
  <c r="H284" i="8" s="1"/>
  <c r="F283" i="8"/>
  <c r="H283" i="8" s="1"/>
  <c r="F282" i="8"/>
  <c r="H282" i="8" s="1"/>
  <c r="F281" i="8"/>
  <c r="H281" i="8" s="1"/>
  <c r="F280" i="8"/>
  <c r="H280" i="8" s="1"/>
  <c r="F279" i="8"/>
  <c r="H279" i="8" s="1"/>
  <c r="F275" i="8"/>
  <c r="H275" i="8" s="1"/>
  <c r="F274" i="8"/>
  <c r="H274" i="8" s="1"/>
  <c r="F273" i="8"/>
  <c r="H273" i="8" s="1"/>
  <c r="F272" i="8"/>
  <c r="H272" i="8" s="1"/>
  <c r="F271" i="8"/>
  <c r="H271" i="8" s="1"/>
  <c r="F267" i="8"/>
  <c r="H267" i="8" s="1"/>
  <c r="F266" i="8"/>
  <c r="H266" i="8" s="1"/>
  <c r="F262" i="8"/>
  <c r="H262" i="8" s="1"/>
  <c r="F261" i="8"/>
  <c r="H261" i="8" s="1"/>
  <c r="H263" i="8" s="1"/>
  <c r="F257" i="8"/>
  <c r="H257" i="8" s="1"/>
  <c r="F256" i="8"/>
  <c r="H256" i="8" s="1"/>
  <c r="H258" i="8" s="1"/>
  <c r="H252" i="8"/>
  <c r="F252" i="8"/>
  <c r="F251" i="8"/>
  <c r="H251" i="8" s="1"/>
  <c r="F247" i="8"/>
  <c r="H247" i="8" s="1"/>
  <c r="F246" i="8"/>
  <c r="H246" i="8" s="1"/>
  <c r="F240" i="8"/>
  <c r="H240" i="8" s="1"/>
  <c r="F239" i="8"/>
  <c r="H239" i="8" s="1"/>
  <c r="F238" i="8"/>
  <c r="H238" i="8" s="1"/>
  <c r="F237" i="8"/>
  <c r="H237" i="8" s="1"/>
  <c r="H236" i="8"/>
  <c r="F236" i="8"/>
  <c r="F235" i="8"/>
  <c r="H235" i="8" s="1"/>
  <c r="F234" i="8"/>
  <c r="H234" i="8" s="1"/>
  <c r="F233" i="8"/>
  <c r="H233" i="8" s="1"/>
  <c r="F232" i="8"/>
  <c r="H232" i="8" s="1"/>
  <c r="F228" i="8"/>
  <c r="H228" i="8" s="1"/>
  <c r="F227" i="8"/>
  <c r="H227" i="8" s="1"/>
  <c r="F226" i="8"/>
  <c r="H226" i="8" s="1"/>
  <c r="H225" i="8"/>
  <c r="F225" i="8"/>
  <c r="F224" i="8"/>
  <c r="H224" i="8" s="1"/>
  <c r="F223" i="8"/>
  <c r="H223" i="8" s="1"/>
  <c r="F222" i="8"/>
  <c r="H222" i="8" s="1"/>
  <c r="F218" i="8"/>
  <c r="H218" i="8" s="1"/>
  <c r="F217" i="8"/>
  <c r="H217" i="8" s="1"/>
  <c r="F216" i="8"/>
  <c r="H216" i="8" s="1"/>
  <c r="F215" i="8"/>
  <c r="H215" i="8" s="1"/>
  <c r="F214" i="8"/>
  <c r="H214" i="8" s="1"/>
  <c r="F210" i="8"/>
  <c r="H210" i="8" s="1"/>
  <c r="F209" i="8"/>
  <c r="H209" i="8" s="1"/>
  <c r="H211" i="8" s="1"/>
  <c r="F205" i="8"/>
  <c r="H205" i="8" s="1"/>
  <c r="F204" i="8"/>
  <c r="H204" i="8" s="1"/>
  <c r="F200" i="8"/>
  <c r="H200" i="8" s="1"/>
  <c r="F199" i="8"/>
  <c r="H199" i="8" s="1"/>
  <c r="H201" i="8" s="1"/>
  <c r="F195" i="8"/>
  <c r="H195" i="8" s="1"/>
  <c r="F194" i="8"/>
  <c r="H194" i="8" s="1"/>
  <c r="H196" i="8" s="1"/>
  <c r="F190" i="8"/>
  <c r="H190" i="8" s="1"/>
  <c r="F189" i="8"/>
  <c r="H189" i="8" s="1"/>
  <c r="F183" i="8"/>
  <c r="H183" i="8" s="1"/>
  <c r="H182" i="8"/>
  <c r="F182" i="8"/>
  <c r="F181" i="8"/>
  <c r="H181" i="8" s="1"/>
  <c r="F180" i="8"/>
  <c r="H180" i="8" s="1"/>
  <c r="F179" i="8"/>
  <c r="H179" i="8" s="1"/>
  <c r="F178" i="8"/>
  <c r="H178" i="8" s="1"/>
  <c r="F177" i="8"/>
  <c r="H177" i="8" s="1"/>
  <c r="H176" i="8"/>
  <c r="F176" i="8"/>
  <c r="F175" i="8"/>
  <c r="H175" i="8" s="1"/>
  <c r="F171" i="8"/>
  <c r="H171" i="8" s="1"/>
  <c r="F170" i="8"/>
  <c r="H170" i="8" s="1"/>
  <c r="F169" i="8"/>
  <c r="H169" i="8" s="1"/>
  <c r="F168" i="8"/>
  <c r="H168" i="8" s="1"/>
  <c r="F167" i="8"/>
  <c r="H167" i="8" s="1"/>
  <c r="F166" i="8"/>
  <c r="H166" i="8" s="1"/>
  <c r="F165" i="8"/>
  <c r="H165" i="8" s="1"/>
  <c r="H161" i="8"/>
  <c r="F161" i="8"/>
  <c r="F160" i="8"/>
  <c r="H160" i="8" s="1"/>
  <c r="F159" i="8"/>
  <c r="H159" i="8" s="1"/>
  <c r="F158" i="8"/>
  <c r="H158" i="8" s="1"/>
  <c r="F157" i="8"/>
  <c r="H157" i="8" s="1"/>
  <c r="F153" i="8"/>
  <c r="H153" i="8" s="1"/>
  <c r="F152" i="8"/>
  <c r="H152" i="8" s="1"/>
  <c r="H148" i="8"/>
  <c r="F148" i="8"/>
  <c r="F147" i="8"/>
  <c r="H147" i="8" s="1"/>
  <c r="F143" i="8"/>
  <c r="H143" i="8" s="1"/>
  <c r="F142" i="8"/>
  <c r="H142" i="8" s="1"/>
  <c r="H144" i="8" s="1"/>
  <c r="F138" i="8"/>
  <c r="H138" i="8" s="1"/>
  <c r="F137" i="8"/>
  <c r="H137" i="8" s="1"/>
  <c r="H139" i="8" s="1"/>
  <c r="F133" i="8"/>
  <c r="H133" i="8" s="1"/>
  <c r="F132" i="8"/>
  <c r="H132" i="8" s="1"/>
  <c r="F126" i="8"/>
  <c r="H126" i="8" s="1"/>
  <c r="F125" i="8"/>
  <c r="H125" i="8" s="1"/>
  <c r="F124" i="8"/>
  <c r="H124" i="8" s="1"/>
  <c r="F123" i="8"/>
  <c r="H123" i="8" s="1"/>
  <c r="F122" i="8"/>
  <c r="H122" i="8" s="1"/>
  <c r="F121" i="8"/>
  <c r="H121" i="8" s="1"/>
  <c r="F120" i="8"/>
  <c r="H120" i="8" s="1"/>
  <c r="F119" i="8"/>
  <c r="H119" i="8" s="1"/>
  <c r="F118" i="8"/>
  <c r="H118" i="8" s="1"/>
  <c r="F114" i="8"/>
  <c r="H114" i="8" s="1"/>
  <c r="H113" i="8"/>
  <c r="F113" i="8"/>
  <c r="H112" i="8"/>
  <c r="F112" i="8"/>
  <c r="F111" i="8"/>
  <c r="H111" i="8" s="1"/>
  <c r="F110" i="8"/>
  <c r="H110" i="8" s="1"/>
  <c r="F109" i="8"/>
  <c r="H109" i="8" s="1"/>
  <c r="F108" i="8"/>
  <c r="H108" i="8" s="1"/>
  <c r="F104" i="8"/>
  <c r="H104" i="8" s="1"/>
  <c r="F103" i="8"/>
  <c r="H103" i="8" s="1"/>
  <c r="F102" i="8"/>
  <c r="H102" i="8" s="1"/>
  <c r="F101" i="8"/>
  <c r="H101" i="8" s="1"/>
  <c r="F100" i="8"/>
  <c r="H100" i="8" s="1"/>
  <c r="F96" i="8"/>
  <c r="H96" i="8" s="1"/>
  <c r="F95" i="8"/>
  <c r="H95" i="8" s="1"/>
  <c r="H97" i="8" s="1"/>
  <c r="F91" i="8"/>
  <c r="H91" i="8" s="1"/>
  <c r="F90" i="8"/>
  <c r="H90" i="8" s="1"/>
  <c r="H92" i="8" s="1"/>
  <c r="H86" i="8"/>
  <c r="F86" i="8"/>
  <c r="F85" i="8"/>
  <c r="H85" i="8" s="1"/>
  <c r="F81" i="8"/>
  <c r="H81" i="8" s="1"/>
  <c r="F80" i="8"/>
  <c r="H80" i="8" s="1"/>
  <c r="F76" i="8"/>
  <c r="H76" i="8" s="1"/>
  <c r="F75" i="8"/>
  <c r="H75" i="8" s="1"/>
  <c r="H77" i="8" s="1"/>
  <c r="F69" i="8"/>
  <c r="H69" i="8" s="1"/>
  <c r="F68" i="8"/>
  <c r="H68" i="8" s="1"/>
  <c r="H67" i="8"/>
  <c r="F67" i="8"/>
  <c r="F66" i="8"/>
  <c r="H66" i="8" s="1"/>
  <c r="F65" i="8"/>
  <c r="H65" i="8" s="1"/>
  <c r="F64" i="8"/>
  <c r="H64" i="8" s="1"/>
  <c r="F60" i="8"/>
  <c r="H60" i="8" s="1"/>
  <c r="F59" i="8"/>
  <c r="H59" i="8" s="1"/>
  <c r="F58" i="8"/>
  <c r="H58" i="8" s="1"/>
  <c r="H57" i="8"/>
  <c r="F57" i="8"/>
  <c r="F56" i="8"/>
  <c r="H56" i="8" s="1"/>
  <c r="F55" i="8"/>
  <c r="H55" i="8" s="1"/>
  <c r="F54" i="8"/>
  <c r="H54" i="8" s="1"/>
  <c r="H53" i="8"/>
  <c r="F53" i="8"/>
  <c r="F52" i="8"/>
  <c r="H52" i="8" s="1"/>
  <c r="F51" i="8"/>
  <c r="H51" i="8" s="1"/>
  <c r="F50" i="8"/>
  <c r="H50" i="8" s="1"/>
  <c r="H49" i="8"/>
  <c r="F49" i="8"/>
  <c r="F48" i="8"/>
  <c r="H48" i="8" s="1"/>
  <c r="F47" i="8"/>
  <c r="H47" i="8" s="1"/>
  <c r="F43" i="8"/>
  <c r="H43" i="8" s="1"/>
  <c r="F42" i="8"/>
  <c r="H42" i="8" s="1"/>
  <c r="F38" i="8"/>
  <c r="H38" i="8" s="1"/>
  <c r="F37" i="8"/>
  <c r="H37" i="8" s="1"/>
  <c r="H36" i="8"/>
  <c r="F36" i="8"/>
  <c r="F35" i="8"/>
  <c r="H35" i="8" s="1"/>
  <c r="F34" i="8"/>
  <c r="H34" i="8" s="1"/>
  <c r="F33" i="8"/>
  <c r="H33" i="8" s="1"/>
  <c r="F32" i="8"/>
  <c r="H32" i="8" s="1"/>
  <c r="F31" i="8"/>
  <c r="H31" i="8" s="1"/>
  <c r="F30" i="8"/>
  <c r="H30" i="8" s="1"/>
  <c r="F29" i="8"/>
  <c r="H29" i="8" s="1"/>
  <c r="H28" i="8"/>
  <c r="F28" i="8"/>
  <c r="K27" i="8"/>
  <c r="F27" i="8"/>
  <c r="H27" i="8" s="1"/>
  <c r="K26" i="8"/>
  <c r="F26" i="8"/>
  <c r="H26" i="8" s="1"/>
  <c r="K25" i="8"/>
  <c r="F25" i="8"/>
  <c r="H25" i="8" s="1"/>
  <c r="K24" i="8"/>
  <c r="F24" i="8"/>
  <c r="H24" i="8" s="1"/>
  <c r="K23" i="8"/>
  <c r="K22" i="8"/>
  <c r="F20" i="8"/>
  <c r="H20" i="8" s="1"/>
  <c r="F19" i="8"/>
  <c r="H19" i="8" s="1"/>
  <c r="K18" i="8"/>
  <c r="K17" i="8"/>
  <c r="K16" i="8"/>
  <c r="K15" i="8"/>
  <c r="F15" i="8"/>
  <c r="H15" i="8" s="1"/>
  <c r="K14" i="8"/>
  <c r="F14" i="8"/>
  <c r="H14" i="8" s="1"/>
  <c r="K13" i="8"/>
  <c r="K12" i="8"/>
  <c r="F10" i="8"/>
  <c r="H10" i="8" s="1"/>
  <c r="F9" i="8"/>
  <c r="H9" i="8" s="1"/>
  <c r="F5" i="8"/>
  <c r="H5" i="8" s="1"/>
  <c r="F4" i="8"/>
  <c r="H4" i="8" s="1"/>
  <c r="H6" i="8" s="1"/>
  <c r="H21" i="10" l="1"/>
  <c r="H1432" i="10"/>
  <c r="H1473" i="10"/>
  <c r="H1448" i="10"/>
  <c r="H776" i="10"/>
  <c r="H209" i="10"/>
  <c r="H965" i="10"/>
  <c r="H1581" i="10"/>
  <c r="H815" i="10"/>
  <c r="H997" i="10"/>
  <c r="H1616" i="10"/>
  <c r="H1760" i="10"/>
  <c r="K14" i="10" s="1"/>
  <c r="H227" i="10"/>
  <c r="H75" i="10"/>
  <c r="H11" i="10"/>
  <c r="H944" i="10"/>
  <c r="H55" i="10"/>
  <c r="H194" i="10"/>
  <c r="H825" i="10"/>
  <c r="H907" i="10"/>
  <c r="H1239" i="10"/>
  <c r="H1440" i="10"/>
  <c r="H1770" i="10"/>
  <c r="K16" i="10" s="1"/>
  <c r="H70" i="8"/>
  <c r="H179" i="10"/>
  <c r="H11" i="8"/>
  <c r="H6" i="10"/>
  <c r="H347" i="10"/>
  <c r="H593" i="10"/>
  <c r="H368" i="8"/>
  <c r="H189" i="10"/>
  <c r="H1160" i="10"/>
  <c r="H16" i="8"/>
  <c r="H149" i="8"/>
  <c r="H191" i="8"/>
  <c r="H26" i="10"/>
  <c r="H199" i="10"/>
  <c r="H583" i="10"/>
  <c r="H694" i="10"/>
  <c r="H1066" i="10"/>
  <c r="H31" i="10"/>
  <c r="H65" i="10"/>
  <c r="H786" i="10"/>
  <c r="H954" i="10"/>
  <c r="H1082" i="10"/>
  <c r="H1109" i="10"/>
  <c r="H1169" i="10"/>
  <c r="H1224" i="10"/>
  <c r="H1377" i="10"/>
  <c r="H815" i="11"/>
  <c r="H982" i="11"/>
  <c r="H1045" i="11"/>
  <c r="H1109" i="11"/>
  <c r="H1244" i="11"/>
  <c r="H509" i="10"/>
  <c r="H1279" i="10"/>
  <c r="H1688" i="10"/>
  <c r="H1743" i="10"/>
  <c r="H134" i="8"/>
  <c r="H1662" i="10"/>
  <c r="H194" i="11"/>
  <c r="H847" i="11"/>
  <c r="H1229" i="11"/>
  <c r="H1372" i="11"/>
  <c r="H1599" i="10"/>
  <c r="H803" i="11"/>
  <c r="H820" i="11"/>
  <c r="H917" i="11"/>
  <c r="H1058" i="11"/>
  <c r="H68" i="9"/>
  <c r="K11" i="9" s="1"/>
  <c r="H154" i="8"/>
  <c r="H791" i="10"/>
  <c r="H1020" i="11"/>
  <c r="H1465" i="11"/>
  <c r="H44" i="8"/>
  <c r="H1409" i="10"/>
  <c r="H1607" i="10"/>
  <c r="H222" i="11"/>
  <c r="H492" i="11"/>
  <c r="H1672" i="11"/>
  <c r="H468" i="10"/>
  <c r="H1152" i="10"/>
  <c r="H82" i="8"/>
  <c r="H206" i="8"/>
  <c r="H248" i="8"/>
  <c r="K4" i="8" s="1"/>
  <c r="H373" i="8"/>
  <c r="H704" i="10"/>
  <c r="H900" i="10"/>
  <c r="H1289" i="10"/>
  <c r="H75" i="11"/>
  <c r="H148" i="11"/>
  <c r="H36" i="10"/>
  <c r="H912" i="10"/>
  <c r="H21" i="8"/>
  <c r="H61" i="8"/>
  <c r="H268" i="8"/>
  <c r="H311" i="8"/>
  <c r="H344" i="8"/>
  <c r="H1074" i="10"/>
  <c r="H1522" i="10"/>
  <c r="H16" i="11"/>
  <c r="H60" i="11"/>
  <c r="H468" i="11"/>
  <c r="H1012" i="11"/>
  <c r="H87" i="8"/>
  <c r="H253" i="8"/>
  <c r="H276" i="8"/>
  <c r="H43" i="9"/>
  <c r="K9" i="9" s="1"/>
  <c r="H60" i="10"/>
  <c r="H148" i="10"/>
  <c r="H492" i="10"/>
  <c r="H552" i="10"/>
  <c r="H607" i="10"/>
  <c r="H742" i="10"/>
  <c r="H753" i="10"/>
  <c r="H761" i="10"/>
  <c r="H781" i="10"/>
  <c r="H1134" i="10"/>
  <c r="H1244" i="10"/>
  <c r="H1274" i="10"/>
  <c r="H1424" i="10"/>
  <c r="H1672" i="10"/>
  <c r="H184" i="11"/>
  <c r="H209" i="11"/>
  <c r="H676" i="11"/>
  <c r="H730" i="11"/>
  <c r="H954" i="11"/>
  <c r="H1074" i="11"/>
  <c r="H1239" i="11"/>
  <c r="H1294" i="11"/>
  <c r="H1662" i="11"/>
  <c r="G16" i="13"/>
  <c r="H268" i="11"/>
  <c r="H1144" i="11"/>
  <c r="H1279" i="11"/>
  <c r="H1414" i="11"/>
  <c r="H1514" i="11"/>
  <c r="H1530" i="11"/>
  <c r="K9" i="12"/>
  <c r="K43" i="12"/>
  <c r="K57" i="12"/>
  <c r="K70" i="12"/>
  <c r="K75" i="12"/>
  <c r="G12" i="13"/>
  <c r="G32" i="13"/>
  <c r="H1568" i="10"/>
  <c r="H1653" i="10"/>
  <c r="H1765" i="10"/>
  <c r="K15" i="10" s="1"/>
  <c r="H21" i="11"/>
  <c r="H607" i="11"/>
  <c r="H1082" i="11"/>
  <c r="H1234" i="11"/>
  <c r="H1688" i="11"/>
  <c r="G8" i="13"/>
  <c r="H1555" i="11"/>
  <c r="H1680" i="11"/>
  <c r="H1755" i="11"/>
  <c r="K13" i="11" s="1"/>
  <c r="K10" i="12"/>
  <c r="K28" i="12"/>
  <c r="K71" i="12"/>
  <c r="H204" i="11"/>
  <c r="H227" i="11"/>
  <c r="H509" i="11"/>
  <c r="H570" i="11"/>
  <c r="H583" i="11"/>
  <c r="H653" i="11"/>
  <c r="H761" i="11"/>
  <c r="H805" i="11" s="1"/>
  <c r="H1152" i="11"/>
  <c r="H1284" i="11"/>
  <c r="H1424" i="11"/>
  <c r="H1568" i="11"/>
  <c r="H1591" i="11"/>
  <c r="H1723" i="11"/>
  <c r="H1743" i="11"/>
  <c r="K51" i="12"/>
  <c r="H1360" i="11"/>
  <c r="G34" i="13"/>
  <c r="H1249" i="10"/>
  <c r="H1382" i="10"/>
  <c r="H1750" i="10"/>
  <c r="K12" i="10" s="1"/>
  <c r="H1775" i="10"/>
  <c r="K17" i="10" s="1"/>
  <c r="H11" i="11"/>
  <c r="H48" i="11"/>
  <c r="H232" i="11"/>
  <c r="H781" i="11"/>
  <c r="H1066" i="11"/>
  <c r="H1224" i="11"/>
  <c r="H1269" i="11" s="1"/>
  <c r="H1697" i="11"/>
  <c r="H1745" i="11" s="1"/>
  <c r="K13" i="12"/>
  <c r="K22" i="12"/>
  <c r="K46" i="12"/>
  <c r="K68" i="12"/>
  <c r="K77" i="12"/>
  <c r="G5" i="13"/>
  <c r="G14" i="13"/>
  <c r="G30" i="13"/>
  <c r="G39" i="13"/>
  <c r="G35" i="13"/>
  <c r="H1760" i="11"/>
  <c r="K14" i="11" s="1"/>
  <c r="K31" i="12"/>
  <c r="G31" i="13"/>
  <c r="H1367" i="10"/>
  <c r="H1591" i="10"/>
  <c r="H1697" i="10"/>
  <c r="H1780" i="10"/>
  <c r="K18" i="10" s="1"/>
  <c r="H552" i="11"/>
  <c r="H786" i="11"/>
  <c r="H900" i="11"/>
  <c r="H1274" i="11"/>
  <c r="H1765" i="11"/>
  <c r="K15" i="11" s="1"/>
  <c r="K42" i="12"/>
  <c r="G11" i="13"/>
  <c r="G27" i="13"/>
  <c r="G26" i="13"/>
  <c r="G33" i="13"/>
  <c r="G40" i="13"/>
  <c r="G6" i="13"/>
  <c r="G13" i="13"/>
  <c r="G15" i="13"/>
  <c r="G29" i="13"/>
  <c r="G36" i="13"/>
  <c r="K27" i="12"/>
  <c r="K40" i="12"/>
  <c r="K69" i="12"/>
  <c r="K16" i="12"/>
  <c r="K55" i="12"/>
  <c r="K79" i="12"/>
  <c r="K7" i="12"/>
  <c r="K74" i="12"/>
  <c r="H427" i="11"/>
  <c r="H1267" i="11"/>
  <c r="H895" i="11"/>
  <c r="H174" i="11"/>
  <c r="H949" i="11"/>
  <c r="H1506" i="11"/>
  <c r="H1599" i="11"/>
  <c r="H484" i="11"/>
  <c r="H1642" i="11"/>
  <c r="H281" i="11"/>
  <c r="H304" i="11"/>
  <c r="H1101" i="11"/>
  <c r="H26" i="11"/>
  <c r="H179" i="11"/>
  <c r="K5" i="11" s="1"/>
  <c r="H320" i="11"/>
  <c r="H1367" i="11"/>
  <c r="H1416" i="11" s="1"/>
  <c r="H1216" i="11"/>
  <c r="H520" i="11"/>
  <c r="H1355" i="11"/>
  <c r="H666" i="11"/>
  <c r="H86" i="11"/>
  <c r="H1734" i="11"/>
  <c r="H939" i="11"/>
  <c r="H997" i="11"/>
  <c r="H1634" i="11"/>
  <c r="H753" i="11"/>
  <c r="H742" i="11"/>
  <c r="H965" i="11"/>
  <c r="H1289" i="11"/>
  <c r="H245" i="11"/>
  <c r="H347" i="11"/>
  <c r="H460" i="11"/>
  <c r="H1362" i="11"/>
  <c r="H1187" i="11"/>
  <c r="H766" i="11"/>
  <c r="H1581" i="11"/>
  <c r="H632" i="11"/>
  <c r="H1547" i="11"/>
  <c r="H1522" i="11"/>
  <c r="H704" i="11"/>
  <c r="H1032" i="11"/>
  <c r="H685" i="11"/>
  <c r="H135" i="11"/>
  <c r="H907" i="11"/>
  <c r="H1715" i="11"/>
  <c r="H1483" i="11"/>
  <c r="H1134" i="11"/>
  <c r="H1653" i="11"/>
  <c r="H1308" i="11"/>
  <c r="H1399" i="11"/>
  <c r="H544" i="11"/>
  <c r="H585" i="11" s="1"/>
  <c r="H830" i="11"/>
  <c r="H902" i="11" s="1"/>
  <c r="H1195" i="11"/>
  <c r="H1218" i="11" s="1"/>
  <c r="H616" i="11"/>
  <c r="H720" i="11"/>
  <c r="H1160" i="11"/>
  <c r="H602" i="11"/>
  <c r="H1432" i="11"/>
  <c r="H1448" i="11"/>
  <c r="H1473" i="11"/>
  <c r="H1497" i="11" s="1"/>
  <c r="H1616" i="11"/>
  <c r="H1120" i="11"/>
  <c r="H1206" i="11"/>
  <c r="H944" i="11"/>
  <c r="H1607" i="11"/>
  <c r="H1495" i="11"/>
  <c r="H281" i="10"/>
  <c r="H499" i="10"/>
  <c r="H1032" i="10"/>
  <c r="H685" i="10"/>
  <c r="H1506" i="10"/>
  <c r="H135" i="10"/>
  <c r="H653" i="10"/>
  <c r="H1680" i="10"/>
  <c r="H460" i="10"/>
  <c r="H895" i="10"/>
  <c r="H184" i="10"/>
  <c r="H570" i="10"/>
  <c r="H820" i="10"/>
  <c r="H666" i="10"/>
  <c r="H268" i="10"/>
  <c r="H320" i="10"/>
  <c r="H484" i="10"/>
  <c r="H1355" i="10"/>
  <c r="H304" i="10"/>
  <c r="H1206" i="10"/>
  <c r="H1642" i="10"/>
  <c r="H616" i="10"/>
  <c r="H1483" i="10"/>
  <c r="H1195" i="10"/>
  <c r="H1495" i="10"/>
  <c r="H766" i="10"/>
  <c r="H48" i="10"/>
  <c r="H602" i="10"/>
  <c r="H1144" i="10"/>
  <c r="H70" i="10"/>
  <c r="H676" i="10"/>
  <c r="H917" i="10"/>
  <c r="H1530" i="10"/>
  <c r="H1229" i="10"/>
  <c r="H1308" i="10"/>
  <c r="H86" i="10"/>
  <c r="H1120" i="10"/>
  <c r="H253" i="10"/>
  <c r="H847" i="10"/>
  <c r="H1045" i="10"/>
  <c r="H174" i="10"/>
  <c r="H803" i="10"/>
  <c r="H1514" i="10"/>
  <c r="H1723" i="10"/>
  <c r="H922" i="10"/>
  <c r="H427" i="10"/>
  <c r="H730" i="10"/>
  <c r="H1058" i="10"/>
  <c r="H1267" i="10"/>
  <c r="H520" i="10"/>
  <c r="H1372" i="10"/>
  <c r="H1404" i="10"/>
  <c r="H1734" i="10"/>
  <c r="H1216" i="10"/>
  <c r="H36" i="9"/>
  <c r="K8" i="9" s="1"/>
  <c r="K4" i="9"/>
  <c r="H55" i="9"/>
  <c r="K10" i="9" s="1"/>
  <c r="H39" i="8"/>
  <c r="K8" i="8" s="1"/>
  <c r="H229" i="8"/>
  <c r="K6" i="8"/>
  <c r="H127" i="8"/>
  <c r="H414" i="8"/>
  <c r="H356" i="8"/>
  <c r="H299" i="8"/>
  <c r="H219" i="8"/>
  <c r="H401" i="8"/>
  <c r="H241" i="8"/>
  <c r="H316" i="8"/>
  <c r="H378" i="8"/>
  <c r="K5" i="8"/>
  <c r="H105" i="8"/>
  <c r="H334" i="8"/>
  <c r="H172" i="8"/>
  <c r="H115" i="8"/>
  <c r="H184" i="8"/>
  <c r="H286" i="8"/>
  <c r="H162" i="8"/>
  <c r="H186" i="8" s="1"/>
  <c r="H1269" i="10" l="1"/>
  <c r="K6" i="10"/>
  <c r="H494" i="10"/>
  <c r="K5" i="10"/>
  <c r="K9" i="10"/>
  <c r="H283" i="11"/>
  <c r="K36" i="11" s="1"/>
  <c r="H755" i="11"/>
  <c r="K6" i="11"/>
  <c r="H211" i="11"/>
  <c r="H416" i="8"/>
  <c r="H243" i="8"/>
  <c r="H805" i="10"/>
  <c r="H1362" i="10"/>
  <c r="H358" i="8"/>
  <c r="H301" i="8"/>
  <c r="H211" i="10"/>
  <c r="K10" i="10"/>
  <c r="K9" i="8"/>
  <c r="K10" i="11"/>
  <c r="H1136" i="11"/>
  <c r="K11" i="8"/>
  <c r="K9" i="11"/>
  <c r="K10" i="8"/>
  <c r="K19" i="8" s="1"/>
  <c r="K7" i="11"/>
  <c r="H902" i="10"/>
  <c r="K7" i="10"/>
  <c r="H1664" i="11"/>
  <c r="H150" i="11"/>
  <c r="K11" i="11"/>
  <c r="H668" i="11"/>
  <c r="K8" i="11"/>
  <c r="H956" i="11"/>
  <c r="H494" i="11"/>
  <c r="H1583" i="11"/>
  <c r="H50" i="11"/>
  <c r="H1047" i="11"/>
  <c r="K4" i="11"/>
  <c r="K11" i="10"/>
  <c r="K4" i="10"/>
  <c r="H50" i="10"/>
  <c r="K35" i="10" s="1"/>
  <c r="H150" i="10"/>
  <c r="K19" i="9"/>
  <c r="L8" i="9" s="1"/>
  <c r="H70" i="9"/>
  <c r="K7" i="8"/>
  <c r="H129" i="8"/>
  <c r="H72" i="8"/>
  <c r="L10" i="9" l="1"/>
  <c r="K19" i="11"/>
  <c r="L4" i="11" s="1"/>
  <c r="L16" i="9"/>
  <c r="L5" i="9"/>
  <c r="L18" i="9"/>
  <c r="L13" i="9"/>
  <c r="L6" i="9"/>
  <c r="L14" i="9"/>
  <c r="L17" i="9"/>
  <c r="L12" i="9"/>
  <c r="L11" i="9"/>
  <c r="L7" i="9"/>
  <c r="L15" i="9"/>
  <c r="L9" i="9"/>
  <c r="L4" i="9"/>
  <c r="L13" i="8"/>
  <c r="L14" i="8"/>
  <c r="L17" i="8"/>
  <c r="L18" i="8"/>
  <c r="L16" i="8"/>
  <c r="L15" i="8"/>
  <c r="L12" i="8"/>
  <c r="L4" i="8"/>
  <c r="L8" i="8"/>
  <c r="L7" i="8"/>
  <c r="L6" i="8"/>
  <c r="L5" i="8"/>
  <c r="L10" i="8"/>
  <c r="L9" i="8"/>
  <c r="L11" i="8"/>
  <c r="L8" i="11" l="1"/>
  <c r="L19" i="9"/>
  <c r="L18" i="11"/>
  <c r="L17" i="11"/>
  <c r="L16" i="11"/>
  <c r="L14" i="11"/>
  <c r="L12" i="11"/>
  <c r="L13" i="11"/>
  <c r="L15" i="11"/>
  <c r="L7" i="11"/>
  <c r="L10" i="11"/>
  <c r="L11" i="11"/>
  <c r="L9" i="11"/>
  <c r="L6" i="11"/>
  <c r="L5" i="11"/>
  <c r="L19" i="8"/>
  <c r="L19" i="11" l="1"/>
  <c r="G235" i="10"/>
  <c r="H235" i="10" s="1"/>
  <c r="H245" i="10" s="1"/>
  <c r="H283" i="10" s="1"/>
  <c r="G925" i="10"/>
  <c r="H925" i="10" s="1"/>
  <c r="H939" i="10" s="1"/>
  <c r="H956" i="10" s="1"/>
  <c r="G1000" i="10"/>
  <c r="H1000" i="10" s="1"/>
  <c r="H1012" i="10" s="1"/>
  <c r="H1047" i="10" s="1"/>
  <c r="G1535" i="10"/>
  <c r="H1535" i="10" s="1"/>
  <c r="H1547" i="10" s="1"/>
  <c r="H1583" i="10" s="1"/>
  <c r="G1451" i="10"/>
  <c r="H1451" i="10" s="1"/>
  <c r="H1465" i="10" s="1"/>
  <c r="H1497" i="10" s="1"/>
  <c r="G1385" i="10"/>
  <c r="H1385" i="10" s="1"/>
  <c r="H1399" i="10" s="1"/>
  <c r="H1416" i="10" s="1"/>
  <c r="G619" i="10"/>
  <c r="H619" i="10" s="1"/>
  <c r="H632" i="10" s="1"/>
  <c r="H668" i="10" s="1"/>
  <c r="G526" i="10"/>
  <c r="H526" i="10" s="1"/>
  <c r="H544" i="10" s="1"/>
  <c r="G1174" i="10"/>
  <c r="H1174" i="10" s="1"/>
  <c r="H1187" i="10" s="1"/>
  <c r="H1218" i="10" s="1"/>
  <c r="G1085" i="10"/>
  <c r="H1085" i="10" s="1"/>
  <c r="H1101" i="10" s="1"/>
  <c r="H1136" i="10" s="1"/>
  <c r="G1700" i="10"/>
  <c r="H1700" i="10" s="1"/>
  <c r="H1715" i="10" s="1"/>
  <c r="H1745" i="10" s="1"/>
  <c r="G707" i="10"/>
  <c r="H707" i="10" s="1"/>
  <c r="H720" i="10" s="1"/>
  <c r="H755" i="10" s="1"/>
  <c r="G1619" i="10"/>
  <c r="H1619" i="10" s="1"/>
  <c r="H1634" i="10" s="1"/>
  <c r="H1664" i="10" s="1"/>
  <c r="K37" i="10" l="1"/>
  <c r="K38" i="10"/>
  <c r="H585" i="10"/>
  <c r="K36" i="10" s="1"/>
  <c r="K8" i="10"/>
  <c r="K39" i="10" l="1"/>
  <c r="K19" i="10"/>
  <c r="L8" i="10" s="1"/>
  <c r="L15" i="10" l="1"/>
  <c r="L11" i="10"/>
  <c r="L17" i="10"/>
  <c r="L10" i="10"/>
  <c r="L13" i="10"/>
  <c r="L16" i="10"/>
  <c r="L12" i="10"/>
  <c r="L9" i="10"/>
  <c r="L18" i="10"/>
  <c r="L7" i="10"/>
  <c r="L6" i="10"/>
  <c r="L14" i="10"/>
  <c r="L5" i="10"/>
  <c r="L4" i="10"/>
  <c r="L19" i="10" l="1"/>
</calcChain>
</file>

<file path=xl/sharedStrings.xml><?xml version="1.0" encoding="utf-8"?>
<sst xmlns="http://schemas.openxmlformats.org/spreadsheetml/2006/main" count="2700" uniqueCount="922">
  <si>
    <t>SCHEDULE 01.0a: FULL COSTING: DIALYSIS MAINTENANCE</t>
  </si>
  <si>
    <t>SCHEDULE 01.0b: DIALYSIS MAINTENANCE [SUMMATED TDABC]</t>
  </si>
  <si>
    <t>ACTIVITY/PROCEDURE      PERFORMED</t>
  </si>
  <si>
    <t xml:space="preserve"> RESOURCES INVOLVED</t>
  </si>
  <si>
    <t>Qnty or # of Resource/ Activity/ Procedure/ Patient</t>
  </si>
  <si>
    <t>Time Spent by one unit of Resource/Unit of Activity/Procedure/Patient [Min]</t>
  </si>
  <si>
    <t>Resource Total Time/ Activity/ Procedure/ Patient [Min]</t>
  </si>
  <si>
    <t>Rates &amp;Prices / Min of Resource [ TZS]</t>
  </si>
  <si>
    <t>ResourceTotal Cost/ Activity/ Procedure/ Patient [TZS]</t>
  </si>
  <si>
    <t>RESOURCES INVOLVED</t>
  </si>
  <si>
    <t>COST / RESOURCE / PATIENT [TZS]</t>
  </si>
  <si>
    <t>PERCENTAGE %</t>
  </si>
  <si>
    <t>Annual Dialysis Maintenance</t>
  </si>
  <si>
    <t>1. Annual Cost</t>
  </si>
  <si>
    <t>A1: Human Resource</t>
  </si>
  <si>
    <t>A. Human Resource [A1-7]</t>
  </si>
  <si>
    <t>B. Medical Equipments/Machinery [B1-B7]</t>
  </si>
  <si>
    <t>A1: Total Amount</t>
  </si>
  <si>
    <t>C. Medical Furniture/Fittings [C1-C7]</t>
  </si>
  <si>
    <t>D. Medical Consumables/Supplies [D1-D7]</t>
  </si>
  <si>
    <t>B1: Medical Equipments/Machinery</t>
  </si>
  <si>
    <t>E. Drugs/Medication [E1-E7]</t>
  </si>
  <si>
    <t>F. Radiology Investigations [F1-F7]</t>
  </si>
  <si>
    <t>G. Laboratory Investigations [G1-G7]</t>
  </si>
  <si>
    <t>B1: Total Amount</t>
  </si>
  <si>
    <t>H. Relevant TDABC priced procedures [H1-H7]</t>
  </si>
  <si>
    <t>I: Computer &amp; ICT</t>
  </si>
  <si>
    <t>C1: Medical Furniture/Fittings</t>
  </si>
  <si>
    <t>J: Utilities &amp; Stationeries</t>
  </si>
  <si>
    <t>K: Sterilization &amp; Incineration</t>
  </si>
  <si>
    <t>L: Laundry Services</t>
  </si>
  <si>
    <t>C1: Total Amount</t>
  </si>
  <si>
    <t>M: Building/Space</t>
  </si>
  <si>
    <t>N: Medical Equipment Maintenance</t>
  </si>
  <si>
    <t>D1: Medical Consumables/Supplies</t>
  </si>
  <si>
    <t>O: Administrative Support</t>
  </si>
  <si>
    <t>Grand Total Amount</t>
  </si>
  <si>
    <t>D1: Total Amount</t>
  </si>
  <si>
    <t xml:space="preserve">Possible complication: </t>
  </si>
  <si>
    <t>%</t>
  </si>
  <si>
    <t>Admission for Infection (Non-tunneled CVC)</t>
  </si>
  <si>
    <t>E1: Drugs/Medication</t>
  </si>
  <si>
    <t>Admission for Thrombosis (Non-tunneled CVC)</t>
  </si>
  <si>
    <t>Bisoprolol 10 mg</t>
  </si>
  <si>
    <t>Admission for Catheter-related Infection (Tunneled CVC)</t>
  </si>
  <si>
    <t>Nifedipine 20 mg tablet</t>
  </si>
  <si>
    <t>Admission for Thrombosis (Tunneled CVC)</t>
  </si>
  <si>
    <t>Hydralazine 25 mg</t>
  </si>
  <si>
    <t>Admission for Aneurysm (AVF)</t>
  </si>
  <si>
    <t>Losartan-HCTZ 50-12.5mg</t>
  </si>
  <si>
    <t>Admission for Thrombosis (AVF)</t>
  </si>
  <si>
    <t>Glimeperide 1 mg tablet</t>
  </si>
  <si>
    <t>Insulin regular 1000 U/vial</t>
  </si>
  <si>
    <t>Erythropoietin 4000 IU IV</t>
  </si>
  <si>
    <t>Iron sucrose 100 mg IV</t>
  </si>
  <si>
    <t>Sevelamer 800 mg tablet</t>
  </si>
  <si>
    <t>Furosemide 40 mg</t>
  </si>
  <si>
    <t>Atorvastatin 20 mg</t>
  </si>
  <si>
    <t>Vitamin D</t>
  </si>
  <si>
    <t>E1: Total Amount</t>
  </si>
  <si>
    <t>F1: Radiology Investigations</t>
  </si>
  <si>
    <t>F1: Total Amount</t>
  </si>
  <si>
    <t>G1: Laboratory Investigations</t>
  </si>
  <si>
    <t>Complete Blood Count</t>
  </si>
  <si>
    <t>Creatinine</t>
  </si>
  <si>
    <t>BUN</t>
  </si>
  <si>
    <t>Electrolytes (sodium, potassium, chloride)</t>
  </si>
  <si>
    <t>Calcium</t>
  </si>
  <si>
    <t>Phosphate</t>
  </si>
  <si>
    <t>Serum iron</t>
  </si>
  <si>
    <t>TIBC</t>
  </si>
  <si>
    <t>HIV</t>
  </si>
  <si>
    <t>HBsAg</t>
  </si>
  <si>
    <t>HCV Ab</t>
  </si>
  <si>
    <t>G1: Total Amount</t>
  </si>
  <si>
    <t>H1: Relevant TDABC priced procedures</t>
  </si>
  <si>
    <t>Consultation Nephrologist</t>
  </si>
  <si>
    <t>Consultation Nutritionist</t>
  </si>
  <si>
    <t>Dialysis</t>
  </si>
  <si>
    <t>H1: Total Amount</t>
  </si>
  <si>
    <t>TOTAL AMOUNT 1 [A1-H1]</t>
  </si>
  <si>
    <t>2. Possible complication: Admission for Infection (Non-tunneled CVC) (25.5%)</t>
  </si>
  <si>
    <t>A2: Human Resource</t>
  </si>
  <si>
    <t>A2: Total Amount</t>
  </si>
  <si>
    <t>B2: Medical Equipments/Machinery</t>
  </si>
  <si>
    <t>B2: Total Amount</t>
  </si>
  <si>
    <t>C2: Medical Furniture/Fittings</t>
  </si>
  <si>
    <t>C2: Total Amount</t>
  </si>
  <si>
    <t>D2: Medical Consumables/Supplies</t>
  </si>
  <si>
    <t>Meropenem 1g</t>
  </si>
  <si>
    <t>D2: Total Amount</t>
  </si>
  <si>
    <t>E2: Drugs/Medication</t>
  </si>
  <si>
    <t>E2: Total Amount</t>
  </si>
  <si>
    <t>F2: Radiology Investigations</t>
  </si>
  <si>
    <t>CXR</t>
  </si>
  <si>
    <t>Ultrasound</t>
  </si>
  <si>
    <t>F2: Total Amount</t>
  </si>
  <si>
    <t>G2: Laboratory Investigations</t>
  </si>
  <si>
    <t>CBC</t>
  </si>
  <si>
    <t>Cr</t>
  </si>
  <si>
    <t>Electrolytes</t>
  </si>
  <si>
    <t>Blood Cultures</t>
  </si>
  <si>
    <t>G2: Total Amount</t>
  </si>
  <si>
    <t>H2: Relevant TDABC priced procedures</t>
  </si>
  <si>
    <t>Admission (Private Ward)</t>
  </si>
  <si>
    <t>Consultation Nephrologist Fellow</t>
  </si>
  <si>
    <t>CVC Replacement</t>
  </si>
  <si>
    <t>Central Line Placement</t>
  </si>
  <si>
    <t>AVF Litigation/Creation</t>
  </si>
  <si>
    <t>IR Thrombectomy</t>
  </si>
  <si>
    <t>H2: Total Amount</t>
  </si>
  <si>
    <t>TOTAL AMOUNT 2 [A2-H2]</t>
  </si>
  <si>
    <t>3. Possible complication: Admission for Thrombosis (Non-tunneled CVC) (25.5%)</t>
  </si>
  <si>
    <t>A3: Human Resource</t>
  </si>
  <si>
    <t>A3: Total Amount</t>
  </si>
  <si>
    <t>B3: Medical Equipments/Machinery</t>
  </si>
  <si>
    <t>B3: Total Amount</t>
  </si>
  <si>
    <t>C3: Medical Furniture/Fittings</t>
  </si>
  <si>
    <t>C3: Total Amount</t>
  </si>
  <si>
    <t>D3: Medical Consumables/Supplies</t>
  </si>
  <si>
    <t>D3: Total Amount</t>
  </si>
  <si>
    <t>E3: Drugs/Medication</t>
  </si>
  <si>
    <t>E3: Total Amount</t>
  </si>
  <si>
    <t>F3: Radiology Investigations</t>
  </si>
  <si>
    <t>F3: Total Amount</t>
  </si>
  <si>
    <t>G3: Laboratory Investigations</t>
  </si>
  <si>
    <t>G3: Total Amount</t>
  </si>
  <si>
    <t>H3: Relevant TDABC priced procedures</t>
  </si>
  <si>
    <t>H3: Total Amount</t>
  </si>
  <si>
    <t>TOTAL AMOUNT 3 [A3-H3]</t>
  </si>
  <si>
    <t>4. Possible complication: Admission for Catheter-related Infection (Tunneled CVC) (39.5%)</t>
  </si>
  <si>
    <t>A4: Human Resource</t>
  </si>
  <si>
    <t>A4: Total Amount</t>
  </si>
  <si>
    <t>B4: Medical Equipments/Machinery</t>
  </si>
  <si>
    <t>B4: Total Amount</t>
  </si>
  <si>
    <t>C4: Medical Furniture/Fittings</t>
  </si>
  <si>
    <t>C4: Total Amount</t>
  </si>
  <si>
    <t>D4: Medical Consumables/Supplies</t>
  </si>
  <si>
    <t>D4: Total Amount</t>
  </si>
  <si>
    <t>E4: Drugs/Medication</t>
  </si>
  <si>
    <t>E4: Total Amount</t>
  </si>
  <si>
    <t>F4: Radiology Investigations</t>
  </si>
  <si>
    <t>F4: Total Amount</t>
  </si>
  <si>
    <t>G4: Laboratory Investigations</t>
  </si>
  <si>
    <t>G4: Total Amount</t>
  </si>
  <si>
    <t>H4: Relevant TDABC priced procedures</t>
  </si>
  <si>
    <t>H4: Total Amount</t>
  </si>
  <si>
    <t>TOTAL AMOUNT 4 [A4-H4]</t>
  </si>
  <si>
    <t>5. Possible complication: Admission for Thrombosis (Tunneled CVC) (39.5%)</t>
  </si>
  <si>
    <t>A5: Human Resource</t>
  </si>
  <si>
    <t>A5: Total Amount</t>
  </si>
  <si>
    <t>B5: Medical Equipments/Machinery</t>
  </si>
  <si>
    <t>B5: Total Amount</t>
  </si>
  <si>
    <t>C5: Medical Furniture/Fittings</t>
  </si>
  <si>
    <t>C5: Total Amount</t>
  </si>
  <si>
    <t>D5: Medical Consumables/Supplies</t>
  </si>
  <si>
    <t>D5: Total Amount</t>
  </si>
  <si>
    <t>E5: Drugs/Medication</t>
  </si>
  <si>
    <t>E5: Total Amount</t>
  </si>
  <si>
    <t>F5: Radiology Investigations</t>
  </si>
  <si>
    <t>F5: Total Amount</t>
  </si>
  <si>
    <t>G5: Laboratory Investigations</t>
  </si>
  <si>
    <t>G5: Total Amount</t>
  </si>
  <si>
    <t>H5: Relevant TDABC priced procedures</t>
  </si>
  <si>
    <t>tPA Instillation 52.5mg</t>
  </si>
  <si>
    <t>H5: Total Amount</t>
  </si>
  <si>
    <t>TOTAL AMOUNT 5 [A5-H5]</t>
  </si>
  <si>
    <t>6. Possible complication: Admission for Aneurysm (AVF) (35%)</t>
  </si>
  <si>
    <t>A6: Human Resource</t>
  </si>
  <si>
    <t>A6: Total Amount</t>
  </si>
  <si>
    <t>B6: Medical Equipments/Machinery</t>
  </si>
  <si>
    <t>B6: Total Amount</t>
  </si>
  <si>
    <t>C6: Medical Furniture/Fittings</t>
  </si>
  <si>
    <t>C6: Total Amount</t>
  </si>
  <si>
    <t>D6: Medical Consumables/Supplies</t>
  </si>
  <si>
    <t>D6: Total Amount</t>
  </si>
  <si>
    <t>E6: Drugs/Medication</t>
  </si>
  <si>
    <t>E6: Total Amount</t>
  </si>
  <si>
    <t>F6: Radiology Investigations</t>
  </si>
  <si>
    <t>F6: Total Amount</t>
  </si>
  <si>
    <t>G6: Laboratory Investigations</t>
  </si>
  <si>
    <t>G6: Total Amount</t>
  </si>
  <si>
    <t>H6: Relevant TDABC priced procedures</t>
  </si>
  <si>
    <t>H6: Total Amount</t>
  </si>
  <si>
    <t>TOTAL AMOUNT 6 [A6-H6]</t>
  </si>
  <si>
    <t>7. Possible complication: Admission for Thrombosis (AVF) (35%)</t>
  </si>
  <si>
    <t>A7: Human Resource</t>
  </si>
  <si>
    <t>A7: Total Amount</t>
  </si>
  <si>
    <t>B7: Medical Equipments/Machinery</t>
  </si>
  <si>
    <t>B7: Total Amount</t>
  </si>
  <si>
    <t>C7: Medical Furniture/Fittings</t>
  </si>
  <si>
    <t>C7: Total Amount</t>
  </si>
  <si>
    <t>D7: Medical Consumables/Supplies</t>
  </si>
  <si>
    <t>D7: Total Amount</t>
  </si>
  <si>
    <t>E7: Drugs/Medication</t>
  </si>
  <si>
    <t>E7: Total Amount</t>
  </si>
  <si>
    <t>F7: Radiology Investigations</t>
  </si>
  <si>
    <t>F7: Total Amount</t>
  </si>
  <si>
    <t>G7: Laboratory Investigations</t>
  </si>
  <si>
    <t>G7: Total Amount</t>
  </si>
  <si>
    <t>H7: Relevant TDABC priced procedures</t>
  </si>
  <si>
    <t>Consultation IR</t>
  </si>
  <si>
    <t>IR Thrombectomy (TDABC IR DEEP VEIN THROMBECTOMY</t>
  </si>
  <si>
    <t>H7: Total Amount</t>
  </si>
  <si>
    <t>TOTAL AMOUNT 7 [A7-H7]</t>
  </si>
  <si>
    <t>SCHEDULE 01.0a: FULL COSTING: DIALYSIS ACCESS CREATION</t>
  </si>
  <si>
    <t>SCHEDULE 01.0b: DIALYSIS ACCESS CREATION [SUMMATED TDABC]</t>
  </si>
  <si>
    <t>Dialysis Access Creation</t>
  </si>
  <si>
    <t>1. Complete Cycle</t>
  </si>
  <si>
    <t>A. Human Resource [A1]</t>
  </si>
  <si>
    <t>B. Medical Equipments/Machinery [B1]</t>
  </si>
  <si>
    <t>C. Medical Furniture/Fittings [C1]</t>
  </si>
  <si>
    <t>D. Medical Consumables/Supplies [D1]</t>
  </si>
  <si>
    <t>E. Drugs/Medication [E1]</t>
  </si>
  <si>
    <t>F. Radiology Investigations [F1]</t>
  </si>
  <si>
    <t>G. Laboratory Investigations [G1]</t>
  </si>
  <si>
    <t>H. Relevant TDABC priced procedures [H1]</t>
  </si>
  <si>
    <t>Vitamin D (5000 IU)</t>
  </si>
  <si>
    <t>Doppler US, bilateral upper extremities</t>
  </si>
  <si>
    <t>Complete blood count</t>
  </si>
  <si>
    <t>Sodium, serum</t>
  </si>
  <si>
    <t>Potassium, serum</t>
  </si>
  <si>
    <t>Blood glucose</t>
  </si>
  <si>
    <t>PT, PTT, INR</t>
  </si>
  <si>
    <t>Consultation Surgeon (Outpatient)</t>
  </si>
  <si>
    <t>Consultation Nephrologist (Outpatient)</t>
  </si>
  <si>
    <t>Consultation Surgeon (Inpatient)</t>
  </si>
  <si>
    <t>Consultation Nephrologist  (Inpatient)</t>
  </si>
  <si>
    <t>Arteriovenous fistula creation</t>
  </si>
  <si>
    <t>Tunneled central line insertion (TDABC Ureteric Catherization)</t>
  </si>
  <si>
    <t>Non-tunneled central line insertion</t>
  </si>
  <si>
    <t>SCHEDULE 01.0a: FULL COSTING: RECIPIENT COSTING - RENAL TRANSPLANT</t>
  </si>
  <si>
    <t>SCHEDULE 01.0b: RENAL TRANSPLANT [SUMMATED RECIPIENT TDABC]</t>
  </si>
  <si>
    <t>Pre-Transplant Evaluation</t>
  </si>
  <si>
    <t>1. Registration / Clinic visits / Outpatient Consultations</t>
  </si>
  <si>
    <t>A. Human Resource [A1-A21]</t>
  </si>
  <si>
    <t>B. Medical Equipments/Machinery [B1-B21]</t>
  </si>
  <si>
    <t>C. Medical Furniture/Fittings [C1-C21]</t>
  </si>
  <si>
    <t>D. Medical Consumables/Supplies [D1-D21]</t>
  </si>
  <si>
    <t>E. Drugs/Medication [E1-E21]</t>
  </si>
  <si>
    <t>F. Radiology Investigations [F1-F21]</t>
  </si>
  <si>
    <t>G. Laboratory Investigations [G1-G21]</t>
  </si>
  <si>
    <t>H. Relevant TDABC priced procedures [H1-H21]</t>
  </si>
  <si>
    <t>Possible Complications</t>
  </si>
  <si>
    <t>Probability</t>
  </si>
  <si>
    <t>Delayed Graft Function</t>
  </si>
  <si>
    <t>Perinephric Fluid Collection</t>
  </si>
  <si>
    <t>First Year Follow up: Readmission for Infection</t>
  </si>
  <si>
    <t>First Year Follow up: Readmission for Rejection</t>
  </si>
  <si>
    <t>Additional Year Follow Up: Readmission for Infection</t>
  </si>
  <si>
    <t>Additional Year Follow Up: Readmission for Rejection</t>
  </si>
  <si>
    <t>First Year Follow Up: Readmission for Ureteral Stenosis</t>
  </si>
  <si>
    <t>Additional Year Follow Up: Readmission for Ureteral Stenosis</t>
  </si>
  <si>
    <t>Deterministic Sensitivity Analysis</t>
  </si>
  <si>
    <t>Base Case</t>
  </si>
  <si>
    <t>Tac @50%</t>
  </si>
  <si>
    <t>Tac @25%</t>
  </si>
  <si>
    <t>Tac @10%</t>
  </si>
  <si>
    <t>Tac+MMF @50%</t>
  </si>
  <si>
    <t>Tac+MMF @25%</t>
  </si>
  <si>
    <t>Tac+MMF @10%</t>
  </si>
  <si>
    <t>Reduce ICU Time</t>
  </si>
  <si>
    <t>Total cost of pre-op evaluation</t>
  </si>
  <si>
    <t>Total cost of admission for KT</t>
  </si>
  <si>
    <t>Total cost of first year follow-up</t>
  </si>
  <si>
    <t>Total cost of each additional year follow-up</t>
  </si>
  <si>
    <t>Excess cost of first-year follow-up</t>
  </si>
  <si>
    <t>Consultation Transplant Surgeon</t>
  </si>
  <si>
    <t>Consultation Pulmonologist</t>
  </si>
  <si>
    <t>Consultation Anesthesiologist</t>
  </si>
  <si>
    <t>Variables</t>
  </si>
  <si>
    <t>Currently in Model</t>
  </si>
  <si>
    <t>Consultation Psychiatrist</t>
  </si>
  <si>
    <t>Tacrolimus cost</t>
  </si>
  <si>
    <t>Consultation Social Worker</t>
  </si>
  <si>
    <t>Mycophenolate cost</t>
  </si>
  <si>
    <t>Consultation Gynecologist</t>
  </si>
  <si>
    <t>Cost/Day (ICU)</t>
  </si>
  <si>
    <t>Cost/Day (HDU)</t>
  </si>
  <si>
    <t>Admission preop, POD4-6, and for complications</t>
  </si>
  <si>
    <t>2. Diagnostics</t>
  </si>
  <si>
    <t>XR chest</t>
  </si>
  <si>
    <t>XR pelvis</t>
  </si>
  <si>
    <t>Echocardiogram with dobutamine</t>
  </si>
  <si>
    <t>Ultrasound, abdomen/allograft</t>
  </si>
  <si>
    <t>CT Scan Abdomen + Pelvis with IV Contrast</t>
  </si>
  <si>
    <t>CT Angiogram Abdomen + Pelvis</t>
  </si>
  <si>
    <t>Blood group (ABO)</t>
  </si>
  <si>
    <t>Fasting blood sugar</t>
  </si>
  <si>
    <t>Chloride, serum</t>
  </si>
  <si>
    <t>Bicarbonate, serum</t>
  </si>
  <si>
    <t>BUN, serum</t>
  </si>
  <si>
    <t>Creatinine, serum</t>
  </si>
  <si>
    <t>Calcium, serum</t>
  </si>
  <si>
    <t>Phosphate, serum</t>
  </si>
  <si>
    <t>Magnesium, serum</t>
  </si>
  <si>
    <t>Alkaline phosphatase</t>
  </si>
  <si>
    <t>AST</t>
  </si>
  <si>
    <t>GGT</t>
  </si>
  <si>
    <t>Bilirubin, total</t>
  </si>
  <si>
    <t>Bilirubin, direct</t>
  </si>
  <si>
    <t>Albumin</t>
  </si>
  <si>
    <t>Protein, total, serum</t>
  </si>
  <si>
    <t>LDH, serum</t>
  </si>
  <si>
    <t>Uric acid, serum</t>
  </si>
  <si>
    <t>Total cholesterol</t>
  </si>
  <si>
    <t>LDL</t>
  </si>
  <si>
    <t>HDL</t>
  </si>
  <si>
    <t>Triglycerides</t>
  </si>
  <si>
    <t>CMV (IgG, IgM)</t>
  </si>
  <si>
    <t>EBV</t>
  </si>
  <si>
    <t>HBsAb</t>
  </si>
  <si>
    <t>HBcAb</t>
  </si>
  <si>
    <t>Syphilis screen (RPR)</t>
  </si>
  <si>
    <t>PSA</t>
  </si>
  <si>
    <t>Pregnancy test</t>
  </si>
  <si>
    <t>Urinalysis</t>
  </si>
  <si>
    <t>Urine culture</t>
  </si>
  <si>
    <t>HLA typing</t>
  </si>
  <si>
    <t>CDC crossmatch</t>
  </si>
  <si>
    <t>Flow cytometry</t>
  </si>
  <si>
    <t>Kidney biopsy (interpretation)</t>
  </si>
  <si>
    <t>Tacrolimus level</t>
  </si>
  <si>
    <t>EKG</t>
  </si>
  <si>
    <t>Pap smear</t>
  </si>
  <si>
    <t>TB skin test</t>
  </si>
  <si>
    <t>3. Family Conference</t>
  </si>
  <si>
    <t>Anesthesiologist (medical specialist I)</t>
  </si>
  <si>
    <t>Nurse anesthetist (nurse officer)</t>
  </si>
  <si>
    <t>Nurse attendant (anesthesia)</t>
  </si>
  <si>
    <t>Senior nurse (OR)</t>
  </si>
  <si>
    <t>Nurse officer II (OR)</t>
  </si>
  <si>
    <t>Assistant nurse officer II (OR)</t>
  </si>
  <si>
    <t>Nurse attendant (general OR)</t>
  </si>
  <si>
    <t>Surgeon (senior specialist)</t>
  </si>
  <si>
    <t>Surgeon (medical specialist I)</t>
  </si>
  <si>
    <t>Nephrologist</t>
  </si>
  <si>
    <t>Nephrology fellow</t>
  </si>
  <si>
    <t>Physiotherapist</t>
  </si>
  <si>
    <t>Dietitian/nutritionist</t>
  </si>
  <si>
    <t>Religious leader</t>
  </si>
  <si>
    <t>Social Welfare Officer</t>
  </si>
  <si>
    <t>Immunologist</t>
  </si>
  <si>
    <t>Lawyer</t>
  </si>
  <si>
    <t>Dialysis nurse / transplant coordinator (SNO)</t>
  </si>
  <si>
    <t>Admission</t>
  </si>
  <si>
    <t>4. Pre-op</t>
  </si>
  <si>
    <t>Tacrolimus 1 mg tablet</t>
  </si>
  <si>
    <t>Mycophenolate mofetil 500 mg tablet</t>
  </si>
  <si>
    <t xml:space="preserve">Clotrimazole mouth paint </t>
  </si>
  <si>
    <t xml:space="preserve">Mesporin 1 g </t>
  </si>
  <si>
    <t>Hydralazine 25 mg tablet</t>
  </si>
  <si>
    <t>Bisoprolol 10 mg tablet</t>
  </si>
  <si>
    <t>Insulin, vial</t>
  </si>
  <si>
    <t>Pantoprazole (40 mg tablet)</t>
  </si>
  <si>
    <t>Radiograph chest (CXR)</t>
  </si>
  <si>
    <t>ABO / Rh blood type</t>
  </si>
  <si>
    <t>ABG</t>
  </si>
  <si>
    <t>Electrolytes (Na,K,Cl, Ca, Mg, phos)</t>
  </si>
  <si>
    <t>Liver function tests (ALT, AST, BIL, ALB, DB, TB)</t>
  </si>
  <si>
    <t>Tacrolimus levels</t>
  </si>
  <si>
    <t>Admission (ICU)</t>
  </si>
  <si>
    <t>Consultation Surgeon</t>
  </si>
  <si>
    <t xml:space="preserve">Consultation Nephrologist </t>
  </si>
  <si>
    <t>Consultation Nephrology fellow</t>
  </si>
  <si>
    <t>5. Intra-op</t>
  </si>
  <si>
    <t>Anesthesiologist (medical specialist II)</t>
  </si>
  <si>
    <t>Surgeon (medical specialist II)</t>
  </si>
  <si>
    <t>Continuous-flow anesthetic machine</t>
  </si>
  <si>
    <t>Patient monitor</t>
  </si>
  <si>
    <t>Infusion pump</t>
  </si>
  <si>
    <t>Laryngoscope</t>
  </si>
  <si>
    <t>Blood pressure cuff</t>
  </si>
  <si>
    <t>Diathermy Machine</t>
  </si>
  <si>
    <t>Anaesthesia Gas Monitor</t>
  </si>
  <si>
    <t>Suction machine</t>
  </si>
  <si>
    <t>Computer</t>
  </si>
  <si>
    <t>Standing Air Condition Machine</t>
  </si>
  <si>
    <t>Television</t>
  </si>
  <si>
    <t>Operating table</t>
  </si>
  <si>
    <t>Lights, LED bulbs</t>
  </si>
  <si>
    <t>Cotton sheets, pack of 8</t>
  </si>
  <si>
    <t>Operating Light</t>
  </si>
  <si>
    <t>Storage Cabinets</t>
  </si>
  <si>
    <t>Anaesthesia Medical Storage Trolley</t>
  </si>
  <si>
    <t>Mayo Table</t>
  </si>
  <si>
    <t>Medical Gas Pendant</t>
  </si>
  <si>
    <t>Control Panel with Xray viewer</t>
  </si>
  <si>
    <t>Drip Stands</t>
  </si>
  <si>
    <t>Hand washing Sink</t>
  </si>
  <si>
    <t xml:space="preserve">Sluice Sink </t>
  </si>
  <si>
    <t>Dust Bins</t>
  </si>
  <si>
    <t>White Board</t>
  </si>
  <si>
    <t>Sitting Stools/Chairs</t>
  </si>
  <si>
    <t>Sterile Surgical Gown</t>
  </si>
  <si>
    <t>Drape for central line placement</t>
  </si>
  <si>
    <t>Surgical drapes (disposable sterile renal set)</t>
  </si>
  <si>
    <t>Surgical Head and Neck caps, 50 / box</t>
  </si>
  <si>
    <t>Disposable Diathermy pencil</t>
  </si>
  <si>
    <t>Diathermy pads</t>
  </si>
  <si>
    <t>Suction tubes with Yankauer</t>
  </si>
  <si>
    <t>Suction catheters (size 16)</t>
  </si>
  <si>
    <t>Face masks, box of 50</t>
  </si>
  <si>
    <t>Primapore dressing, pack of 10</t>
  </si>
  <si>
    <t>Disposable gloves, box of 50</t>
  </si>
  <si>
    <t>Surgical gloves, pairs</t>
  </si>
  <si>
    <t>Dettol Solution, 5 L bottle</t>
  </si>
  <si>
    <t>Presept tablets, pack of 4</t>
  </si>
  <si>
    <t>Liquid soap (litres)</t>
  </si>
  <si>
    <t>Cirzadem, 5 L bottle</t>
  </si>
  <si>
    <t>Alcohol (litres)</t>
  </si>
  <si>
    <t>Urethral catheters (Foley 2 way size 16)</t>
  </si>
  <si>
    <t>Urine Bag</t>
  </si>
  <si>
    <t>Urometer Bags</t>
  </si>
  <si>
    <t>Warming blanket</t>
  </si>
  <si>
    <t>Endotracheal tube size 7, cuffed</t>
  </si>
  <si>
    <t>Gauze rolls, 10 per pack</t>
  </si>
  <si>
    <t xml:space="preserve">Central lines </t>
  </si>
  <si>
    <t>Tegaderm, large</t>
  </si>
  <si>
    <t>Cannula (16G)</t>
  </si>
  <si>
    <t>Cannula (18G)</t>
  </si>
  <si>
    <t>Syringe 2 mL</t>
  </si>
  <si>
    <t>Syringe 5 mL</t>
  </si>
  <si>
    <t>Syringe 10 mL</t>
  </si>
  <si>
    <t>Syringe 20 mL</t>
  </si>
  <si>
    <t>Syringe 50 mL</t>
  </si>
  <si>
    <t>Pressure monitoring line</t>
  </si>
  <si>
    <t>Pressure transducer kit (double lumen)</t>
  </si>
  <si>
    <t>Pressure infuser bag</t>
  </si>
  <si>
    <t>Breathing circuit</t>
  </si>
  <si>
    <t>Face mask</t>
  </si>
  <si>
    <t>Oropharyngeal airway</t>
  </si>
  <si>
    <t>Heat and moisture exchanger (HME)</t>
  </si>
  <si>
    <t>Intravenous giving sets</t>
  </si>
  <si>
    <t>Arterial Catheter</t>
  </si>
  <si>
    <t>Stop cock 3-way</t>
  </si>
  <si>
    <t>Normal Saline, 500 mL bottle</t>
  </si>
  <si>
    <t>Compound sodium lactate, 500 mL bottle</t>
  </si>
  <si>
    <t>Suture: Prolene 7/0</t>
  </si>
  <si>
    <t>Suture: Prolene 5/0</t>
  </si>
  <si>
    <t>Suture: Prolene 2/0</t>
  </si>
  <si>
    <t>Suture: Monocryl 3/0</t>
  </si>
  <si>
    <t>Syringe 60cc Cath tip</t>
  </si>
  <si>
    <t>KY jelly 42mg</t>
  </si>
  <si>
    <t>Iodine 10%; 250mls</t>
  </si>
  <si>
    <t>Water for injection, pieces</t>
  </si>
  <si>
    <t>Adhesive plaster 7.5 CMX 5M, rolls</t>
  </si>
  <si>
    <t>Ligating Clips/Hemoclip medium-large</t>
  </si>
  <si>
    <t xml:space="preserve">Suture: PDS 6/0 </t>
  </si>
  <si>
    <t xml:space="preserve">Suture: PDS 5/0 </t>
  </si>
  <si>
    <t>Suture: Silk 3/0</t>
  </si>
  <si>
    <t>Suture: Silk 2/0</t>
  </si>
  <si>
    <t>Silk tie</t>
  </si>
  <si>
    <t>Suture: Vicryl 2/0</t>
  </si>
  <si>
    <t>Surgical Blade #11</t>
  </si>
  <si>
    <t>Surgical Blade #23</t>
  </si>
  <si>
    <t>Surgical Blade #21</t>
  </si>
  <si>
    <t>Surgical Blade #22</t>
  </si>
  <si>
    <t>Vessel Loops</t>
  </si>
  <si>
    <t>Double-J Stent 4.7 FR 16CM</t>
  </si>
  <si>
    <t>Feeding Tube (Size 10)</t>
  </si>
  <si>
    <t>Feeding Tube (Size 16)</t>
  </si>
  <si>
    <t>Perfusion Kit</t>
  </si>
  <si>
    <t>Renal bowl</t>
  </si>
  <si>
    <t>Skin prep kit</t>
  </si>
  <si>
    <t>Skin stapler</t>
  </si>
  <si>
    <t>Nephrectomy kit</t>
  </si>
  <si>
    <t>Recipient kit</t>
  </si>
  <si>
    <t>Microvascular Kit</t>
  </si>
  <si>
    <t>Propofol Lipuro 1% 10mg /ml, 20 mL vial</t>
  </si>
  <si>
    <t>Atropine 1 mg/mL inj</t>
  </si>
  <si>
    <t>Sevoflurane bottle</t>
  </si>
  <si>
    <t>Bupivacaine inj. 0.5% (isobaric), 10 mL vial</t>
  </si>
  <si>
    <t>Cisatracurium inj. 5 mg/ 10 mL, 12.5 mL vial</t>
  </si>
  <si>
    <t>Fentanyl inj. 50 mcg/mL, 2mL/ampule</t>
  </si>
  <si>
    <t>Furosemide 10 mg/ml; 2 mL vial</t>
  </si>
  <si>
    <t>Mannitol 20%, 100 mL vial</t>
  </si>
  <si>
    <t>Gluconavii test strip</t>
  </si>
  <si>
    <t>Neostigmine metisulfate inj.</t>
  </si>
  <si>
    <t>Glycopyrrolate inj. 1 mg/ampule</t>
  </si>
  <si>
    <t>Heparin inj 5000 IU/mL, 5mL vial</t>
  </si>
  <si>
    <t>Metronidazole 5 mg/mL inj., 100 mL</t>
  </si>
  <si>
    <t>Mesporin 1 g/ampule</t>
  </si>
  <si>
    <t>Norepinephrine 4 mg/vial</t>
  </si>
  <si>
    <t>Epinephrine 1mg/mL inj</t>
  </si>
  <si>
    <t>Ephedrine 30 mg/mL inj, ampule</t>
  </si>
  <si>
    <t>Midazolam 10 mg/vial</t>
  </si>
  <si>
    <t>Ondansetron Injection 2mg/mL; 2mL/ampule</t>
  </si>
  <si>
    <t>Organ Perfusion Solution HTK 1000mls</t>
  </si>
  <si>
    <t>Paracetamol  1 g</t>
  </si>
  <si>
    <t>Papaverine 60 mg inj. 2 mL/vial</t>
  </si>
  <si>
    <t xml:space="preserve">Ultane Inhalation 250mls </t>
  </si>
  <si>
    <t>6. Post-op Recovery</t>
  </si>
  <si>
    <t>Methylprednisolone 125 mg inj.</t>
  </si>
  <si>
    <t>ATG 75 mg inj.</t>
  </si>
  <si>
    <t>Basiliximab 20 mg inj.</t>
  </si>
  <si>
    <t>Tacrolimus (1 mg tablet)</t>
  </si>
  <si>
    <t>Mycophenolate mofetil (500 mg tablet)</t>
  </si>
  <si>
    <t>Prednisolone (10 mg tablet)</t>
  </si>
  <si>
    <t>Normal saline 1 L bag</t>
  </si>
  <si>
    <t>Paracetamol (1 g/vial)</t>
  </si>
  <si>
    <t>Ceftriaxone 1 mg IV</t>
  </si>
  <si>
    <t>Mesporin 2 g inj.</t>
  </si>
  <si>
    <t>Cotrimoxazole (480 mg tablet)</t>
  </si>
  <si>
    <t>Valganciclovir (450 mg tablet)</t>
  </si>
  <si>
    <t>Nystatin oral drops</t>
  </si>
  <si>
    <t>Enoxaparin 20 mg inj.</t>
  </si>
  <si>
    <t>Pantoprazole 40 mg tablet</t>
  </si>
  <si>
    <t>Insulin regular (1000 U/vial)</t>
  </si>
  <si>
    <t xml:space="preserve">Consultation Surgeon </t>
  </si>
  <si>
    <t>Consultation Physiotherapist</t>
  </si>
  <si>
    <t>Consultation Dietitian/Nutritionist</t>
  </si>
  <si>
    <t>7. Possible complication: delayed graft function (5.8%)</t>
  </si>
  <si>
    <t>Prednisolone (10 mg)</t>
  </si>
  <si>
    <t>Ultrasound abdomen/allograft</t>
  </si>
  <si>
    <t>Kidney Biopsy (IR)</t>
  </si>
  <si>
    <t>Kidney Biopsy Interpretation</t>
  </si>
  <si>
    <t>8. Possible complication: perinephric fluid collection (5.8%)</t>
  </si>
  <si>
    <t>A8: Human Resource</t>
  </si>
  <si>
    <t>A8: Total Amount</t>
  </si>
  <si>
    <t>B8: Medical Equipments/Machinery</t>
  </si>
  <si>
    <t>B8: Total Amount</t>
  </si>
  <si>
    <t>C8: Medical Furniture/Fittings</t>
  </si>
  <si>
    <t>C8: Total Amount</t>
  </si>
  <si>
    <t>D8: Medical Consumables/Supplies</t>
  </si>
  <si>
    <t>D8: Total Amount</t>
  </si>
  <si>
    <t>E8: Drugs/Medication</t>
  </si>
  <si>
    <t>Amoxicillin-clavulanate 625 mg tablet</t>
  </si>
  <si>
    <t>E8: Total Amount</t>
  </si>
  <si>
    <t>F8: Radiology Investigations</t>
  </si>
  <si>
    <t>F8: Total Amount</t>
  </si>
  <si>
    <t>G8: Laboratory Investigations</t>
  </si>
  <si>
    <t>G8: Total Amount</t>
  </si>
  <si>
    <t>H8: Relevant TDABC priced procedures</t>
  </si>
  <si>
    <t>IR drain placement</t>
  </si>
  <si>
    <t>H8: Total Amount</t>
  </si>
  <si>
    <t>TOTAL AMOUNT 8 [A8-H8]</t>
  </si>
  <si>
    <t>First Year Follow Up</t>
  </si>
  <si>
    <t>9. Consultation</t>
  </si>
  <si>
    <t>A9: Human Resource</t>
  </si>
  <si>
    <t>A9: Total Amount</t>
  </si>
  <si>
    <t>B9: Medical Equipments/Machinery</t>
  </si>
  <si>
    <t>B9: Total Amount</t>
  </si>
  <si>
    <t>C9: Medical Furniture/Fittings</t>
  </si>
  <si>
    <t>C9: Total Amount</t>
  </si>
  <si>
    <t>D9: Medical Consumables/Supplies</t>
  </si>
  <si>
    <t>D9: Total Amount</t>
  </si>
  <si>
    <t>E9: Drugs/Medication</t>
  </si>
  <si>
    <t>E9: Total Amount</t>
  </si>
  <si>
    <t>F9: Radiology Investigations</t>
  </si>
  <si>
    <t>F9: Total Amount</t>
  </si>
  <si>
    <t>G9: Laboratory Investigations</t>
  </si>
  <si>
    <t>G9: Total Amount</t>
  </si>
  <si>
    <t>H9: Relevant TDABC priced procedures</t>
  </si>
  <si>
    <t>H9: Total Amount</t>
  </si>
  <si>
    <t>TOTAL AMOUNT 9 [A9-H9]</t>
  </si>
  <si>
    <t>10. Diagnostics</t>
  </si>
  <si>
    <t>A10: Human Resource</t>
  </si>
  <si>
    <t>A10: Total Amount</t>
  </si>
  <si>
    <t>B10: Medical Equipments/Machinery</t>
  </si>
  <si>
    <t>B10: Total Amount</t>
  </si>
  <si>
    <t>C10: Medical Furniture/Fittings</t>
  </si>
  <si>
    <t>C10: Total Amount</t>
  </si>
  <si>
    <t>D10: Medical Consumables/Supplies</t>
  </si>
  <si>
    <t>D10: Total Amount</t>
  </si>
  <si>
    <t>E10: Drugs/Medication</t>
  </si>
  <si>
    <t>E10: Total Amount</t>
  </si>
  <si>
    <t>F10: Radiology Investigations</t>
  </si>
  <si>
    <t>Kidney biopsy (IR)</t>
  </si>
  <si>
    <t xml:space="preserve">Mammogram for females &gt; 40 years  </t>
  </si>
  <si>
    <t xml:space="preserve">Nuclear renogram and GFR with differential split  </t>
  </si>
  <si>
    <t>F10: Total Amount</t>
  </si>
  <si>
    <t>G10: Laboratory Investigations</t>
  </si>
  <si>
    <t>G10: Total Amount</t>
  </si>
  <si>
    <t>H10: Relevant TDABC priced procedures</t>
  </si>
  <si>
    <t>H10: Total Amount</t>
  </si>
  <si>
    <t>TOTAL AMOUNT 10 [A10-H10]</t>
  </si>
  <si>
    <t>11. Medications</t>
  </si>
  <si>
    <t>A11: Human Resource</t>
  </si>
  <si>
    <t>A11: Total Amount</t>
  </si>
  <si>
    <t>B11: Medical Equipments/Machinery</t>
  </si>
  <si>
    <t>B11: Total Amount</t>
  </si>
  <si>
    <t>C11: Medical Furniture/Fittings</t>
  </si>
  <si>
    <t>C11: Total Amount</t>
  </si>
  <si>
    <t>D11: Medical Consumables/Supplies</t>
  </si>
  <si>
    <t>D11: Total Amount</t>
  </si>
  <si>
    <t>E11: Drugs/Medication</t>
  </si>
  <si>
    <t>Prednisolone (5 mg tablet)</t>
  </si>
  <si>
    <t>E11: Total Amount</t>
  </si>
  <si>
    <t>F11: Radiology Investigations</t>
  </si>
  <si>
    <t>F11: Total Amount</t>
  </si>
  <si>
    <t>G11: Laboratory Investigations</t>
  </si>
  <si>
    <t>G11: Total Amount</t>
  </si>
  <si>
    <t>H11: Relevant TDABC priced procedures</t>
  </si>
  <si>
    <t>H11: Total Amount</t>
  </si>
  <si>
    <t>TOTAL AMOUNT 11 [A11-H11]</t>
  </si>
  <si>
    <t>12. Readmission for ureteral stent removal (100%)</t>
  </si>
  <si>
    <t>A12: Human Resource</t>
  </si>
  <si>
    <t>A12: Total Amount</t>
  </si>
  <si>
    <t>B12: Medical Equipments/Machinery</t>
  </si>
  <si>
    <t>B12: Total Amount</t>
  </si>
  <si>
    <t>C12: Medical Furniture/Fittings</t>
  </si>
  <si>
    <t>C12: Total Amount</t>
  </si>
  <si>
    <t>D12: Medical Consumables/Supplies</t>
  </si>
  <si>
    <t>D12: Total Amount</t>
  </si>
  <si>
    <t>E12: Drugs/Medication</t>
  </si>
  <si>
    <t>Prednisolone (5 mg)</t>
  </si>
  <si>
    <t>E12: Total Amount</t>
  </si>
  <si>
    <t>F12: Radiology Investigations</t>
  </si>
  <si>
    <t>F12: Total Amount</t>
  </si>
  <si>
    <t>G12: Laboratory Investigations</t>
  </si>
  <si>
    <t>G12: Total Amount</t>
  </si>
  <si>
    <t>H12: Relevant TDABC priced procedures</t>
  </si>
  <si>
    <t>Admission (Private Ward/HDU)</t>
  </si>
  <si>
    <t>Consultation Urologist</t>
  </si>
  <si>
    <t>DJ stent removal</t>
  </si>
  <si>
    <t>Cystoscopy</t>
  </si>
  <si>
    <t>H12: Total Amount</t>
  </si>
  <si>
    <t>TOTAL AMOUNT 12 [A12-H12]</t>
  </si>
  <si>
    <t>13. Possible complication: readmission for infection (2.0%)</t>
  </si>
  <si>
    <t>A13: Human Resource</t>
  </si>
  <si>
    <t>A13: Total Amount</t>
  </si>
  <si>
    <t>B13: Medical Equipments/Machinery</t>
  </si>
  <si>
    <t>B13: Total Amount</t>
  </si>
  <si>
    <t>C13: Medical Furniture/Fittings</t>
  </si>
  <si>
    <t>C13: Total Amount</t>
  </si>
  <si>
    <t>D13: Medical Consumables/Supplies</t>
  </si>
  <si>
    <t>D13: Total Amount</t>
  </si>
  <si>
    <t>E13: Drugs/Medication</t>
  </si>
  <si>
    <t>Meropenem 1 g</t>
  </si>
  <si>
    <t>Valganciclovir (900 mg tablet)</t>
  </si>
  <si>
    <t>E13: Total Amount</t>
  </si>
  <si>
    <t>F13: Radiology Investigations</t>
  </si>
  <si>
    <t>Ultrasound abdomen</t>
  </si>
  <si>
    <t>F13: Total Amount</t>
  </si>
  <si>
    <t>G13: Laboratory Investigations</t>
  </si>
  <si>
    <t>G13: Total Amount</t>
  </si>
  <si>
    <t>H13: Relevant TDABC priced procedures</t>
  </si>
  <si>
    <t>Admission (Private ward/HDU)</t>
  </si>
  <si>
    <t>ConsultationNephrology fellow</t>
  </si>
  <si>
    <t>H13: Total Amount</t>
  </si>
  <si>
    <t>TOTAL AMOUNT 13 [A13-H13]</t>
  </si>
  <si>
    <t>14. Possible complication: readmission for rejection (3%)</t>
  </si>
  <si>
    <t>A14: Human Resource</t>
  </si>
  <si>
    <t>A14: Total Amount</t>
  </si>
  <si>
    <t>B14: Medical Equipments/Machinery</t>
  </si>
  <si>
    <t>B14: Total Amount</t>
  </si>
  <si>
    <t>C14: Medical Furniture/Fittings</t>
  </si>
  <si>
    <t>C14: Total Amount</t>
  </si>
  <si>
    <t>D14: Medical Consumables/Supplies</t>
  </si>
  <si>
    <t>D14: Total Amount</t>
  </si>
  <si>
    <t>E14: Drugs/Medication</t>
  </si>
  <si>
    <t>Methylprednisolone 500 mg inj.</t>
  </si>
  <si>
    <t>rATG (1 mg/kg)</t>
  </si>
  <si>
    <t>E14: Total Amount</t>
  </si>
  <si>
    <t>F14: Radiology Investigations</t>
  </si>
  <si>
    <t>Kidney biopsy (procedure by IR)</t>
  </si>
  <si>
    <t>F14: Total Amount</t>
  </si>
  <si>
    <t>G14: Laboratory Investigations</t>
  </si>
  <si>
    <t>G14: Total Amount</t>
  </si>
  <si>
    <t>H14: Relevant TDABC priced procedures</t>
  </si>
  <si>
    <t>H14: Total Amount</t>
  </si>
  <si>
    <t>TOTAL AMOUNT 14 [A14-H14]</t>
  </si>
  <si>
    <t>Additional Year Follow Up</t>
  </si>
  <si>
    <t>15. Consultation</t>
  </si>
  <si>
    <t>A15: Human Resource</t>
  </si>
  <si>
    <t>A15: Total Amount</t>
  </si>
  <si>
    <t>B15: Medical Equipments/Machinery</t>
  </si>
  <si>
    <t>B15: Total Amount</t>
  </si>
  <si>
    <t>C15: Medical Furniture/Fittings</t>
  </si>
  <si>
    <t>C15: Total Amount</t>
  </si>
  <si>
    <t>D15: Medical Consumables/Supplies</t>
  </si>
  <si>
    <t>D15: Total Amount</t>
  </si>
  <si>
    <t>E15: Drugs/Medication</t>
  </si>
  <si>
    <t>E15: Total Amount</t>
  </si>
  <si>
    <t>F15: Radiology Investigations</t>
  </si>
  <si>
    <t>F15: Total Amount</t>
  </si>
  <si>
    <t>G15: Laboratory Investigations</t>
  </si>
  <si>
    <t>G15: Total Amount</t>
  </si>
  <si>
    <t>H15: Relevant TDABC priced procedures</t>
  </si>
  <si>
    <t>H15: Total Amount</t>
  </si>
  <si>
    <t>TOTAL AMOUNT 15 [A15-H15]</t>
  </si>
  <si>
    <t>16. Diagnostics</t>
  </si>
  <si>
    <t>A16: Human Resource</t>
  </si>
  <si>
    <t>A16: Total Amount</t>
  </si>
  <si>
    <t>B16: Medical Equipments/Machinery</t>
  </si>
  <si>
    <t>B16: Total Amount</t>
  </si>
  <si>
    <t>C16: Medical Furniture/Fittings</t>
  </si>
  <si>
    <t>C16: Total Amount</t>
  </si>
  <si>
    <t>D16: Medical Consumables/Supplies</t>
  </si>
  <si>
    <t>D16: Total Amount</t>
  </si>
  <si>
    <t>E16: Drugs/Medication</t>
  </si>
  <si>
    <t>E16: Total Amount</t>
  </si>
  <si>
    <t>F16: Radiology Investigations</t>
  </si>
  <si>
    <t>Kidney biopsy (procedure)</t>
  </si>
  <si>
    <t>F16: Total Amount</t>
  </si>
  <si>
    <t>G16: Laboratory Investigations</t>
  </si>
  <si>
    <t>G16: Total Amount</t>
  </si>
  <si>
    <t>H16: Relevant TDABC priced procedures</t>
  </si>
  <si>
    <t>H16: Total Amount</t>
  </si>
  <si>
    <t>TOTAL AMOUNT 16 [A16-H16]</t>
  </si>
  <si>
    <t>17. Medications</t>
  </si>
  <si>
    <t>A17: Human Resource</t>
  </si>
  <si>
    <t>A17: Total Amount</t>
  </si>
  <si>
    <t>B17: Medical Equipments/Machinery</t>
  </si>
  <si>
    <t>B17: Total Amount</t>
  </si>
  <si>
    <t>C17: Medical Furniture/Fittings</t>
  </si>
  <si>
    <t>C17: Total Amount</t>
  </si>
  <si>
    <t>D17: Medical Consumables/Supplies</t>
  </si>
  <si>
    <t>D17: Total Amount</t>
  </si>
  <si>
    <t>E17: Drugs/Medication</t>
  </si>
  <si>
    <t>E17: Total Amount</t>
  </si>
  <si>
    <t>F17: Radiology Investigations</t>
  </si>
  <si>
    <t>F17: Total Amount</t>
  </si>
  <si>
    <t>G17: Laboratory Investigations</t>
  </si>
  <si>
    <t>G17: Total Amount</t>
  </si>
  <si>
    <t>H17: Relevant TDABC priced procedures</t>
  </si>
  <si>
    <t>H17: Total Amount</t>
  </si>
  <si>
    <t>TOTAL AMOUNT 17 [A17-H17]</t>
  </si>
  <si>
    <t>18. Possible complication: readmission for infection (2.0%)</t>
  </si>
  <si>
    <t>A18: Human Resource</t>
  </si>
  <si>
    <t>A18: Total Amount</t>
  </si>
  <si>
    <t>B18: Medical Equipments/Machinery</t>
  </si>
  <si>
    <t>B18: Total Amount</t>
  </si>
  <si>
    <t>C18: Medical Furniture/Fittings</t>
  </si>
  <si>
    <t>C18: Total Amount</t>
  </si>
  <si>
    <t>D18: Medical Consumables/Supplies</t>
  </si>
  <si>
    <t>D18: Total Amount</t>
  </si>
  <si>
    <t>E18: Drugs/Medication</t>
  </si>
  <si>
    <t>E18: Total Amount</t>
  </si>
  <si>
    <t>F18: Radiology Investigations</t>
  </si>
  <si>
    <t>F18: Total Amount</t>
  </si>
  <si>
    <t>G18: Laboratory Investigations</t>
  </si>
  <si>
    <t>G18: Total Amount</t>
  </si>
  <si>
    <t>H18: Relevant TDABC priced procedures</t>
  </si>
  <si>
    <t>H18: Total Amount</t>
  </si>
  <si>
    <t>TOTAL AMOUNT 18 [A18-H18]</t>
  </si>
  <si>
    <t>19. Possible complication: readmission for rejection (3%)</t>
  </si>
  <si>
    <t>A19: Human Resource</t>
  </si>
  <si>
    <t>A19: Total Amount</t>
  </si>
  <si>
    <t>B19: Medical Equipments/Machinery</t>
  </si>
  <si>
    <t>B19: Total Amount</t>
  </si>
  <si>
    <t>C19: Medical Furniture/Fittings</t>
  </si>
  <si>
    <t>C19: Total Amount</t>
  </si>
  <si>
    <t>D19: Medical Consumables/Supplies</t>
  </si>
  <si>
    <t>D19: Total Amount</t>
  </si>
  <si>
    <t>E19: Drugs/Medication</t>
  </si>
  <si>
    <t>E19: Total Amount</t>
  </si>
  <si>
    <t>F19: Radiology Investigations</t>
  </si>
  <si>
    <t>F19: Total Amount</t>
  </si>
  <si>
    <t>G19: Laboratory Investigations</t>
  </si>
  <si>
    <t>G19: Total Amount</t>
  </si>
  <si>
    <t>H19: Relevant TDABC priced procedures</t>
  </si>
  <si>
    <t>H19: Total Amount</t>
  </si>
  <si>
    <t>TOTAL AMOUNT 19 [A19-G19]</t>
  </si>
  <si>
    <t>20. Possible complication: readmission for ureteral stenosis (2.9%)</t>
  </si>
  <si>
    <t>A20: Human Resource</t>
  </si>
  <si>
    <t>A20: Total Amount</t>
  </si>
  <si>
    <t>B20: Medical Equipments/Machinery</t>
  </si>
  <si>
    <t>B20: Total Amount</t>
  </si>
  <si>
    <t>C20: Medical Furniture/Fittings</t>
  </si>
  <si>
    <t>C20: Total Amount</t>
  </si>
  <si>
    <t>D20: Medical Consumables/Supplies</t>
  </si>
  <si>
    <t>D20: Total Amount</t>
  </si>
  <si>
    <t>E20: Drugs/Medication</t>
  </si>
  <si>
    <t>E20: Total Amount</t>
  </si>
  <si>
    <t>F20: Radiology Investigations</t>
  </si>
  <si>
    <t>F20: Total Amount</t>
  </si>
  <si>
    <t>G20: Laboratory Investigations</t>
  </si>
  <si>
    <t>G20: Total Amount</t>
  </si>
  <si>
    <t>H20: Relevant TDABC priced procedures</t>
  </si>
  <si>
    <t>Laparotomy and Uretereoneocystostomy</t>
  </si>
  <si>
    <t>H20: Total Amount</t>
  </si>
  <si>
    <t>TOTAL AMOUNT 20 [A20-H20]</t>
  </si>
  <si>
    <t>21. Possible complication: readmission for ureteral stenosis (2.9%)</t>
  </si>
  <si>
    <t>A21: Human Resource</t>
  </si>
  <si>
    <t>A21: Total Amount</t>
  </si>
  <si>
    <t>B21: Medical Equipments/Machinery</t>
  </si>
  <si>
    <t>B21: Total Amount</t>
  </si>
  <si>
    <t>C21: Medical Furniture/Fittings</t>
  </si>
  <si>
    <t>C21: Total Amount</t>
  </si>
  <si>
    <t>D21: Medical Consumables/Supplies</t>
  </si>
  <si>
    <t>D21: Total Amount</t>
  </si>
  <si>
    <t>E21: Drugs/Medication</t>
  </si>
  <si>
    <t>E21: Total Amount</t>
  </si>
  <si>
    <t>F21: Radiology Investigations</t>
  </si>
  <si>
    <t>F21: Total Amount</t>
  </si>
  <si>
    <t>G21: Laboratory Investigations</t>
  </si>
  <si>
    <t>G21: Total Amount</t>
  </si>
  <si>
    <t>H21: Relevant TDABC priced procedures</t>
  </si>
  <si>
    <t>Admission for Stent Removal (Private ward/HDU)</t>
  </si>
  <si>
    <t>H21: Total Amount</t>
  </si>
  <si>
    <t>TOTAL AMOUNT 21 [A21-H21]</t>
  </si>
  <si>
    <t>Support Services/Supplies</t>
  </si>
  <si>
    <t>ICT Software</t>
  </si>
  <si>
    <t>I: Total Amount</t>
  </si>
  <si>
    <t>J: Total Amount</t>
  </si>
  <si>
    <t>K: Total Amount</t>
  </si>
  <si>
    <t>L: Total Amount</t>
  </si>
  <si>
    <t>Main Operating Theatre</t>
  </si>
  <si>
    <t>M: Total Amount</t>
  </si>
  <si>
    <t>N: Total Amount</t>
  </si>
  <si>
    <t>O: Total Amount</t>
  </si>
  <si>
    <t>SCHEDULE 01.0a: FULL COSTING: DONOR COSTING - RENAL TRANSPLANT</t>
  </si>
  <si>
    <t>SCHEDULE 01.0b: RENAL TRANSPLANT [SUMMATED DONOR TDABC]</t>
  </si>
  <si>
    <t>Reduced ICU Time</t>
  </si>
  <si>
    <t>Total cost of admission for donation</t>
  </si>
  <si>
    <t>Second year of follow-up</t>
  </si>
  <si>
    <t>MUHIMBILI NATIONAL HOSPITAL</t>
  </si>
  <si>
    <r>
      <t xml:space="preserve">CALCULATIONS/ESTIMATES: </t>
    </r>
    <r>
      <rPr>
        <sz val="10"/>
        <color indexed="8"/>
        <rFont val="Georgia"/>
        <family val="1"/>
      </rPr>
      <t>MEDICAL PERSONNEL  PER ANNUM PRACTICAL CAPACITY &amp; COST RATES PER HOUR(MIN) PER PATIENT</t>
    </r>
  </si>
  <si>
    <t>Practical Capacity in Time Units Per Year</t>
  </si>
  <si>
    <t>Rates &amp; Prices</t>
  </si>
  <si>
    <t>Pay/Month               TZS</t>
  </si>
  <si>
    <t>Pay/Annum      TZS</t>
  </si>
  <si>
    <t xml:space="preserve">Days </t>
  </si>
  <si>
    <t xml:space="preserve">Hours </t>
  </si>
  <si>
    <t xml:space="preserve">Minutes </t>
  </si>
  <si>
    <t>TZS/Min per Patient</t>
  </si>
  <si>
    <t xml:space="preserve">Medical Consultant </t>
  </si>
  <si>
    <t>PMGSS16</t>
  </si>
  <si>
    <t>4780000 - 130000 - 4910000</t>
  </si>
  <si>
    <t>PMGSS16/2</t>
  </si>
  <si>
    <t>Senior Medical Specialist I</t>
  </si>
  <si>
    <t>PMGSS14</t>
  </si>
  <si>
    <t>4275000 - 125000 - 4400000</t>
  </si>
  <si>
    <t>PMGSS14/2</t>
  </si>
  <si>
    <t>Senior Medical Specialist II</t>
  </si>
  <si>
    <t>PMGSS13</t>
  </si>
  <si>
    <t>3910000 - 122000 - 4154000</t>
  </si>
  <si>
    <t>PMGSS13/3</t>
  </si>
  <si>
    <t>Senior Nursing Officer I</t>
  </si>
  <si>
    <t>PMGSS9</t>
  </si>
  <si>
    <t>2312000 - 69000 - 2519000</t>
  </si>
  <si>
    <t>PMGSS9/4</t>
  </si>
  <si>
    <t>Nursing Officer  I</t>
  </si>
  <si>
    <t>PMGSS7</t>
  </si>
  <si>
    <t>1780000 - 58000 - 1954000</t>
  </si>
  <si>
    <t>PMGSS7/4</t>
  </si>
  <si>
    <t>Nursing Officer II</t>
  </si>
  <si>
    <t>PMGSS6</t>
  </si>
  <si>
    <t>1532000 - 55000 - 1697000</t>
  </si>
  <si>
    <t>PMGSS6/4</t>
  </si>
  <si>
    <t xml:space="preserve">Assistant Nursing Officer II </t>
  </si>
  <si>
    <t>PMGSS4</t>
  </si>
  <si>
    <t>1135000 - 37000 - 1246000</t>
  </si>
  <si>
    <t>PMGSS4/4</t>
  </si>
  <si>
    <t>Senior Health Assistant I</t>
  </si>
  <si>
    <t>PMOSS 4</t>
  </si>
  <si>
    <t>PMOSS4</t>
  </si>
  <si>
    <t>658000 - 10000 - 708000</t>
  </si>
  <si>
    <t>PMOSS4/6</t>
  </si>
  <si>
    <t>Senior Nutrition Officer I</t>
  </si>
  <si>
    <t>PGSS 9</t>
  </si>
  <si>
    <t>PGSS9</t>
  </si>
  <si>
    <t>1820000 - 60000 - 2000000</t>
  </si>
  <si>
    <t>PGSS9/4</t>
  </si>
  <si>
    <t>Senior Physiotherapist I</t>
  </si>
  <si>
    <t>Medical Specialist II</t>
  </si>
  <si>
    <t>PMGSS11</t>
  </si>
  <si>
    <t>3077000 - 118000 - 3431000</t>
  </si>
  <si>
    <t>PMGSS11/4</t>
  </si>
  <si>
    <t>Senior Medical Recorder I</t>
  </si>
  <si>
    <t>Senior Biomedical Engineering Technician I</t>
  </si>
  <si>
    <t>Senior Pharmacist I</t>
  </si>
  <si>
    <t>PMGSS 9</t>
  </si>
  <si>
    <t>Immunologist (Medical Officer 1)</t>
  </si>
  <si>
    <t>PGSS 7</t>
  </si>
  <si>
    <t>1355000 - 32000 - 1451000</t>
  </si>
  <si>
    <t>PGSS 7/4</t>
  </si>
  <si>
    <t>PGSS 11</t>
  </si>
  <si>
    <t>PGSS11</t>
  </si>
  <si>
    <t>2645000 - 110000 - 2975000</t>
  </si>
  <si>
    <t>PGSS11/4</t>
  </si>
  <si>
    <t>Ethiopian Data</t>
  </si>
  <si>
    <t>Pay/Month ETB</t>
  </si>
  <si>
    <t>Pay/Month TZS</t>
  </si>
  <si>
    <t>Pay/Annum TZS</t>
  </si>
  <si>
    <t>Exchange rate ETB-TZS</t>
  </si>
  <si>
    <t>Transplant surgeon</t>
  </si>
  <si>
    <t>Transplant surgery fellow</t>
  </si>
  <si>
    <t>Social worker</t>
  </si>
  <si>
    <t>Psychiatrist</t>
  </si>
  <si>
    <t>Anesthesiologist</t>
  </si>
  <si>
    <t>Anesthetist</t>
  </si>
  <si>
    <t>General practitioner (dialysis)</t>
  </si>
  <si>
    <t>Runner (dialysis)</t>
  </si>
  <si>
    <t>Nurse (OR)</t>
  </si>
  <si>
    <t>Nurse (ICU)</t>
  </si>
  <si>
    <t>Nurse (ward)</t>
  </si>
  <si>
    <t>Nurse (dialysis)</t>
  </si>
  <si>
    <t>Nurse (outpatient)</t>
  </si>
  <si>
    <t>MUHIMBILI NATIONAL HOSPITAL (MNH)</t>
  </si>
  <si>
    <t>CALCULATIONS/ESTIMATES PER ANNUM PRACTICAL CAPACITY  FOR MEDICAL EQUIPMENTS/MACHINERY PER HOUR (MIN) PER PATIENT</t>
  </si>
  <si>
    <t>Practical Capacity in Time Units Per year</t>
  </si>
  <si>
    <t xml:space="preserve"> Resource Description</t>
  </si>
  <si>
    <t>Resource's Total Value  TZS</t>
  </si>
  <si>
    <t>Usage (Depreciation) value: 12.5%  Per Year in  TZS</t>
  </si>
  <si>
    <t>Hours</t>
  </si>
  <si>
    <t>Minutes</t>
  </si>
  <si>
    <t>TZS/min/patient</t>
  </si>
  <si>
    <t>CALCULATIONS/ESTIMATES: PER ANNUM MEDICAL/OFFICE FURNITURE &amp; FITTINGS' PRACTICAL CAPACITY, AND RATES &amp; PRICES PER HOUR (MIN) PER PATIENT</t>
  </si>
  <si>
    <t>Practical Capacity  in Time Units Per Year</t>
  </si>
  <si>
    <t xml:space="preserve"> Resource  Description</t>
  </si>
  <si>
    <t>Usage(Depreciation) Value: 20%  Per Year in  TZS</t>
  </si>
  <si>
    <r>
      <t xml:space="preserve">CALCULATIONS/ESTIMATIONS - PER ANNUM PRACTICAL CAPACITY, AND RATES &amp; PRICES FOR   </t>
    </r>
    <r>
      <rPr>
        <sz val="8"/>
        <color indexed="8"/>
        <rFont val="Georgia"/>
        <family val="1"/>
      </rPr>
      <t>UTITILTIES  [WATER , ELECTRICITY, AIR CONDITIONING], General STATIONERIES, COMPUTER &amp; ICT SERVICES, ADMINISTRATIVE EXPENSES, MED.EQUP MAINTAINANCE EXPENSES PER HOUR (MIN.) PER PATIENT</t>
    </r>
  </si>
  <si>
    <t>Resource Description</t>
  </si>
  <si>
    <t xml:space="preserve">Resource's Total Value  in TZS </t>
  </si>
  <si>
    <t>Usage  value  Per Year in  TZS</t>
  </si>
  <si>
    <t>Utilities-Water Service Expenses</t>
  </si>
  <si>
    <t>Utilities-Electricity  Service Expenses</t>
  </si>
  <si>
    <t>Air conditioning</t>
  </si>
  <si>
    <t>General Stationaries Expenses</t>
  </si>
  <si>
    <t>Computers &amp; ICT Support Services</t>
  </si>
  <si>
    <t>Med Equipments Maintainance Expenses</t>
  </si>
  <si>
    <t>Administrative Expenses</t>
  </si>
  <si>
    <r>
      <rPr>
        <b/>
        <sz val="10"/>
        <color indexed="8"/>
        <rFont val="Georgia"/>
        <family val="1"/>
      </rPr>
      <t xml:space="preserve">SCHEDULE 2: </t>
    </r>
    <r>
      <rPr>
        <sz val="10"/>
        <color indexed="8"/>
        <rFont val="Georgia"/>
        <family val="1"/>
      </rPr>
      <t>CALCULATIONS/ESTIMATES  FOR BUILDINGS/SPACES FOR DIRECT MEDICAL CARE &amp; SUPPORT SERVICES</t>
    </r>
  </si>
  <si>
    <t>Prices &amp; Rates</t>
  </si>
  <si>
    <t xml:space="preserve"> Building/Space Description</t>
  </si>
  <si>
    <t>Total Value TZS</t>
  </si>
  <si>
    <t>Usage/Depreciation [4%  p.a] TZS</t>
  </si>
  <si>
    <t>TZS/minPer patient</t>
  </si>
  <si>
    <t>ICU, X – RAY, OPERATING THEATRE, RADIOLOGY AND ANAESTHESIA BUILDING-Main Building, MNH/OPR/BLD/30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</si>
</sst>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8"/>
      <color theme="1"/>
      <name val="Arial Black"/>
      <family val="2"/>
    </font>
    <font>
      <b/>
      <sz val="10"/>
      <color theme="1"/>
      <name val="Arial Narrow"/>
      <family val="2"/>
    </font>
    <font>
      <b/>
      <sz val="9"/>
      <color theme="1"/>
      <name val="Georgia"/>
      <family val="1"/>
    </font>
    <font>
      <b/>
      <sz val="8"/>
      <color theme="1"/>
      <name val="Calibri "/>
    </font>
    <font>
      <sz val="11"/>
      <color theme="1"/>
      <name val="Arial Black"/>
      <family val="2"/>
    </font>
    <font>
      <sz val="9"/>
      <color theme="1"/>
      <name val="Georgia"/>
      <family val="1"/>
    </font>
    <font>
      <sz val="10"/>
      <color theme="1"/>
      <name val="Georgia"/>
      <family val="1"/>
    </font>
    <font>
      <b/>
      <sz val="10"/>
      <color theme="1"/>
      <name val="Georgia"/>
      <family val="1"/>
    </font>
    <font>
      <sz val="10"/>
      <color rgb="FFFF0000"/>
      <name val="Georgia"/>
      <family val="1"/>
    </font>
    <font>
      <sz val="9"/>
      <name val="Georgia"/>
      <family val="1"/>
    </font>
    <font>
      <sz val="11"/>
      <color theme="1"/>
      <name val="Georgia"/>
      <family val="1"/>
    </font>
    <font>
      <sz val="10"/>
      <name val="Georgia"/>
      <family val="1"/>
    </font>
    <font>
      <sz val="11"/>
      <color theme="0"/>
      <name val="Calibri"/>
      <family val="2"/>
      <scheme val="minor"/>
    </font>
    <font>
      <b/>
      <sz val="10"/>
      <color theme="1"/>
      <name val="Calibri "/>
    </font>
    <font>
      <sz val="11"/>
      <color theme="0"/>
      <name val="Arial Black"/>
      <family val="2"/>
    </font>
    <font>
      <b/>
      <sz val="9"/>
      <color theme="0"/>
      <name val="Georgia"/>
      <family val="1"/>
    </font>
    <font>
      <sz val="10"/>
      <color theme="0"/>
      <name val="Georgia"/>
      <family val="1"/>
    </font>
    <font>
      <sz val="10"/>
      <color indexed="8"/>
      <name val="Georgia"/>
      <family val="1"/>
    </font>
    <font>
      <sz val="10"/>
      <color rgb="FF00B050"/>
      <name val="Georgia"/>
      <family val="1"/>
    </font>
    <font>
      <sz val="11"/>
      <color rgb="FF000000"/>
      <name val="Aptos Narrow"/>
      <family val="2"/>
    </font>
    <font>
      <sz val="11"/>
      <color rgb="FF9C5700"/>
      <name val="Aptos Narrow"/>
      <family val="2"/>
    </font>
    <font>
      <sz val="11"/>
      <color indexed="8"/>
      <name val="Calibri"/>
      <family val="2"/>
    </font>
    <font>
      <b/>
      <sz val="10"/>
      <name val="Georgia"/>
      <family val="1"/>
    </font>
    <font>
      <b/>
      <sz val="11"/>
      <color theme="1"/>
      <name val="Georgia"/>
      <family val="1"/>
    </font>
    <font>
      <sz val="8"/>
      <color indexed="8"/>
      <name val="Georgia"/>
      <family val="1"/>
    </font>
    <font>
      <sz val="10"/>
      <color theme="1"/>
      <name val="Calibri"/>
      <family val="2"/>
      <scheme val="minor"/>
    </font>
    <font>
      <b/>
      <sz val="10"/>
      <color indexed="8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1" fillId="0" borderId="0"/>
    <xf numFmtId="164" fontId="1" fillId="0" borderId="0" applyFont="0" applyFill="0" applyBorder="0" applyAlignment="0" applyProtection="0"/>
  </cellStyleXfs>
  <cellXfs count="200">
    <xf numFmtId="0" fontId="0" fillId="0" borderId="0" xfId="0"/>
    <xf numFmtId="0" fontId="3" fillId="0" borderId="0" xfId="0" applyFont="1" applyAlignment="1">
      <alignment horizontal="left"/>
    </xf>
    <xf numFmtId="0" fontId="0" fillId="2" borderId="0" xfId="0" applyFill="1"/>
    <xf numFmtId="0" fontId="0" fillId="0" borderId="3" xfId="0" applyBorder="1"/>
    <xf numFmtId="0" fontId="4" fillId="3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textRotation="90" wrapText="1"/>
    </xf>
    <xf numFmtId="0" fontId="4" fillId="4" borderId="4" xfId="0" applyFont="1" applyFill="1" applyBorder="1" applyAlignment="1">
      <alignment horizontal="left" textRotation="90" wrapText="1"/>
    </xf>
    <xf numFmtId="0" fontId="4" fillId="3" borderId="4" xfId="0" applyFont="1" applyFill="1" applyBorder="1" applyAlignment="1">
      <alignment textRotation="90" wrapText="1"/>
    </xf>
    <xf numFmtId="164" fontId="4" fillId="4" borderId="4" xfId="1" applyFont="1" applyFill="1" applyBorder="1" applyAlignment="1">
      <alignment horizontal="right" textRotation="90" wrapText="1"/>
    </xf>
    <xf numFmtId="164" fontId="4" fillId="3" borderId="5" xfId="1" applyFont="1" applyFill="1" applyBorder="1" applyAlignment="1">
      <alignment textRotation="90" wrapText="1"/>
    </xf>
    <xf numFmtId="0" fontId="5" fillId="5" borderId="6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textRotation="90" wrapText="1"/>
    </xf>
    <xf numFmtId="0" fontId="5" fillId="6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4" fontId="8" fillId="2" borderId="0" xfId="1" applyFont="1" applyFill="1"/>
    <xf numFmtId="164" fontId="8" fillId="4" borderId="0" xfId="1" applyFont="1" applyFill="1"/>
    <xf numFmtId="0" fontId="9" fillId="2" borderId="0" xfId="0" applyFont="1" applyFill="1"/>
    <xf numFmtId="0" fontId="5" fillId="6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164" fontId="9" fillId="2" borderId="0" xfId="1" applyFont="1" applyFill="1"/>
    <xf numFmtId="164" fontId="9" fillId="4" borderId="0" xfId="1" applyFont="1" applyFill="1"/>
    <xf numFmtId="164" fontId="9" fillId="2" borderId="7" xfId="1" applyFont="1" applyFill="1" applyBorder="1"/>
    <xf numFmtId="10" fontId="9" fillId="2" borderId="8" xfId="2" applyNumberFormat="1" applyFont="1" applyFill="1" applyBorder="1"/>
    <xf numFmtId="0" fontId="7" fillId="6" borderId="0" xfId="0" applyFont="1" applyFill="1" applyAlignment="1">
      <alignment vertical="top" wrapText="1"/>
    </xf>
    <xf numFmtId="164" fontId="10" fillId="2" borderId="0" xfId="1" applyFont="1" applyFill="1"/>
    <xf numFmtId="0" fontId="5" fillId="6" borderId="0" xfId="0" applyFont="1" applyFill="1" applyAlignment="1">
      <alignment wrapText="1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7" fillId="6" borderId="0" xfId="0" applyFont="1" applyFill="1" applyAlignment="1">
      <alignment wrapText="1"/>
    </xf>
    <xf numFmtId="164" fontId="11" fillId="2" borderId="0" xfId="1" applyFont="1" applyFill="1"/>
    <xf numFmtId="164" fontId="11" fillId="4" borderId="0" xfId="1" applyFont="1" applyFill="1"/>
    <xf numFmtId="0" fontId="7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7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8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4" fontId="9" fillId="0" borderId="0" xfId="1" applyFont="1"/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7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5" fillId="9" borderId="0" xfId="0" applyFont="1" applyFill="1"/>
    <xf numFmtId="0" fontId="7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/>
    <xf numFmtId="0" fontId="13" fillId="5" borderId="0" xfId="0" applyFont="1" applyFill="1"/>
    <xf numFmtId="0" fontId="13" fillId="0" borderId="0" xfId="0" applyFont="1"/>
    <xf numFmtId="0" fontId="9" fillId="0" borderId="0" xfId="0" applyFont="1"/>
    <xf numFmtId="0" fontId="9" fillId="7" borderId="0" xfId="0" applyFont="1" applyFill="1"/>
    <xf numFmtId="10" fontId="9" fillId="7" borderId="0" xfId="2" applyNumberFormat="1" applyFont="1" applyFill="1"/>
    <xf numFmtId="10" fontId="9" fillId="2" borderId="0" xfId="2" applyNumberFormat="1" applyFont="1" applyFill="1"/>
    <xf numFmtId="0" fontId="9" fillId="8" borderId="0" xfId="0" applyFont="1" applyFill="1"/>
    <xf numFmtId="10" fontId="9" fillId="8" borderId="0" xfId="2" applyNumberFormat="1" applyFont="1" applyFill="1"/>
    <xf numFmtId="0" fontId="9" fillId="9" borderId="0" xfId="0" applyFont="1" applyFill="1"/>
    <xf numFmtId="10" fontId="9" fillId="9" borderId="0" xfId="2" applyNumberFormat="1" applyFont="1" applyFill="1"/>
    <xf numFmtId="164" fontId="14" fillId="2" borderId="0" xfId="1" applyFont="1" applyFill="1"/>
    <xf numFmtId="164" fontId="14" fillId="4" borderId="0" xfId="1" applyFont="1" applyFill="1"/>
    <xf numFmtId="0" fontId="13" fillId="2" borderId="0" xfId="0" applyFont="1" applyFill="1"/>
    <xf numFmtId="0" fontId="7" fillId="6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wrapText="1"/>
    </xf>
    <xf numFmtId="0" fontId="16" fillId="5" borderId="5" xfId="0" applyFont="1" applyFill="1" applyBorder="1" applyAlignment="1">
      <alignment horizontal="center" textRotation="90" wrapText="1"/>
    </xf>
    <xf numFmtId="164" fontId="10" fillId="2" borderId="7" xfId="1" applyFont="1" applyFill="1" applyBorder="1"/>
    <xf numFmtId="10" fontId="10" fillId="2" borderId="7" xfId="2" applyNumberFormat="1" applyFont="1" applyFill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9" fillId="0" borderId="0" xfId="1" applyFont="1" applyFill="1" applyBorder="1"/>
    <xf numFmtId="164" fontId="10" fillId="0" borderId="0" xfId="1" applyFont="1" applyFill="1" applyBorder="1"/>
    <xf numFmtId="10" fontId="9" fillId="4" borderId="0" xfId="1" applyNumberFormat="1" applyFont="1" applyFill="1"/>
    <xf numFmtId="0" fontId="17" fillId="2" borderId="0" xfId="0" applyFont="1" applyFill="1" applyAlignment="1">
      <alignment wrapText="1"/>
    </xf>
    <xf numFmtId="0" fontId="18" fillId="2" borderId="0" xfId="0" applyFont="1" applyFill="1"/>
    <xf numFmtId="0" fontId="18" fillId="2" borderId="0" xfId="0" applyFont="1" applyFill="1" applyAlignment="1">
      <alignment horizontal="left" vertical="center"/>
    </xf>
    <xf numFmtId="164" fontId="19" fillId="2" borderId="0" xfId="1" applyFont="1" applyFill="1"/>
    <xf numFmtId="164" fontId="19" fillId="4" borderId="0" xfId="1" applyFont="1" applyFill="1"/>
    <xf numFmtId="0" fontId="15" fillId="2" borderId="0" xfId="0" applyFont="1" applyFill="1"/>
    <xf numFmtId="0" fontId="19" fillId="2" borderId="0" xfId="0" applyFont="1" applyFill="1"/>
    <xf numFmtId="0" fontId="9" fillId="2" borderId="0" xfId="0" applyFont="1" applyFill="1" applyAlignment="1">
      <alignment horizontal="center"/>
    </xf>
    <xf numFmtId="0" fontId="9" fillId="6" borderId="0" xfId="0" applyFont="1" applyFill="1"/>
    <xf numFmtId="164" fontId="9" fillId="2" borderId="0" xfId="1" applyFont="1" applyFill="1" applyBorder="1"/>
    <xf numFmtId="164" fontId="9" fillId="4" borderId="0" xfId="1" applyFont="1" applyFill="1" applyBorder="1"/>
    <xf numFmtId="10" fontId="9" fillId="6" borderId="0" xfId="2" applyNumberFormat="1" applyFont="1" applyFill="1"/>
    <xf numFmtId="164" fontId="0" fillId="2" borderId="0" xfId="0" applyNumberFormat="1" applyFill="1"/>
    <xf numFmtId="164" fontId="9" fillId="2" borderId="0" xfId="0" applyNumberFormat="1" applyFont="1" applyFill="1"/>
    <xf numFmtId="0" fontId="9" fillId="8" borderId="7" xfId="0" applyFont="1" applyFill="1" applyBorder="1"/>
    <xf numFmtId="0" fontId="9" fillId="8" borderId="0" xfId="1" applyNumberFormat="1" applyFont="1" applyFill="1" applyAlignment="1">
      <alignment horizontal="center"/>
    </xf>
    <xf numFmtId="164" fontId="9" fillId="8" borderId="7" xfId="1" applyFont="1" applyFill="1" applyBorder="1"/>
    <xf numFmtId="0" fontId="10" fillId="8" borderId="0" xfId="0" applyFont="1" applyFill="1" applyAlignment="1">
      <alignment horizontal="left"/>
    </xf>
    <xf numFmtId="164" fontId="10" fillId="8" borderId="0" xfId="1" applyFont="1" applyFill="1" applyBorder="1"/>
    <xf numFmtId="164" fontId="10" fillId="8" borderId="13" xfId="1" applyFont="1" applyFill="1" applyBorder="1"/>
    <xf numFmtId="0" fontId="10" fillId="10" borderId="14" xfId="0" applyFont="1" applyFill="1" applyBorder="1" applyAlignment="1">
      <alignment horizontal="center"/>
    </xf>
    <xf numFmtId="164" fontId="10" fillId="10" borderId="14" xfId="1" applyFont="1" applyFill="1" applyBorder="1" applyAlignment="1">
      <alignment horizontal="center" wrapText="1"/>
    </xf>
    <xf numFmtId="0" fontId="10" fillId="10" borderId="15" xfId="0" applyFont="1" applyFill="1" applyBorder="1" applyAlignment="1">
      <alignment horizontal="center"/>
    </xf>
    <xf numFmtId="0" fontId="10" fillId="10" borderId="16" xfId="0" applyFont="1" applyFill="1" applyBorder="1" applyAlignment="1">
      <alignment horizontal="center"/>
    </xf>
    <xf numFmtId="0" fontId="10" fillId="10" borderId="17" xfId="1" applyNumberFormat="1" applyFont="1" applyFill="1" applyBorder="1" applyAlignment="1">
      <alignment horizontal="center"/>
    </xf>
    <xf numFmtId="164" fontId="10" fillId="10" borderId="15" xfId="1" applyFont="1" applyFill="1" applyBorder="1" applyAlignment="1">
      <alignment horizontal="center" wrapText="1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10" fillId="2" borderId="0" xfId="1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/>
    </xf>
    <xf numFmtId="0" fontId="10" fillId="2" borderId="0" xfId="1" applyNumberFormat="1" applyFont="1" applyFill="1" applyBorder="1" applyAlignment="1">
      <alignment horizontal="center"/>
    </xf>
    <xf numFmtId="164" fontId="10" fillId="2" borderId="7" xfId="1" applyFont="1" applyFill="1" applyBorder="1" applyAlignment="1">
      <alignment horizontal="center" wrapText="1"/>
    </xf>
    <xf numFmtId="0" fontId="9" fillId="2" borderId="7" xfId="0" applyFont="1" applyFill="1" applyBorder="1"/>
    <xf numFmtId="0" fontId="9" fillId="2" borderId="0" xfId="1" applyNumberFormat="1" applyFont="1" applyFill="1" applyAlignment="1">
      <alignment horizontal="center"/>
    </xf>
    <xf numFmtId="164" fontId="21" fillId="2" borderId="7" xfId="1" applyFont="1" applyFill="1" applyBorder="1"/>
    <xf numFmtId="0" fontId="9" fillId="11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9" fillId="3" borderId="7" xfId="0" applyFont="1" applyFill="1" applyBorder="1"/>
    <xf numFmtId="0" fontId="9" fillId="3" borderId="0" xfId="0" applyFont="1" applyFill="1"/>
    <xf numFmtId="0" fontId="10" fillId="3" borderId="7" xfId="0" applyFont="1" applyFill="1" applyBorder="1"/>
    <xf numFmtId="0" fontId="10" fillId="2" borderId="14" xfId="0" applyFont="1" applyFill="1" applyBorder="1"/>
    <xf numFmtId="164" fontId="10" fillId="2" borderId="14" xfId="1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8" xfId="0" applyFont="1" applyFill="1" applyBorder="1"/>
    <xf numFmtId="164" fontId="9" fillId="2" borderId="0" xfId="1" applyFont="1" applyFill="1" applyAlignment="1">
      <alignment horizontal="center"/>
    </xf>
    <xf numFmtId="0" fontId="9" fillId="2" borderId="7" xfId="0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25" fillId="3" borderId="0" xfId="3" applyFont="1" applyFill="1" applyAlignment="1">
      <alignment horizontal="center" wrapText="1"/>
    </xf>
    <xf numFmtId="0" fontId="0" fillId="3" borderId="7" xfId="0" applyFill="1" applyBorder="1"/>
    <xf numFmtId="0" fontId="0" fillId="3" borderId="0" xfId="0" applyFill="1"/>
    <xf numFmtId="0" fontId="0" fillId="3" borderId="7" xfId="0" applyFill="1" applyBorder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7" xfId="0" applyFont="1" applyFill="1" applyBorder="1" applyAlignment="1">
      <alignment horizontal="center" wrapText="1"/>
    </xf>
    <xf numFmtId="0" fontId="9" fillId="3" borderId="1" xfId="0" applyFont="1" applyFill="1" applyBorder="1"/>
    <xf numFmtId="0" fontId="25" fillId="2" borderId="14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left" wrapText="1"/>
    </xf>
    <xf numFmtId="164" fontId="25" fillId="2" borderId="14" xfId="1" applyFont="1" applyFill="1" applyBorder="1" applyAlignment="1">
      <alignment horizontal="center" wrapText="1"/>
    </xf>
    <xf numFmtId="0" fontId="25" fillId="2" borderId="14" xfId="4" applyFont="1" applyFill="1" applyBorder="1" applyAlignment="1">
      <alignment horizontal="center" wrapText="1"/>
    </xf>
    <xf numFmtId="0" fontId="9" fillId="3" borderId="9" xfId="0" applyFont="1" applyFill="1" applyBorder="1"/>
    <xf numFmtId="0" fontId="10" fillId="3" borderId="0" xfId="0" applyFont="1" applyFill="1"/>
    <xf numFmtId="0" fontId="9" fillId="2" borderId="14" xfId="0" applyFont="1" applyFill="1" applyBorder="1" applyAlignment="1">
      <alignment horizontal="center"/>
    </xf>
    <xf numFmtId="0" fontId="9" fillId="2" borderId="14" xfId="0" applyFont="1" applyFill="1" applyBorder="1"/>
    <xf numFmtId="0" fontId="10" fillId="2" borderId="14" xfId="0" applyFont="1" applyFill="1" applyBorder="1" applyAlignment="1">
      <alignment wrapText="1"/>
    </xf>
    <xf numFmtId="0" fontId="10" fillId="2" borderId="14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/>
    </xf>
    <xf numFmtId="0" fontId="9" fillId="2" borderId="14" xfId="0" applyFont="1" applyFill="1" applyBorder="1" applyAlignment="1">
      <alignment wrapText="1"/>
    </xf>
    <xf numFmtId="164" fontId="13" fillId="2" borderId="20" xfId="1" applyFont="1" applyFill="1" applyBorder="1"/>
    <xf numFmtId="164" fontId="13" fillId="2" borderId="21" xfId="1" applyFont="1" applyFill="1" applyBorder="1"/>
    <xf numFmtId="0" fontId="9" fillId="2" borderId="9" xfId="0" applyFont="1" applyFill="1" applyBorder="1" applyAlignment="1">
      <alignment horizontal="center"/>
    </xf>
    <xf numFmtId="164" fontId="13" fillId="2" borderId="0" xfId="1" applyFont="1" applyFill="1" applyBorder="1"/>
    <xf numFmtId="0" fontId="14" fillId="2" borderId="0" xfId="0" applyFont="1" applyFill="1"/>
    <xf numFmtId="164" fontId="14" fillId="2" borderId="0" xfId="5" applyFont="1" applyFill="1"/>
    <xf numFmtId="0" fontId="11" fillId="2" borderId="0" xfId="0" applyFont="1" applyFill="1"/>
    <xf numFmtId="164" fontId="21" fillId="2" borderId="0" xfId="0" applyNumberFormat="1" applyFont="1" applyFill="1"/>
    <xf numFmtId="0" fontId="0" fillId="2" borderId="0" xfId="0" applyFill="1" applyAlignment="1">
      <alignment horizontal="center"/>
    </xf>
    <xf numFmtId="0" fontId="0" fillId="2" borderId="7" xfId="0" applyFill="1" applyBorder="1"/>
    <xf numFmtId="0" fontId="0" fillId="2" borderId="9" xfId="0" applyFill="1" applyBorder="1"/>
    <xf numFmtId="0" fontId="28" fillId="3" borderId="0" xfId="0" applyFont="1" applyFill="1"/>
    <xf numFmtId="0" fontId="28" fillId="3" borderId="7" xfId="0" applyFont="1" applyFill="1" applyBorder="1"/>
    <xf numFmtId="0" fontId="28" fillId="3" borderId="7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22" xfId="0" applyFont="1" applyFill="1" applyBorder="1" applyAlignment="1">
      <alignment horizontal="center" wrapText="1"/>
    </xf>
    <xf numFmtId="0" fontId="9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22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wrapText="1"/>
    </xf>
    <xf numFmtId="43" fontId="9" fillId="2" borderId="0" xfId="0" applyNumberFormat="1" applyFont="1" applyFill="1"/>
    <xf numFmtId="9" fontId="10" fillId="0" borderId="0" xfId="0" applyNumberFormat="1" applyFont="1" applyAlignment="1">
      <alignment horizontal="center"/>
    </xf>
    <xf numFmtId="9" fontId="10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4" fontId="9" fillId="2" borderId="0" xfId="0" applyNumberFormat="1" applyFont="1" applyFill="1"/>
    <xf numFmtId="0" fontId="10" fillId="0" borderId="0" xfId="0" applyFont="1"/>
    <xf numFmtId="43" fontId="0" fillId="2" borderId="0" xfId="0" applyNumberFormat="1" applyFill="1"/>
    <xf numFmtId="0" fontId="5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10" xfId="0" applyFont="1" applyFill="1" applyBorder="1" applyAlignment="1">
      <alignment horizontal="center" wrapText="1"/>
    </xf>
    <xf numFmtId="0" fontId="10" fillId="8" borderId="11" xfId="0" applyFont="1" applyFill="1" applyBorder="1" applyAlignment="1">
      <alignment horizontal="center" wrapText="1"/>
    </xf>
    <xf numFmtId="0" fontId="10" fillId="8" borderId="12" xfId="0" applyFont="1" applyFill="1" applyBorder="1" applyAlignment="1">
      <alignment horizontal="center" wrapText="1"/>
    </xf>
    <xf numFmtId="0" fontId="2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14" fillId="3" borderId="0" xfId="3" applyFont="1" applyFill="1" applyAlignment="1">
      <alignment horizontal="center" wrapText="1"/>
    </xf>
    <xf numFmtId="0" fontId="25" fillId="3" borderId="0" xfId="3" applyFont="1" applyFill="1" applyAlignment="1">
      <alignment horizontal="center" wrapText="1"/>
    </xf>
    <xf numFmtId="0" fontId="10" fillId="3" borderId="7" xfId="0" applyFont="1" applyFill="1" applyBorder="1" applyAlignment="1">
      <alignment horizontal="center" wrapText="1"/>
    </xf>
    <xf numFmtId="0" fontId="10" fillId="3" borderId="9" xfId="0" applyFont="1" applyFill="1" applyBorder="1" applyAlignment="1">
      <alignment horizontal="center" wrapText="1"/>
    </xf>
  </cellXfs>
  <cellStyles count="6">
    <cellStyle name="Comma" xfId="1" builtinId="3"/>
    <cellStyle name="Comma 25" xfId="5" xr:uid="{608974ED-5DC9-41BB-9E1E-AEAAB7371DF7}"/>
    <cellStyle name="Normal" xfId="0" builtinId="0"/>
    <cellStyle name="Normal 32" xfId="4" xr:uid="{906728FA-11E3-45CA-A286-755A1B3BA038}"/>
    <cellStyle name="Normal_Assets Above TZS 300000 as at 06-12-2013 PPE FINAL - URIMA" xfId="3" xr:uid="{4DD4BAC9-E1A5-40A3-91D0-F1F10CC275B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AD6C-D44B-46C2-8DDD-FA916940C348}">
  <sheetPr>
    <tabColor theme="5" tint="0.39997558519241921"/>
  </sheetPr>
  <dimension ref="A1:O423"/>
  <sheetViews>
    <sheetView zoomScale="132" zoomScaleNormal="90" workbookViewId="0">
      <selection activeCell="K19" sqref="K19"/>
    </sheetView>
  </sheetViews>
  <sheetFormatPr baseColWidth="10" defaultColWidth="8.83203125" defaultRowHeight="15"/>
  <cols>
    <col min="1" max="1" width="18.83203125" customWidth="1"/>
    <col min="2" max="2" width="25.1640625" customWidth="1"/>
    <col min="3" max="3" width="34.83203125" customWidth="1"/>
    <col min="4" max="6" width="12.83203125" customWidth="1"/>
    <col min="7" max="7" width="14.83203125" customWidth="1"/>
    <col min="8" max="8" width="16.6640625" bestFit="1" customWidth="1"/>
    <col min="10" max="10" width="46" customWidth="1"/>
    <col min="11" max="11" width="17" bestFit="1" customWidth="1"/>
    <col min="12" max="12" width="14.83203125" customWidth="1"/>
  </cols>
  <sheetData>
    <row r="1" spans="1:15" ht="16">
      <c r="B1" s="179" t="s">
        <v>0</v>
      </c>
      <c r="C1" s="179"/>
      <c r="D1" s="179"/>
      <c r="E1" s="179"/>
      <c r="F1" s="179"/>
      <c r="G1" s="179"/>
      <c r="H1" s="180"/>
      <c r="I1" s="1"/>
      <c r="J1" s="179" t="s">
        <v>1</v>
      </c>
      <c r="K1" s="179"/>
      <c r="L1" s="179"/>
      <c r="M1" s="2"/>
      <c r="N1" s="2"/>
      <c r="O1" s="2"/>
    </row>
    <row r="2" spans="1:15" ht="140">
      <c r="A2" s="3"/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3"/>
      <c r="J2" s="72" t="s">
        <v>9</v>
      </c>
      <c r="K2" s="73" t="s">
        <v>10</v>
      </c>
      <c r="L2" s="73" t="s">
        <v>11</v>
      </c>
      <c r="M2" s="2"/>
      <c r="N2" s="2"/>
      <c r="O2" s="2"/>
    </row>
    <row r="3" spans="1:15" ht="14.5" customHeight="1">
      <c r="A3" s="181" t="s">
        <v>12</v>
      </c>
      <c r="B3" s="13" t="s">
        <v>13</v>
      </c>
      <c r="C3" s="14" t="s">
        <v>14</v>
      </c>
      <c r="D3" s="15"/>
      <c r="E3" s="16"/>
      <c r="F3" s="15"/>
      <c r="G3" s="16"/>
      <c r="H3" s="15"/>
      <c r="I3" s="2"/>
      <c r="J3" s="17"/>
      <c r="K3" s="17"/>
      <c r="L3" s="17"/>
      <c r="M3" s="2"/>
      <c r="N3" s="2"/>
      <c r="O3" s="2"/>
    </row>
    <row r="4" spans="1:15" ht="14.5" customHeight="1">
      <c r="A4" s="181"/>
      <c r="B4" s="18">
        <v>1</v>
      </c>
      <c r="C4" s="19"/>
      <c r="D4" s="20">
        <v>0</v>
      </c>
      <c r="E4" s="21">
        <v>1</v>
      </c>
      <c r="F4" s="20">
        <f>D4*E4</f>
        <v>0</v>
      </c>
      <c r="G4" s="21">
        <v>101</v>
      </c>
      <c r="H4" s="20">
        <f>F4*G4</f>
        <v>0</v>
      </c>
      <c r="I4" s="2"/>
      <c r="J4" s="17" t="s">
        <v>15</v>
      </c>
      <c r="K4" s="22">
        <f>H6+(H77*K22)+(H134*K23)+(H191*K24)+(H248*K25)+(H306*K26)+(H363*K27)</f>
        <v>0</v>
      </c>
      <c r="L4" s="23">
        <f>K4/$K$19</f>
        <v>0</v>
      </c>
      <c r="M4" s="2"/>
      <c r="N4" s="2"/>
      <c r="O4" s="2"/>
    </row>
    <row r="5" spans="1:15" ht="17">
      <c r="A5" s="24"/>
      <c r="B5" s="18">
        <v>2</v>
      </c>
      <c r="C5" s="19"/>
      <c r="D5" s="20">
        <v>0</v>
      </c>
      <c r="E5" s="21">
        <v>1</v>
      </c>
      <c r="F5" s="20">
        <f>D5*E5</f>
        <v>0</v>
      </c>
      <c r="G5" s="21">
        <v>102</v>
      </c>
      <c r="H5" s="20">
        <f>F5*G5</f>
        <v>0</v>
      </c>
      <c r="I5" s="2"/>
      <c r="J5" s="17" t="s">
        <v>16</v>
      </c>
      <c r="K5" s="22">
        <f>H11+(H82*K22)+(H139*K23)+(H196*K24)+(H253*K25)+(H311*K26)+(H368*K27)</f>
        <v>0</v>
      </c>
      <c r="L5" s="23">
        <f t="shared" ref="L5:L18" si="0">K5/$K$19</f>
        <v>0</v>
      </c>
      <c r="M5" s="2"/>
      <c r="N5" s="2"/>
      <c r="O5" s="2"/>
    </row>
    <row r="6" spans="1:15" ht="17">
      <c r="A6" s="24"/>
      <c r="B6" s="18"/>
      <c r="C6" s="14" t="s">
        <v>17</v>
      </c>
      <c r="D6" s="20"/>
      <c r="E6" s="21"/>
      <c r="F6" s="20"/>
      <c r="G6" s="21"/>
      <c r="H6" s="25">
        <f>SUM(H4:H5)</f>
        <v>0</v>
      </c>
      <c r="I6" s="2"/>
      <c r="J6" s="17" t="s">
        <v>18</v>
      </c>
      <c r="K6" s="22">
        <f>H16+(H87*K22)+(H144*K23)+(H201*K24)+(H258*K25)+(H316*K26)+(H373*K27)</f>
        <v>0</v>
      </c>
      <c r="L6" s="23">
        <f t="shared" si="0"/>
        <v>0</v>
      </c>
      <c r="M6" s="2"/>
      <c r="N6" s="2"/>
      <c r="O6" s="2"/>
    </row>
    <row r="7" spans="1:15" ht="17">
      <c r="A7" s="24"/>
      <c r="B7" s="26"/>
      <c r="C7" s="14"/>
      <c r="D7" s="20"/>
      <c r="E7" s="21"/>
      <c r="F7" s="20"/>
      <c r="G7" s="21"/>
      <c r="H7" s="20"/>
      <c r="I7" s="2"/>
      <c r="J7" s="17" t="s">
        <v>19</v>
      </c>
      <c r="K7" s="22">
        <f>H21+(H92*K22)+(H149*K23)+(H206*K24)+(H263*K25)+(H321*K26)+(H378*K27)</f>
        <v>0</v>
      </c>
      <c r="L7" s="23">
        <f t="shared" si="0"/>
        <v>0</v>
      </c>
      <c r="M7" s="2"/>
      <c r="N7" s="2"/>
      <c r="O7" s="2"/>
    </row>
    <row r="8" spans="1:15" ht="17">
      <c r="A8" s="24"/>
      <c r="B8" s="26"/>
      <c r="C8" s="14" t="s">
        <v>20</v>
      </c>
      <c r="D8" s="20"/>
      <c r="E8" s="21"/>
      <c r="F8" s="20"/>
      <c r="G8" s="21"/>
      <c r="H8" s="20"/>
      <c r="I8" s="2"/>
      <c r="J8" s="17" t="s">
        <v>21</v>
      </c>
      <c r="K8" s="22">
        <f>H39+(H97*K22)+(H154*K23)+(H211*K24)+(H268*K25)+(H326*K26)+(H383*K27)</f>
        <v>2565311.923076923</v>
      </c>
      <c r="L8" s="23">
        <f t="shared" si="0"/>
        <v>7.0858232753049574E-2</v>
      </c>
      <c r="M8" s="2"/>
      <c r="N8" s="2"/>
      <c r="O8" s="2"/>
    </row>
    <row r="9" spans="1:15" ht="17">
      <c r="A9" s="24"/>
      <c r="B9" s="18">
        <v>1</v>
      </c>
      <c r="C9" s="19"/>
      <c r="D9" s="20">
        <v>0</v>
      </c>
      <c r="E9" s="21">
        <v>1</v>
      </c>
      <c r="F9" s="20">
        <f>D9*E9</f>
        <v>0</v>
      </c>
      <c r="G9" s="21">
        <v>101</v>
      </c>
      <c r="H9" s="20">
        <f>F9*G9</f>
        <v>0</v>
      </c>
      <c r="I9" s="2"/>
      <c r="J9" s="17" t="s">
        <v>22</v>
      </c>
      <c r="K9" s="22">
        <f>H44+(H105*K22)+(H162*K23)+(H219*K24)+(H276*K25)+(H334*K26)+(H391*K27)</f>
        <v>148312.5</v>
      </c>
      <c r="L9" s="23">
        <f t="shared" si="0"/>
        <v>4.0966408609607275E-3</v>
      </c>
      <c r="M9" s="2"/>
      <c r="N9" s="2"/>
      <c r="O9" s="2"/>
    </row>
    <row r="10" spans="1:15" ht="17">
      <c r="A10" s="24"/>
      <c r="B10" s="18">
        <v>2</v>
      </c>
      <c r="C10" s="19"/>
      <c r="D10" s="20">
        <v>0</v>
      </c>
      <c r="E10" s="21">
        <v>1</v>
      </c>
      <c r="F10" s="20">
        <f>D10*E10</f>
        <v>0</v>
      </c>
      <c r="G10" s="21">
        <v>102</v>
      </c>
      <c r="H10" s="20">
        <f>F10*G10</f>
        <v>0</v>
      </c>
      <c r="I10" s="2"/>
      <c r="J10" s="17" t="s">
        <v>23</v>
      </c>
      <c r="K10" s="22">
        <f>H61+(H115*K22)+(H172*K23)+(H229*K24)+(H286*K25)+(H344*K26)+(H401*K27)</f>
        <v>1730475.9246153845</v>
      </c>
      <c r="L10" s="23">
        <f t="shared" si="0"/>
        <v>4.7798657440796824E-2</v>
      </c>
      <c r="M10" s="2"/>
      <c r="N10" s="2"/>
      <c r="O10" s="2"/>
    </row>
    <row r="11" spans="1:15" ht="17">
      <c r="A11" s="24"/>
      <c r="B11" s="18"/>
      <c r="C11" s="14" t="s">
        <v>24</v>
      </c>
      <c r="D11" s="20"/>
      <c r="E11" s="21"/>
      <c r="F11" s="20"/>
      <c r="G11" s="21"/>
      <c r="H11" s="25">
        <f>SUM(H9:H10)</f>
        <v>0</v>
      </c>
      <c r="I11" s="2"/>
      <c r="J11" s="17" t="s">
        <v>25</v>
      </c>
      <c r="K11" s="22">
        <f>H70+(H127*K22)+(H184*K23)+(H241*K24)+(H299*K25)+(H356*K26)+(H414*K27)</f>
        <v>31759341.699999999</v>
      </c>
      <c r="L11" s="23">
        <f t="shared" si="0"/>
        <v>0.87724646894519287</v>
      </c>
      <c r="M11" s="2"/>
      <c r="N11" s="2"/>
      <c r="O11" s="2"/>
    </row>
    <row r="12" spans="1:15" ht="17">
      <c r="A12" s="24"/>
      <c r="B12" s="26"/>
      <c r="C12" s="14"/>
      <c r="D12" s="20"/>
      <c r="E12" s="21"/>
      <c r="F12" s="20"/>
      <c r="G12" s="21"/>
      <c r="H12" s="20"/>
      <c r="I12" s="2"/>
      <c r="J12" s="27" t="s">
        <v>26</v>
      </c>
      <c r="K12" s="22">
        <f>H929</f>
        <v>0</v>
      </c>
      <c r="L12" s="23">
        <f t="shared" si="0"/>
        <v>0</v>
      </c>
      <c r="M12" s="2"/>
      <c r="N12" s="2"/>
      <c r="O12" s="2"/>
    </row>
    <row r="13" spans="1:15" ht="17">
      <c r="A13" s="24"/>
      <c r="B13" s="26"/>
      <c r="C13" s="14" t="s">
        <v>27</v>
      </c>
      <c r="D13" s="20"/>
      <c r="E13" s="21"/>
      <c r="F13" s="20"/>
      <c r="G13" s="21"/>
      <c r="H13" s="20"/>
      <c r="I13" s="2"/>
      <c r="J13" s="27" t="s">
        <v>28</v>
      </c>
      <c r="K13" s="22">
        <f>H934</f>
        <v>0</v>
      </c>
      <c r="L13" s="23">
        <f t="shared" si="0"/>
        <v>0</v>
      </c>
      <c r="M13" s="2"/>
      <c r="N13" s="2"/>
      <c r="O13" s="2"/>
    </row>
    <row r="14" spans="1:15" ht="17">
      <c r="A14" s="24"/>
      <c r="B14" s="18">
        <v>1</v>
      </c>
      <c r="C14" s="19"/>
      <c r="D14" s="20">
        <v>0</v>
      </c>
      <c r="E14" s="21">
        <v>1</v>
      </c>
      <c r="F14" s="20">
        <f>D14*E14</f>
        <v>0</v>
      </c>
      <c r="G14" s="21">
        <v>101</v>
      </c>
      <c r="H14" s="20">
        <f>F14*G14</f>
        <v>0</v>
      </c>
      <c r="I14" s="2"/>
      <c r="J14" s="27" t="s">
        <v>29</v>
      </c>
      <c r="K14" s="22">
        <f>H939</f>
        <v>0</v>
      </c>
      <c r="L14" s="23">
        <f t="shared" si="0"/>
        <v>0</v>
      </c>
      <c r="M14" s="2"/>
      <c r="N14" s="2"/>
      <c r="O14" s="2"/>
    </row>
    <row r="15" spans="1:15" ht="17">
      <c r="A15" s="24"/>
      <c r="B15" s="18">
        <v>2</v>
      </c>
      <c r="C15" s="19"/>
      <c r="D15" s="20">
        <v>0</v>
      </c>
      <c r="E15" s="21">
        <v>1</v>
      </c>
      <c r="F15" s="20">
        <f>D15*E15</f>
        <v>0</v>
      </c>
      <c r="G15" s="21">
        <v>102</v>
      </c>
      <c r="H15" s="20">
        <f>F15*G15</f>
        <v>0</v>
      </c>
      <c r="I15" s="2"/>
      <c r="J15" s="27" t="s">
        <v>30</v>
      </c>
      <c r="K15" s="22">
        <f>H944</f>
        <v>0</v>
      </c>
      <c r="L15" s="23">
        <f t="shared" si="0"/>
        <v>0</v>
      </c>
      <c r="M15" s="2"/>
      <c r="N15" s="2"/>
      <c r="O15" s="2"/>
    </row>
    <row r="16" spans="1:15" ht="17">
      <c r="A16" s="24"/>
      <c r="B16" s="18"/>
      <c r="C16" s="14" t="s">
        <v>31</v>
      </c>
      <c r="D16" s="20"/>
      <c r="E16" s="21"/>
      <c r="F16" s="20"/>
      <c r="G16" s="21"/>
      <c r="H16" s="25">
        <f>SUM(H14:H15)</f>
        <v>0</v>
      </c>
      <c r="I16" s="2"/>
      <c r="J16" s="27" t="s">
        <v>32</v>
      </c>
      <c r="K16" s="22">
        <f>H949</f>
        <v>0</v>
      </c>
      <c r="L16" s="23">
        <f t="shared" si="0"/>
        <v>0</v>
      </c>
      <c r="M16" s="2"/>
      <c r="N16" s="2"/>
      <c r="O16" s="2"/>
    </row>
    <row r="17" spans="1:15" ht="17">
      <c r="A17" s="24"/>
      <c r="B17" s="26"/>
      <c r="C17" s="14"/>
      <c r="D17" s="20"/>
      <c r="E17" s="21"/>
      <c r="F17" s="20"/>
      <c r="G17" s="21"/>
      <c r="H17" s="20"/>
      <c r="I17" s="2"/>
      <c r="J17" s="27" t="s">
        <v>33</v>
      </c>
      <c r="K17" s="22">
        <f>H954</f>
        <v>0</v>
      </c>
      <c r="L17" s="23">
        <f t="shared" si="0"/>
        <v>0</v>
      </c>
      <c r="M17" s="2"/>
      <c r="N17" s="2"/>
      <c r="O17" s="2"/>
    </row>
    <row r="18" spans="1:15" ht="17">
      <c r="A18" s="24"/>
      <c r="B18" s="26"/>
      <c r="C18" s="14" t="s">
        <v>34</v>
      </c>
      <c r="D18" s="20"/>
      <c r="E18" s="21"/>
      <c r="F18" s="20"/>
      <c r="G18" s="21"/>
      <c r="H18" s="20"/>
      <c r="I18" s="2"/>
      <c r="J18" s="27" t="s">
        <v>35</v>
      </c>
      <c r="K18" s="22">
        <f>H959</f>
        <v>0</v>
      </c>
      <c r="L18" s="23">
        <f t="shared" si="0"/>
        <v>0</v>
      </c>
      <c r="M18" s="2"/>
      <c r="N18" s="2"/>
      <c r="O18" s="2"/>
    </row>
    <row r="19" spans="1:15" ht="17">
      <c r="A19" s="24"/>
      <c r="B19" s="18">
        <v>1</v>
      </c>
      <c r="C19" s="19"/>
      <c r="D19" s="20">
        <v>0</v>
      </c>
      <c r="E19" s="21">
        <v>1</v>
      </c>
      <c r="F19" s="20">
        <f>D19*E19</f>
        <v>0</v>
      </c>
      <c r="G19" s="21">
        <v>101</v>
      </c>
      <c r="H19" s="20">
        <f>F19*G19</f>
        <v>0</v>
      </c>
      <c r="I19" s="2"/>
      <c r="J19" s="28" t="s">
        <v>36</v>
      </c>
      <c r="K19" s="74">
        <f>SUM(K4:K18)</f>
        <v>36203442.047692306</v>
      </c>
      <c r="L19" s="75">
        <f>SUM(L4:L18)</f>
        <v>1</v>
      </c>
      <c r="M19" s="2"/>
      <c r="N19" s="2"/>
      <c r="O19" s="2"/>
    </row>
    <row r="20" spans="1:15" ht="17">
      <c r="A20" s="24"/>
      <c r="B20" s="18">
        <v>2</v>
      </c>
      <c r="C20" s="19"/>
      <c r="D20" s="20">
        <v>0</v>
      </c>
      <c r="E20" s="21">
        <v>1</v>
      </c>
      <c r="F20" s="20">
        <f>D20*E20</f>
        <v>0</v>
      </c>
      <c r="G20" s="21">
        <v>102</v>
      </c>
      <c r="H20" s="20">
        <f>F20*G20</f>
        <v>0</v>
      </c>
      <c r="I20" s="2"/>
      <c r="J20" s="17"/>
      <c r="K20" s="17"/>
      <c r="L20" s="17"/>
      <c r="M20" s="2"/>
      <c r="N20" s="2"/>
      <c r="O20" s="2"/>
    </row>
    <row r="21" spans="1:15" ht="17">
      <c r="A21" s="24"/>
      <c r="B21" s="18"/>
      <c r="C21" s="14" t="s">
        <v>37</v>
      </c>
      <c r="D21" s="20"/>
      <c r="E21" s="21"/>
      <c r="F21" s="20"/>
      <c r="G21" s="21"/>
      <c r="H21" s="25">
        <f>SUM(H19:H20)</f>
        <v>0</v>
      </c>
      <c r="I21" s="2"/>
      <c r="J21" s="17" t="s">
        <v>38</v>
      </c>
      <c r="K21" s="88" t="s">
        <v>39</v>
      </c>
      <c r="L21" s="17"/>
      <c r="M21" s="2"/>
      <c r="N21" s="2"/>
      <c r="O21" s="2"/>
    </row>
    <row r="22" spans="1:15" ht="17">
      <c r="A22" s="24"/>
      <c r="B22" s="26"/>
      <c r="C22" s="14"/>
      <c r="D22" s="20"/>
      <c r="E22" s="21"/>
      <c r="F22" s="20"/>
      <c r="G22" s="21"/>
      <c r="H22" s="20"/>
      <c r="I22" s="2"/>
      <c r="J22" s="89" t="s">
        <v>40</v>
      </c>
      <c r="K22" s="92">
        <f>25.5%*6</f>
        <v>1.53</v>
      </c>
      <c r="L22" s="17"/>
      <c r="M22" s="2"/>
      <c r="N22" s="2"/>
      <c r="O22" s="2"/>
    </row>
    <row r="23" spans="1:15" ht="17">
      <c r="A23" s="24"/>
      <c r="B23" s="26"/>
      <c r="C23" s="14" t="s">
        <v>41</v>
      </c>
      <c r="D23" s="20"/>
      <c r="E23" s="21"/>
      <c r="F23" s="20"/>
      <c r="G23" s="21"/>
      <c r="H23" s="20"/>
      <c r="I23" s="2"/>
      <c r="J23" s="89" t="s">
        <v>42</v>
      </c>
      <c r="K23" s="92">
        <f>25.5%*4</f>
        <v>1.02</v>
      </c>
      <c r="L23" s="17"/>
      <c r="M23" s="2"/>
      <c r="N23" s="2"/>
      <c r="O23" s="2"/>
    </row>
    <row r="24" spans="1:15" ht="17">
      <c r="A24" s="24"/>
      <c r="B24" s="18">
        <v>1</v>
      </c>
      <c r="C24" s="19" t="s">
        <v>43</v>
      </c>
      <c r="D24" s="20">
        <v>365</v>
      </c>
      <c r="E24" s="21">
        <v>0.15</v>
      </c>
      <c r="F24" s="20">
        <f>D24*E24</f>
        <v>54.75</v>
      </c>
      <c r="G24" s="21">
        <v>177.69230769230768</v>
      </c>
      <c r="H24" s="20">
        <f>F24*G24</f>
        <v>9728.6538461538457</v>
      </c>
      <c r="I24" s="2"/>
      <c r="J24" s="89" t="s">
        <v>44</v>
      </c>
      <c r="K24" s="92">
        <f>3*39.5%</f>
        <v>1.1850000000000001</v>
      </c>
      <c r="L24" s="17"/>
      <c r="M24" s="2"/>
      <c r="N24" s="2"/>
      <c r="O24" s="2"/>
    </row>
    <row r="25" spans="1:15" ht="17">
      <c r="A25" s="24"/>
      <c r="B25" s="18">
        <v>2</v>
      </c>
      <c r="C25" s="19" t="s">
        <v>45</v>
      </c>
      <c r="D25" s="20">
        <v>2190</v>
      </c>
      <c r="E25" s="21">
        <v>0.68</v>
      </c>
      <c r="F25" s="20">
        <f t="shared" ref="F25:F37" si="1">D25*E25</f>
        <v>1489.2</v>
      </c>
      <c r="G25" s="21">
        <v>77.692307692307693</v>
      </c>
      <c r="H25" s="20">
        <f t="shared" ref="H25:H37" si="2">F25*G25</f>
        <v>115699.38461538462</v>
      </c>
      <c r="I25" s="2"/>
      <c r="J25" s="89" t="s">
        <v>46</v>
      </c>
      <c r="K25" s="92">
        <f>1.5*39.5%</f>
        <v>0.59250000000000003</v>
      </c>
      <c r="L25" s="17"/>
      <c r="M25" s="2"/>
      <c r="N25" s="2"/>
      <c r="O25" s="2"/>
    </row>
    <row r="26" spans="1:15" ht="17">
      <c r="A26" s="24"/>
      <c r="B26" s="18">
        <v>3</v>
      </c>
      <c r="C26" s="19" t="s">
        <v>47</v>
      </c>
      <c r="D26" s="20">
        <v>2190</v>
      </c>
      <c r="E26" s="21">
        <v>0.56999999999999995</v>
      </c>
      <c r="F26" s="20">
        <f t="shared" si="1"/>
        <v>1248.3</v>
      </c>
      <c r="G26" s="21">
        <v>264.61538461538458</v>
      </c>
      <c r="H26" s="20">
        <f t="shared" si="2"/>
        <v>330319.38461538457</v>
      </c>
      <c r="I26" s="2"/>
      <c r="J26" s="89" t="s">
        <v>48</v>
      </c>
      <c r="K26" s="92">
        <f>0.25*35%</f>
        <v>8.7499999999999994E-2</v>
      </c>
      <c r="L26" s="17"/>
      <c r="M26" s="2"/>
      <c r="N26" s="2"/>
      <c r="O26" s="2"/>
    </row>
    <row r="27" spans="1:15" ht="17">
      <c r="A27" s="24"/>
      <c r="B27" s="18">
        <v>4</v>
      </c>
      <c r="C27" s="19" t="s">
        <v>49</v>
      </c>
      <c r="D27" s="20">
        <v>365</v>
      </c>
      <c r="E27" s="21">
        <v>0.04</v>
      </c>
      <c r="F27" s="20">
        <f t="shared" si="1"/>
        <v>14.6</v>
      </c>
      <c r="G27" s="21">
        <v>120</v>
      </c>
      <c r="H27" s="20">
        <f t="shared" si="2"/>
        <v>1752</v>
      </c>
      <c r="I27" s="2"/>
      <c r="J27" s="89" t="s">
        <v>50</v>
      </c>
      <c r="K27" s="92">
        <f>0.5*35%</f>
        <v>0.17499999999999999</v>
      </c>
      <c r="L27" s="17"/>
      <c r="M27" s="2"/>
      <c r="N27" s="2"/>
      <c r="O27" s="2"/>
    </row>
    <row r="28" spans="1:15" ht="17">
      <c r="A28" s="24"/>
      <c r="B28" s="18">
        <v>5</v>
      </c>
      <c r="C28" s="19" t="s">
        <v>51</v>
      </c>
      <c r="D28" s="20">
        <v>1460</v>
      </c>
      <c r="E28" s="21">
        <v>0.28000000000000003</v>
      </c>
      <c r="F28" s="20">
        <f t="shared" si="1"/>
        <v>408.8</v>
      </c>
      <c r="G28" s="21">
        <v>150</v>
      </c>
      <c r="H28" s="20">
        <f t="shared" si="2"/>
        <v>61320</v>
      </c>
      <c r="I28" s="2"/>
      <c r="J28" s="17"/>
      <c r="K28" s="63"/>
      <c r="L28" s="17"/>
      <c r="M28" s="2"/>
      <c r="N28" s="2"/>
      <c r="O28" s="2"/>
    </row>
    <row r="29" spans="1:15" ht="17">
      <c r="A29" s="24"/>
      <c r="B29" s="18">
        <v>6</v>
      </c>
      <c r="C29" s="19" t="s">
        <v>52</v>
      </c>
      <c r="D29" s="20">
        <v>10.95</v>
      </c>
      <c r="E29" s="21">
        <v>0.52</v>
      </c>
      <c r="F29" s="20">
        <f t="shared" si="1"/>
        <v>5.694</v>
      </c>
      <c r="G29" s="21">
        <v>9000</v>
      </c>
      <c r="H29" s="20">
        <f t="shared" si="2"/>
        <v>51246</v>
      </c>
      <c r="I29" s="2"/>
      <c r="J29" s="17"/>
      <c r="K29" s="63"/>
      <c r="L29" s="17"/>
      <c r="M29" s="2"/>
      <c r="N29" s="2"/>
      <c r="O29" s="2"/>
    </row>
    <row r="30" spans="1:15" ht="17">
      <c r="A30" s="24"/>
      <c r="B30" s="18">
        <v>7</v>
      </c>
      <c r="C30" s="19" t="s">
        <v>53</v>
      </c>
      <c r="D30" s="20">
        <v>156</v>
      </c>
      <c r="E30" s="21">
        <v>0.5</v>
      </c>
      <c r="F30" s="20">
        <f t="shared" si="1"/>
        <v>78</v>
      </c>
      <c r="G30" s="21">
        <v>18000</v>
      </c>
      <c r="H30" s="20">
        <f t="shared" si="2"/>
        <v>1404000</v>
      </c>
      <c r="I30" s="2"/>
      <c r="J30" s="17"/>
      <c r="K30" s="17"/>
      <c r="L30" s="17"/>
      <c r="M30" s="2"/>
      <c r="N30" s="2"/>
      <c r="O30" s="2"/>
    </row>
    <row r="31" spans="1:15" ht="17">
      <c r="A31" s="24"/>
      <c r="B31" s="18">
        <v>8</v>
      </c>
      <c r="C31" s="19" t="s">
        <v>54</v>
      </c>
      <c r="D31" s="20">
        <v>22</v>
      </c>
      <c r="E31" s="21">
        <v>0.4</v>
      </c>
      <c r="F31" s="20">
        <f t="shared" si="1"/>
        <v>8.8000000000000007</v>
      </c>
      <c r="G31" s="21">
        <v>3100</v>
      </c>
      <c r="H31" s="20">
        <f t="shared" si="2"/>
        <v>27280.000000000004</v>
      </c>
      <c r="I31" s="2"/>
      <c r="J31" s="17"/>
      <c r="K31" s="17"/>
      <c r="L31" s="17"/>
      <c r="M31" s="2"/>
      <c r="N31" s="2"/>
      <c r="O31" s="2"/>
    </row>
    <row r="32" spans="1:15" ht="17">
      <c r="A32" s="24"/>
      <c r="B32" s="18">
        <v>9</v>
      </c>
      <c r="C32" s="19" t="s">
        <v>55</v>
      </c>
      <c r="D32" s="20">
        <v>1095</v>
      </c>
      <c r="E32" s="21">
        <v>0.2</v>
      </c>
      <c r="F32" s="20">
        <f t="shared" si="1"/>
        <v>219</v>
      </c>
      <c r="G32" s="21">
        <v>850</v>
      </c>
      <c r="H32" s="20">
        <f t="shared" si="2"/>
        <v>186150</v>
      </c>
      <c r="I32" s="2"/>
      <c r="J32" s="17"/>
      <c r="K32" s="17"/>
      <c r="L32" s="17"/>
      <c r="M32" s="2"/>
      <c r="N32" s="2"/>
      <c r="O32" s="2"/>
    </row>
    <row r="33" spans="1:15" ht="17">
      <c r="A33" s="24"/>
      <c r="B33" s="18">
        <v>10</v>
      </c>
      <c r="C33" s="19" t="s">
        <v>56</v>
      </c>
      <c r="D33" s="20">
        <v>365</v>
      </c>
      <c r="E33" s="21">
        <v>7.0000000000000007E-2</v>
      </c>
      <c r="F33" s="20">
        <f t="shared" si="1"/>
        <v>25.55</v>
      </c>
      <c r="G33" s="21">
        <v>30</v>
      </c>
      <c r="H33" s="20">
        <f t="shared" si="2"/>
        <v>766.5</v>
      </c>
      <c r="I33" s="2"/>
      <c r="J33" s="17"/>
      <c r="K33" s="17"/>
      <c r="L33" s="17"/>
      <c r="M33" s="2"/>
      <c r="N33" s="2"/>
      <c r="O33" s="2"/>
    </row>
    <row r="34" spans="1:15" ht="17">
      <c r="A34" s="24"/>
      <c r="B34" s="18">
        <v>11</v>
      </c>
      <c r="C34" s="19" t="s">
        <v>57</v>
      </c>
      <c r="D34" s="20">
        <v>365</v>
      </c>
      <c r="E34" s="21">
        <v>0.8</v>
      </c>
      <c r="F34" s="20">
        <f t="shared" si="1"/>
        <v>292</v>
      </c>
      <c r="G34" s="21">
        <v>160</v>
      </c>
      <c r="H34" s="20">
        <f t="shared" si="2"/>
        <v>46720</v>
      </c>
      <c r="I34" s="2"/>
      <c r="J34" s="17"/>
      <c r="K34" s="17"/>
      <c r="L34" s="17"/>
      <c r="M34" s="2"/>
      <c r="N34" s="2"/>
      <c r="O34" s="2"/>
    </row>
    <row r="35" spans="1:15" ht="17">
      <c r="A35" s="24"/>
      <c r="B35" s="18">
        <v>12</v>
      </c>
      <c r="C35" s="19" t="s">
        <v>58</v>
      </c>
      <c r="D35" s="20">
        <v>365</v>
      </c>
      <c r="E35" s="21">
        <v>0.67</v>
      </c>
      <c r="F35" s="20">
        <f t="shared" si="1"/>
        <v>244.55</v>
      </c>
      <c r="G35" s="21">
        <v>600</v>
      </c>
      <c r="H35" s="20">
        <f t="shared" si="2"/>
        <v>146730</v>
      </c>
      <c r="I35" s="2"/>
      <c r="J35" s="17"/>
      <c r="K35" s="17"/>
      <c r="L35" s="17"/>
      <c r="M35" s="2"/>
      <c r="N35" s="2"/>
      <c r="O35" s="2"/>
    </row>
    <row r="36" spans="1:15" ht="17">
      <c r="A36" s="24"/>
      <c r="B36" s="18">
        <v>13</v>
      </c>
      <c r="C36" s="19"/>
      <c r="D36" s="20">
        <v>0</v>
      </c>
      <c r="E36" s="21">
        <v>1</v>
      </c>
      <c r="F36" s="20">
        <f t="shared" si="1"/>
        <v>0</v>
      </c>
      <c r="G36" s="21">
        <v>113</v>
      </c>
      <c r="H36" s="20">
        <f t="shared" si="2"/>
        <v>0</v>
      </c>
      <c r="I36" s="2"/>
      <c r="J36" s="17"/>
      <c r="K36" s="17"/>
      <c r="L36" s="17"/>
      <c r="M36" s="2"/>
      <c r="N36" s="2"/>
      <c r="O36" s="2"/>
    </row>
    <row r="37" spans="1:15" ht="17">
      <c r="A37" s="24"/>
      <c r="B37" s="18">
        <v>14</v>
      </c>
      <c r="C37" s="19"/>
      <c r="D37" s="20">
        <v>0</v>
      </c>
      <c r="E37" s="21">
        <v>1</v>
      </c>
      <c r="F37" s="20">
        <f t="shared" si="1"/>
        <v>0</v>
      </c>
      <c r="G37" s="21">
        <v>114</v>
      </c>
      <c r="H37" s="20">
        <f t="shared" si="2"/>
        <v>0</v>
      </c>
      <c r="I37" s="2"/>
      <c r="J37" s="17"/>
      <c r="K37" s="17"/>
      <c r="L37" s="17"/>
      <c r="M37" s="2"/>
      <c r="N37" s="2"/>
      <c r="O37" s="2"/>
    </row>
    <row r="38" spans="1:15" ht="17">
      <c r="A38" s="24"/>
      <c r="B38" s="18">
        <v>15</v>
      </c>
      <c r="C38" s="19"/>
      <c r="D38" s="20">
        <v>0</v>
      </c>
      <c r="E38" s="21">
        <v>1</v>
      </c>
      <c r="F38" s="20">
        <f>D38*E38</f>
        <v>0</v>
      </c>
      <c r="G38" s="21">
        <v>102</v>
      </c>
      <c r="H38" s="20">
        <f>F38*G38</f>
        <v>0</v>
      </c>
      <c r="I38" s="2"/>
      <c r="J38" s="17"/>
      <c r="K38" s="17"/>
      <c r="L38" s="17"/>
      <c r="M38" s="2"/>
      <c r="N38" s="2"/>
      <c r="O38" s="2"/>
    </row>
    <row r="39" spans="1:15" ht="17">
      <c r="A39" s="24"/>
      <c r="B39" s="18"/>
      <c r="C39" s="14" t="s">
        <v>59</v>
      </c>
      <c r="D39" s="20"/>
      <c r="E39" s="21"/>
      <c r="F39" s="20"/>
      <c r="G39" s="21"/>
      <c r="H39" s="25">
        <f>SUM(H24:H38)</f>
        <v>2381711.923076923</v>
      </c>
      <c r="I39" s="2"/>
      <c r="J39" s="17"/>
      <c r="K39" s="17"/>
      <c r="L39" s="17"/>
      <c r="M39" s="2"/>
      <c r="N39" s="2"/>
      <c r="O39" s="2"/>
    </row>
    <row r="40" spans="1:15" ht="17">
      <c r="A40" s="24"/>
      <c r="B40" s="26"/>
      <c r="C40" s="14"/>
      <c r="D40" s="20"/>
      <c r="E40" s="21"/>
      <c r="F40" s="20"/>
      <c r="G40" s="21"/>
      <c r="H40" s="20"/>
      <c r="I40" s="2"/>
      <c r="J40" s="17"/>
      <c r="K40" s="17"/>
      <c r="L40" s="17"/>
      <c r="M40" s="2"/>
      <c r="N40" s="2"/>
      <c r="O40" s="2"/>
    </row>
    <row r="41" spans="1:15" ht="17">
      <c r="A41" s="24"/>
      <c r="B41" s="26"/>
      <c r="C41" s="14" t="s">
        <v>60</v>
      </c>
      <c r="D41" s="20"/>
      <c r="E41" s="21"/>
      <c r="F41" s="20"/>
      <c r="G41" s="21"/>
      <c r="H41" s="20"/>
      <c r="I41" s="2"/>
      <c r="J41" s="17"/>
      <c r="K41" s="17"/>
      <c r="L41" s="17"/>
      <c r="M41" s="2"/>
      <c r="N41" s="2"/>
      <c r="O41" s="2"/>
    </row>
    <row r="42" spans="1:15" ht="17">
      <c r="A42" s="24"/>
      <c r="B42" s="18">
        <v>1</v>
      </c>
      <c r="C42" s="19"/>
      <c r="D42" s="20">
        <v>0</v>
      </c>
      <c r="E42" s="21">
        <v>1</v>
      </c>
      <c r="F42" s="20">
        <f>D42*E42</f>
        <v>0</v>
      </c>
      <c r="G42" s="21">
        <v>101</v>
      </c>
      <c r="H42" s="20">
        <f>F42*G42</f>
        <v>0</v>
      </c>
      <c r="I42" s="2"/>
      <c r="J42" s="17"/>
      <c r="K42" s="17"/>
      <c r="L42" s="17"/>
      <c r="M42" s="2"/>
      <c r="N42" s="2"/>
      <c r="O42" s="2"/>
    </row>
    <row r="43" spans="1:15" ht="17">
      <c r="A43" s="24"/>
      <c r="B43" s="18">
        <v>2</v>
      </c>
      <c r="C43" s="19"/>
      <c r="D43" s="20">
        <v>0</v>
      </c>
      <c r="E43" s="21">
        <v>1</v>
      </c>
      <c r="F43" s="20">
        <f>D43*E43</f>
        <v>0</v>
      </c>
      <c r="G43" s="21">
        <v>102</v>
      </c>
      <c r="H43" s="20">
        <f>F43*G43</f>
        <v>0</v>
      </c>
      <c r="I43" s="2"/>
      <c r="J43" s="17"/>
      <c r="K43" s="17"/>
      <c r="L43" s="17"/>
      <c r="M43" s="2"/>
      <c r="N43" s="2"/>
      <c r="O43" s="2"/>
    </row>
    <row r="44" spans="1:15" ht="17">
      <c r="A44" s="24"/>
      <c r="B44" s="18"/>
      <c r="C44" s="14" t="s">
        <v>61</v>
      </c>
      <c r="D44" s="20"/>
      <c r="E44" s="21"/>
      <c r="F44" s="20"/>
      <c r="G44" s="21"/>
      <c r="H44" s="25">
        <f>SUM(H42:H43)</f>
        <v>0</v>
      </c>
      <c r="I44" s="2"/>
      <c r="J44" s="17"/>
      <c r="K44" s="17"/>
      <c r="L44" s="17"/>
      <c r="M44" s="2"/>
      <c r="N44" s="2"/>
      <c r="O44" s="2"/>
    </row>
    <row r="45" spans="1:15" ht="17">
      <c r="A45" s="24"/>
      <c r="B45" s="26"/>
      <c r="C45" s="14"/>
      <c r="D45" s="20"/>
      <c r="E45" s="21"/>
      <c r="F45" s="20"/>
      <c r="G45" s="21"/>
      <c r="H45" s="20"/>
      <c r="I45" s="2"/>
      <c r="J45" s="17"/>
      <c r="K45" s="17"/>
      <c r="L45" s="17"/>
      <c r="M45" s="2"/>
      <c r="N45" s="2"/>
      <c r="O45" s="2"/>
    </row>
    <row r="46" spans="1:15" ht="17">
      <c r="A46" s="24"/>
      <c r="B46" s="26"/>
      <c r="C46" s="14" t="s">
        <v>62</v>
      </c>
      <c r="D46" s="20"/>
      <c r="E46" s="21"/>
      <c r="F46" s="20"/>
      <c r="G46" s="21"/>
      <c r="H46" s="20"/>
      <c r="I46" s="2"/>
      <c r="J46" s="17"/>
      <c r="K46" s="17"/>
      <c r="L46" s="17"/>
      <c r="M46" s="2"/>
      <c r="N46" s="2"/>
      <c r="O46" s="2"/>
    </row>
    <row r="47" spans="1:15" ht="17">
      <c r="A47" s="24"/>
      <c r="B47" s="18">
        <v>1</v>
      </c>
      <c r="C47" s="19" t="s">
        <v>63</v>
      </c>
      <c r="D47" s="20">
        <v>12</v>
      </c>
      <c r="E47" s="21">
        <v>1</v>
      </c>
      <c r="F47" s="20">
        <f>D47*E47</f>
        <v>12</v>
      </c>
      <c r="G47" s="21">
        <v>12507</v>
      </c>
      <c r="H47" s="20">
        <f>F47*G47</f>
        <v>150084</v>
      </c>
      <c r="I47" s="2"/>
      <c r="J47" s="17"/>
      <c r="K47" s="17"/>
      <c r="L47" s="17"/>
      <c r="M47" s="2"/>
      <c r="N47" s="2"/>
      <c r="O47" s="2"/>
    </row>
    <row r="48" spans="1:15" ht="17">
      <c r="A48" s="24"/>
      <c r="B48" s="18">
        <v>2</v>
      </c>
      <c r="C48" s="19" t="s">
        <v>64</v>
      </c>
      <c r="D48" s="20">
        <v>4</v>
      </c>
      <c r="E48" s="21">
        <v>1</v>
      </c>
      <c r="F48" s="20">
        <f t="shared" ref="F48:F59" si="3">D48*E48</f>
        <v>4</v>
      </c>
      <c r="G48" s="21">
        <v>12507</v>
      </c>
      <c r="H48" s="20">
        <f t="shared" ref="H48:H59" si="4">F48*G48</f>
        <v>50028</v>
      </c>
      <c r="I48" s="2"/>
      <c r="J48" s="17"/>
      <c r="K48" s="17"/>
      <c r="L48" s="17"/>
      <c r="M48" s="2"/>
      <c r="N48" s="2"/>
      <c r="O48" s="2"/>
    </row>
    <row r="49" spans="1:15" ht="17">
      <c r="A49" s="24"/>
      <c r="B49" s="18">
        <v>3</v>
      </c>
      <c r="C49" s="19" t="s">
        <v>65</v>
      </c>
      <c r="D49" s="20">
        <v>12</v>
      </c>
      <c r="E49" s="21">
        <v>1</v>
      </c>
      <c r="F49" s="20">
        <f t="shared" si="3"/>
        <v>12</v>
      </c>
      <c r="G49" s="21">
        <v>12507</v>
      </c>
      <c r="H49" s="20">
        <f t="shared" si="4"/>
        <v>150084</v>
      </c>
      <c r="I49" s="2"/>
      <c r="J49" s="17"/>
      <c r="K49" s="17"/>
      <c r="L49" s="17"/>
      <c r="M49" s="2"/>
      <c r="N49" s="2"/>
      <c r="O49" s="2"/>
    </row>
    <row r="50" spans="1:15" ht="17">
      <c r="A50" s="24"/>
      <c r="B50" s="18">
        <v>4</v>
      </c>
      <c r="C50" s="19" t="s">
        <v>66</v>
      </c>
      <c r="D50" s="20">
        <v>4</v>
      </c>
      <c r="E50" s="21">
        <v>1</v>
      </c>
      <c r="F50" s="20">
        <f t="shared" si="3"/>
        <v>4</v>
      </c>
      <c r="G50" s="21">
        <v>12507</v>
      </c>
      <c r="H50" s="20">
        <f t="shared" si="4"/>
        <v>50028</v>
      </c>
      <c r="I50" s="2"/>
      <c r="J50" s="17"/>
      <c r="K50" s="17"/>
      <c r="L50" s="17"/>
      <c r="M50" s="2"/>
      <c r="N50" s="2"/>
      <c r="O50" s="2"/>
    </row>
    <row r="51" spans="1:15" ht="17">
      <c r="A51" s="24"/>
      <c r="B51" s="18">
        <v>5</v>
      </c>
      <c r="C51" s="19" t="s">
        <v>67</v>
      </c>
      <c r="D51" s="20">
        <v>4</v>
      </c>
      <c r="E51" s="21">
        <v>1</v>
      </c>
      <c r="F51" s="20">
        <f t="shared" si="3"/>
        <v>4</v>
      </c>
      <c r="G51" s="21">
        <v>12507</v>
      </c>
      <c r="H51" s="20">
        <f t="shared" si="4"/>
        <v>50028</v>
      </c>
      <c r="I51" s="2"/>
      <c r="J51" s="17"/>
      <c r="K51" s="17"/>
      <c r="L51" s="17"/>
      <c r="M51" s="2"/>
      <c r="N51" s="2"/>
      <c r="O51" s="2"/>
    </row>
    <row r="52" spans="1:15" ht="17">
      <c r="A52" s="24"/>
      <c r="B52" s="18">
        <v>6</v>
      </c>
      <c r="C52" s="19" t="s">
        <v>68</v>
      </c>
      <c r="D52" s="20">
        <v>4</v>
      </c>
      <c r="E52" s="21">
        <v>1</v>
      </c>
      <c r="F52" s="20">
        <f t="shared" si="3"/>
        <v>4</v>
      </c>
      <c r="G52" s="21">
        <v>12507</v>
      </c>
      <c r="H52" s="20">
        <f t="shared" si="4"/>
        <v>50028</v>
      </c>
      <c r="I52" s="2"/>
      <c r="J52" s="17"/>
      <c r="K52" s="17"/>
      <c r="L52" s="17"/>
      <c r="M52" s="2"/>
      <c r="N52" s="2"/>
      <c r="O52" s="2"/>
    </row>
    <row r="53" spans="1:15" ht="17">
      <c r="A53" s="24"/>
      <c r="B53" s="18">
        <v>7</v>
      </c>
      <c r="C53" s="19" t="s">
        <v>69</v>
      </c>
      <c r="D53" s="20">
        <v>4</v>
      </c>
      <c r="E53" s="21">
        <v>1</v>
      </c>
      <c r="F53" s="20">
        <f t="shared" si="3"/>
        <v>4</v>
      </c>
      <c r="G53" s="21">
        <v>12507</v>
      </c>
      <c r="H53" s="20">
        <f t="shared" si="4"/>
        <v>50028</v>
      </c>
      <c r="I53" s="2"/>
      <c r="J53" s="17"/>
      <c r="K53" s="17"/>
      <c r="L53" s="17"/>
      <c r="M53" s="2"/>
      <c r="N53" s="2"/>
      <c r="O53" s="2"/>
    </row>
    <row r="54" spans="1:15" ht="17">
      <c r="A54" s="24"/>
      <c r="B54" s="18">
        <v>8</v>
      </c>
      <c r="C54" s="19" t="s">
        <v>70</v>
      </c>
      <c r="D54" s="20">
        <v>4</v>
      </c>
      <c r="E54" s="21">
        <v>1</v>
      </c>
      <c r="F54" s="20">
        <f t="shared" si="3"/>
        <v>4</v>
      </c>
      <c r="G54" s="21">
        <v>12507</v>
      </c>
      <c r="H54" s="20">
        <f t="shared" si="4"/>
        <v>50028</v>
      </c>
      <c r="I54" s="2"/>
      <c r="J54" s="17"/>
      <c r="K54" s="17"/>
      <c r="L54" s="17"/>
      <c r="M54" s="2"/>
      <c r="N54" s="2"/>
      <c r="O54" s="2"/>
    </row>
    <row r="55" spans="1:15" ht="17">
      <c r="A55" s="24"/>
      <c r="B55" s="18">
        <v>9</v>
      </c>
      <c r="C55" s="19" t="s">
        <v>71</v>
      </c>
      <c r="D55" s="20">
        <v>2</v>
      </c>
      <c r="E55" s="21">
        <v>1</v>
      </c>
      <c r="F55" s="20">
        <f t="shared" si="3"/>
        <v>2</v>
      </c>
      <c r="G55" s="21">
        <v>22076</v>
      </c>
      <c r="H55" s="20">
        <f t="shared" si="4"/>
        <v>44152</v>
      </c>
      <c r="I55" s="2"/>
      <c r="J55" s="17"/>
      <c r="K55" s="17"/>
      <c r="L55" s="17"/>
      <c r="M55" s="2"/>
      <c r="N55" s="2"/>
      <c r="O55" s="2"/>
    </row>
    <row r="56" spans="1:15" ht="17">
      <c r="A56" s="24"/>
      <c r="B56" s="18">
        <v>10</v>
      </c>
      <c r="C56" s="19" t="s">
        <v>72</v>
      </c>
      <c r="D56" s="20">
        <v>2</v>
      </c>
      <c r="E56" s="21">
        <v>1</v>
      </c>
      <c r="F56" s="20">
        <f t="shared" si="3"/>
        <v>2</v>
      </c>
      <c r="G56" s="21">
        <v>22076</v>
      </c>
      <c r="H56" s="20">
        <f t="shared" si="4"/>
        <v>44152</v>
      </c>
      <c r="I56" s="2"/>
      <c r="J56" s="17"/>
      <c r="K56" s="17"/>
      <c r="L56" s="17"/>
      <c r="M56" s="2"/>
      <c r="N56" s="2"/>
      <c r="O56" s="2"/>
    </row>
    <row r="57" spans="1:15" ht="17">
      <c r="A57" s="24"/>
      <c r="B57" s="18">
        <v>11</v>
      </c>
      <c r="C57" s="19" t="s">
        <v>73</v>
      </c>
      <c r="D57" s="20">
        <v>2</v>
      </c>
      <c r="E57" s="21">
        <v>1</v>
      </c>
      <c r="F57" s="20">
        <f t="shared" si="3"/>
        <v>2</v>
      </c>
      <c r="G57" s="21">
        <v>12507</v>
      </c>
      <c r="H57" s="20">
        <f t="shared" si="4"/>
        <v>25014</v>
      </c>
      <c r="I57" s="2"/>
      <c r="J57" s="17"/>
      <c r="K57" s="17"/>
      <c r="L57" s="17"/>
      <c r="M57" s="2"/>
      <c r="N57" s="2"/>
      <c r="O57" s="2"/>
    </row>
    <row r="58" spans="1:15" ht="17">
      <c r="A58" s="24"/>
      <c r="B58" s="18">
        <v>12</v>
      </c>
      <c r="C58" s="19"/>
      <c r="D58" s="20">
        <v>0</v>
      </c>
      <c r="E58" s="21">
        <v>1</v>
      </c>
      <c r="F58" s="20">
        <f t="shared" si="3"/>
        <v>0</v>
      </c>
      <c r="G58" s="21">
        <v>112</v>
      </c>
      <c r="H58" s="20">
        <f t="shared" si="4"/>
        <v>0</v>
      </c>
      <c r="I58" s="2"/>
      <c r="J58" s="17"/>
      <c r="K58" s="17"/>
      <c r="L58" s="17"/>
      <c r="M58" s="2"/>
      <c r="N58" s="2"/>
      <c r="O58" s="2"/>
    </row>
    <row r="59" spans="1:15" ht="17">
      <c r="A59" s="24"/>
      <c r="B59" s="18">
        <v>13</v>
      </c>
      <c r="C59" s="19"/>
      <c r="D59" s="20">
        <v>0</v>
      </c>
      <c r="E59" s="21">
        <v>1</v>
      </c>
      <c r="F59" s="20">
        <f t="shared" si="3"/>
        <v>0</v>
      </c>
      <c r="G59" s="21">
        <v>113</v>
      </c>
      <c r="H59" s="20">
        <f t="shared" si="4"/>
        <v>0</v>
      </c>
      <c r="I59" s="2"/>
      <c r="J59" s="17"/>
      <c r="K59" s="17"/>
      <c r="L59" s="17"/>
      <c r="M59" s="2"/>
      <c r="N59" s="2"/>
      <c r="O59" s="2"/>
    </row>
    <row r="60" spans="1:15" ht="17">
      <c r="A60" s="24"/>
      <c r="B60" s="18">
        <v>14</v>
      </c>
      <c r="C60" s="19"/>
      <c r="D60" s="20">
        <v>0</v>
      </c>
      <c r="E60" s="21">
        <v>1</v>
      </c>
      <c r="F60" s="20">
        <f>D60*E60</f>
        <v>0</v>
      </c>
      <c r="G60" s="21">
        <v>102</v>
      </c>
      <c r="H60" s="20">
        <f>F60*G60</f>
        <v>0</v>
      </c>
      <c r="I60" s="2"/>
      <c r="J60" s="17"/>
      <c r="K60" s="17"/>
      <c r="L60" s="17"/>
      <c r="M60" s="2"/>
      <c r="N60" s="2"/>
      <c r="O60" s="2"/>
    </row>
    <row r="61" spans="1:15" ht="17">
      <c r="A61" s="24"/>
      <c r="B61" s="18"/>
      <c r="C61" s="14" t="s">
        <v>74</v>
      </c>
      <c r="D61" s="20"/>
      <c r="E61" s="21"/>
      <c r="F61" s="20"/>
      <c r="G61" s="21"/>
      <c r="H61" s="25">
        <f>SUM(H47:H60)</f>
        <v>713654</v>
      </c>
      <c r="I61" s="2"/>
      <c r="J61" s="17"/>
      <c r="K61" s="17"/>
      <c r="L61" s="17"/>
      <c r="M61" s="2"/>
      <c r="N61" s="2"/>
      <c r="O61" s="2"/>
    </row>
    <row r="62" spans="1:15" ht="17">
      <c r="A62" s="24"/>
      <c r="B62" s="18"/>
      <c r="C62" s="14"/>
      <c r="D62" s="20"/>
      <c r="E62" s="21"/>
      <c r="F62" s="20"/>
      <c r="G62" s="21"/>
      <c r="H62" s="25"/>
      <c r="I62" s="2"/>
      <c r="J62" s="17"/>
      <c r="K62" s="17"/>
      <c r="L62" s="17"/>
      <c r="M62" s="2"/>
      <c r="N62" s="2"/>
      <c r="O62" s="2"/>
    </row>
    <row r="63" spans="1:15" ht="17">
      <c r="A63" s="24"/>
      <c r="B63" s="26"/>
      <c r="C63" s="14" t="s">
        <v>75</v>
      </c>
      <c r="D63" s="20"/>
      <c r="E63" s="21"/>
      <c r="F63" s="20"/>
      <c r="G63" s="21"/>
      <c r="H63" s="20"/>
      <c r="I63" s="2"/>
      <c r="J63" s="17"/>
      <c r="K63" s="17"/>
      <c r="L63" s="17"/>
      <c r="M63" s="2"/>
      <c r="N63" s="2"/>
      <c r="O63" s="2"/>
    </row>
    <row r="64" spans="1:15" ht="17">
      <c r="A64" s="24"/>
      <c r="B64" s="18">
        <v>1</v>
      </c>
      <c r="C64" s="19" t="s">
        <v>76</v>
      </c>
      <c r="D64" s="20">
        <v>24</v>
      </c>
      <c r="E64" s="21">
        <v>1</v>
      </c>
      <c r="F64" s="20">
        <f>D64*E64</f>
        <v>24</v>
      </c>
      <c r="G64" s="21">
        <v>23079</v>
      </c>
      <c r="H64" s="20">
        <f>F64*G64</f>
        <v>553896</v>
      </c>
      <c r="I64" s="2"/>
      <c r="J64" s="17"/>
      <c r="K64" s="17"/>
      <c r="L64" s="17"/>
      <c r="M64" s="2"/>
      <c r="N64" s="2"/>
      <c r="O64" s="2"/>
    </row>
    <row r="65" spans="1:15" ht="17">
      <c r="A65" s="24"/>
      <c r="B65" s="18">
        <v>2</v>
      </c>
      <c r="C65" s="19" t="s">
        <v>77</v>
      </c>
      <c r="D65" s="20">
        <v>1</v>
      </c>
      <c r="E65" s="21">
        <v>1</v>
      </c>
      <c r="F65" s="20">
        <f t="shared" ref="F65:F69" si="5">D65*E65</f>
        <v>1</v>
      </c>
      <c r="G65" s="21">
        <v>23079</v>
      </c>
      <c r="H65" s="20">
        <f t="shared" ref="H65:H69" si="6">F65*G65</f>
        <v>23079</v>
      </c>
      <c r="I65" s="2"/>
      <c r="J65" s="17"/>
      <c r="K65" s="17"/>
      <c r="L65" s="17"/>
      <c r="M65" s="2"/>
      <c r="N65" s="2"/>
      <c r="O65" s="2"/>
    </row>
    <row r="66" spans="1:15" ht="17">
      <c r="A66" s="24"/>
      <c r="B66" s="18">
        <v>3</v>
      </c>
      <c r="C66" s="19" t="s">
        <v>78</v>
      </c>
      <c r="D66" s="20">
        <f>52*3*0.87+52*2*0.13</f>
        <v>149.24</v>
      </c>
      <c r="E66" s="21">
        <v>1</v>
      </c>
      <c r="F66" s="20">
        <f t="shared" si="5"/>
        <v>149.24</v>
      </c>
      <c r="G66" s="21">
        <v>180000</v>
      </c>
      <c r="H66" s="20">
        <f t="shared" si="6"/>
        <v>26863200</v>
      </c>
      <c r="I66" s="2"/>
      <c r="J66" s="17"/>
      <c r="K66" s="17"/>
      <c r="L66" s="17"/>
      <c r="M66" s="2"/>
      <c r="N66" s="2"/>
      <c r="O66" s="2"/>
    </row>
    <row r="67" spans="1:15" ht="17">
      <c r="A67" s="24"/>
      <c r="B67" s="18">
        <v>4</v>
      </c>
      <c r="C67" s="19"/>
      <c r="D67" s="20"/>
      <c r="E67" s="21">
        <v>1</v>
      </c>
      <c r="F67" s="20">
        <f t="shared" si="5"/>
        <v>0</v>
      </c>
      <c r="G67" s="21">
        <v>104</v>
      </c>
      <c r="H67" s="20">
        <f t="shared" si="6"/>
        <v>0</v>
      </c>
      <c r="I67" s="2"/>
      <c r="J67" s="17"/>
      <c r="K67" s="17"/>
      <c r="L67" s="17"/>
      <c r="M67" s="2"/>
      <c r="N67" s="2"/>
      <c r="O67" s="2"/>
    </row>
    <row r="68" spans="1:15" ht="17">
      <c r="A68" s="24"/>
      <c r="B68" s="18">
        <v>5</v>
      </c>
      <c r="C68" s="19"/>
      <c r="D68" s="20"/>
      <c r="E68" s="21">
        <v>1</v>
      </c>
      <c r="F68" s="20">
        <f t="shared" si="5"/>
        <v>0</v>
      </c>
      <c r="G68" s="21">
        <v>105</v>
      </c>
      <c r="H68" s="20">
        <f t="shared" si="6"/>
        <v>0</v>
      </c>
      <c r="I68" s="2"/>
      <c r="J68" s="17"/>
      <c r="K68" s="17"/>
      <c r="L68" s="17"/>
      <c r="M68" s="2"/>
      <c r="N68" s="2"/>
      <c r="O68" s="2"/>
    </row>
    <row r="69" spans="1:15" ht="17">
      <c r="A69" s="24"/>
      <c r="B69" s="18">
        <v>6</v>
      </c>
      <c r="C69" s="19"/>
      <c r="D69" s="20">
        <v>0</v>
      </c>
      <c r="E69" s="21">
        <v>1</v>
      </c>
      <c r="F69" s="20">
        <f t="shared" si="5"/>
        <v>0</v>
      </c>
      <c r="G69" s="21">
        <v>106</v>
      </c>
      <c r="H69" s="20">
        <f t="shared" si="6"/>
        <v>0</v>
      </c>
      <c r="I69" s="2"/>
      <c r="J69" s="17"/>
      <c r="K69" s="17"/>
      <c r="L69" s="17"/>
      <c r="M69" s="2"/>
      <c r="N69" s="2"/>
      <c r="O69" s="2"/>
    </row>
    <row r="70" spans="1:15" ht="17">
      <c r="A70" s="24"/>
      <c r="B70" s="18"/>
      <c r="C70" s="14" t="s">
        <v>79</v>
      </c>
      <c r="D70" s="20"/>
      <c r="E70" s="21"/>
      <c r="F70" s="20"/>
      <c r="G70" s="21"/>
      <c r="H70" s="25">
        <f>SUM(H64:H69)</f>
        <v>27440175</v>
      </c>
      <c r="I70" s="2"/>
      <c r="J70" s="17"/>
      <c r="K70" s="17"/>
      <c r="L70" s="17"/>
      <c r="M70" s="2"/>
      <c r="N70" s="2"/>
      <c r="O70" s="2"/>
    </row>
    <row r="71" spans="1:15" ht="17">
      <c r="A71" s="24"/>
      <c r="B71" s="18"/>
      <c r="C71" s="14"/>
      <c r="D71" s="20"/>
      <c r="E71" s="21"/>
      <c r="F71" s="20"/>
      <c r="G71" s="21"/>
      <c r="H71" s="25"/>
      <c r="I71" s="2"/>
      <c r="J71" s="17"/>
      <c r="K71" s="17"/>
      <c r="L71" s="17"/>
      <c r="M71" s="2"/>
      <c r="N71" s="2"/>
      <c r="O71" s="2"/>
    </row>
    <row r="72" spans="1:15" ht="17">
      <c r="A72" s="24"/>
      <c r="B72" s="18"/>
      <c r="C72" s="14" t="s">
        <v>80</v>
      </c>
      <c r="D72" s="20"/>
      <c r="E72" s="21"/>
      <c r="F72" s="20"/>
      <c r="G72" s="21"/>
      <c r="H72" s="25">
        <f>H6+H11+H16+H21+H39+H44+H61+H70</f>
        <v>30535540.923076924</v>
      </c>
      <c r="I72" s="2"/>
      <c r="J72" s="17"/>
      <c r="K72" s="17"/>
      <c r="L72" s="17"/>
      <c r="M72" s="2"/>
      <c r="N72" s="2"/>
      <c r="O72" s="2"/>
    </row>
    <row r="73" spans="1:15" ht="17">
      <c r="A73" s="24"/>
      <c r="B73" s="26"/>
      <c r="C73" s="14"/>
      <c r="D73" s="20"/>
      <c r="E73" s="21"/>
      <c r="F73" s="20"/>
      <c r="G73" s="21"/>
      <c r="H73" s="20"/>
      <c r="I73" s="2"/>
      <c r="J73" s="17"/>
      <c r="K73" s="17"/>
      <c r="L73" s="17"/>
      <c r="M73" s="2"/>
      <c r="N73" s="2"/>
      <c r="O73" s="2"/>
    </row>
    <row r="74" spans="1:15" ht="39">
      <c r="A74" s="29"/>
      <c r="B74" s="13" t="s">
        <v>81</v>
      </c>
      <c r="C74" s="14" t="s">
        <v>82</v>
      </c>
      <c r="D74" s="20"/>
      <c r="E74" s="21"/>
      <c r="F74" s="20"/>
      <c r="G74" s="21"/>
      <c r="H74" s="20"/>
      <c r="I74" s="2"/>
      <c r="J74" s="17"/>
      <c r="K74" s="17"/>
      <c r="L74" s="17"/>
      <c r="M74" s="2"/>
      <c r="N74" s="2"/>
      <c r="O74" s="2"/>
    </row>
    <row r="75" spans="1:15" ht="17">
      <c r="A75" s="29"/>
      <c r="B75" s="18">
        <v>1</v>
      </c>
      <c r="C75" s="19"/>
      <c r="D75" s="20">
        <v>0</v>
      </c>
      <c r="E75" s="21">
        <v>1</v>
      </c>
      <c r="F75" s="20">
        <f>D75*E75</f>
        <v>0</v>
      </c>
      <c r="G75" s="21">
        <v>101</v>
      </c>
      <c r="H75" s="20">
        <f>F75*G75</f>
        <v>0</v>
      </c>
      <c r="I75" s="2"/>
      <c r="J75" s="17"/>
      <c r="K75" s="17"/>
      <c r="L75" s="17"/>
      <c r="M75" s="2"/>
      <c r="N75" s="2"/>
      <c r="O75" s="2"/>
    </row>
    <row r="76" spans="1:15" ht="17">
      <c r="A76" s="29"/>
      <c r="B76" s="18">
        <v>2</v>
      </c>
      <c r="C76" s="19"/>
      <c r="D76" s="20">
        <v>0</v>
      </c>
      <c r="E76" s="21">
        <v>1</v>
      </c>
      <c r="F76" s="20">
        <f>D76*E76</f>
        <v>0</v>
      </c>
      <c r="G76" s="21">
        <v>102</v>
      </c>
      <c r="H76" s="20">
        <f>F76*G76</f>
        <v>0</v>
      </c>
      <c r="I76" s="2"/>
      <c r="J76" s="17"/>
      <c r="K76" s="17"/>
      <c r="L76" s="17"/>
      <c r="M76" s="2"/>
      <c r="N76" s="2"/>
      <c r="O76" s="2"/>
    </row>
    <row r="77" spans="1:15" ht="17">
      <c r="A77" s="29"/>
      <c r="B77" s="18"/>
      <c r="C77" s="14" t="s">
        <v>83</v>
      </c>
      <c r="D77" s="20"/>
      <c r="E77" s="21"/>
      <c r="F77" s="20"/>
      <c r="G77" s="21"/>
      <c r="H77" s="25">
        <f>SUM(H75:H76)</f>
        <v>0</v>
      </c>
      <c r="I77" s="2"/>
      <c r="J77" s="17"/>
      <c r="K77" s="17"/>
      <c r="L77" s="17"/>
      <c r="M77" s="2"/>
      <c r="N77" s="2"/>
      <c r="O77" s="2"/>
    </row>
    <row r="78" spans="1:15" ht="17">
      <c r="A78" s="29"/>
      <c r="B78" s="18"/>
      <c r="C78" s="14"/>
      <c r="D78" s="20"/>
      <c r="E78" s="21"/>
      <c r="F78" s="20"/>
      <c r="G78" s="21"/>
      <c r="H78" s="20"/>
      <c r="I78" s="2"/>
      <c r="J78" s="17"/>
      <c r="K78" s="17"/>
      <c r="L78" s="17"/>
      <c r="M78" s="2"/>
      <c r="N78" s="2"/>
      <c r="O78" s="2"/>
    </row>
    <row r="79" spans="1:15" ht="17">
      <c r="A79" s="29"/>
      <c r="B79" s="26"/>
      <c r="C79" s="14" t="s">
        <v>84</v>
      </c>
      <c r="D79" s="20"/>
      <c r="E79" s="21"/>
      <c r="F79" s="20"/>
      <c r="G79" s="21"/>
      <c r="H79" s="20"/>
      <c r="I79" s="2"/>
      <c r="J79" s="17"/>
      <c r="K79" s="17"/>
      <c r="L79" s="17"/>
      <c r="M79" s="2"/>
      <c r="N79" s="2"/>
      <c r="O79" s="2"/>
    </row>
    <row r="80" spans="1:15" ht="17">
      <c r="A80" s="29"/>
      <c r="B80" s="18">
        <v>1</v>
      </c>
      <c r="C80" s="19"/>
      <c r="D80" s="20">
        <v>0</v>
      </c>
      <c r="E80" s="21">
        <v>1</v>
      </c>
      <c r="F80" s="20">
        <f>D80*E80</f>
        <v>0</v>
      </c>
      <c r="G80" s="21">
        <v>101</v>
      </c>
      <c r="H80" s="20">
        <f>F80*G80</f>
        <v>0</v>
      </c>
      <c r="I80" s="2"/>
      <c r="J80" s="17"/>
      <c r="K80" s="17"/>
      <c r="L80" s="17"/>
      <c r="M80" s="2"/>
      <c r="N80" s="2"/>
      <c r="O80" s="2"/>
    </row>
    <row r="81" spans="1:15" ht="17">
      <c r="A81" s="29"/>
      <c r="B81" s="18">
        <v>2</v>
      </c>
      <c r="C81" s="19"/>
      <c r="D81" s="20">
        <v>0</v>
      </c>
      <c r="E81" s="21">
        <v>1</v>
      </c>
      <c r="F81" s="20">
        <f>D81*E81</f>
        <v>0</v>
      </c>
      <c r="G81" s="21">
        <v>102</v>
      </c>
      <c r="H81" s="20">
        <f>F81*G81</f>
        <v>0</v>
      </c>
      <c r="I81" s="2"/>
      <c r="J81" s="17"/>
      <c r="K81" s="17"/>
      <c r="L81" s="17"/>
      <c r="M81" s="2"/>
      <c r="N81" s="2"/>
      <c r="O81" s="2"/>
    </row>
    <row r="82" spans="1:15" ht="17">
      <c r="A82" s="29"/>
      <c r="B82" s="18"/>
      <c r="C82" s="14" t="s">
        <v>85</v>
      </c>
      <c r="D82" s="20"/>
      <c r="E82" s="21"/>
      <c r="F82" s="20"/>
      <c r="G82" s="21"/>
      <c r="H82" s="25">
        <f>SUM(H80:H81)</f>
        <v>0</v>
      </c>
      <c r="I82" s="2"/>
      <c r="J82" s="17"/>
      <c r="K82" s="17"/>
      <c r="L82" s="17"/>
      <c r="M82" s="2"/>
      <c r="N82" s="2"/>
      <c r="O82" s="2"/>
    </row>
    <row r="83" spans="1:15" ht="17">
      <c r="A83" s="29"/>
      <c r="B83" s="18"/>
      <c r="C83" s="14"/>
      <c r="D83" s="20"/>
      <c r="E83" s="21"/>
      <c r="F83" s="20"/>
      <c r="G83" s="21"/>
      <c r="H83" s="20"/>
      <c r="I83" s="2"/>
      <c r="J83" s="17"/>
      <c r="K83" s="17"/>
      <c r="L83" s="17"/>
      <c r="M83" s="2"/>
      <c r="N83" s="2"/>
      <c r="O83" s="2"/>
    </row>
    <row r="84" spans="1:15" ht="17">
      <c r="A84" s="29"/>
      <c r="B84" s="26"/>
      <c r="C84" s="14" t="s">
        <v>86</v>
      </c>
      <c r="D84" s="20"/>
      <c r="E84" s="21"/>
      <c r="F84" s="20"/>
      <c r="G84" s="21"/>
      <c r="H84" s="20"/>
      <c r="I84" s="2"/>
      <c r="J84" s="17"/>
      <c r="K84" s="17"/>
      <c r="L84" s="17"/>
      <c r="M84" s="2"/>
      <c r="N84" s="2"/>
      <c r="O84" s="2"/>
    </row>
    <row r="85" spans="1:15" ht="17">
      <c r="A85" s="29"/>
      <c r="B85" s="18">
        <v>1</v>
      </c>
      <c r="C85" s="19"/>
      <c r="D85" s="20">
        <v>0</v>
      </c>
      <c r="E85" s="21">
        <v>1</v>
      </c>
      <c r="F85" s="20">
        <f>D85*E85</f>
        <v>0</v>
      </c>
      <c r="G85" s="21">
        <v>101</v>
      </c>
      <c r="H85" s="20">
        <f>F85*G85</f>
        <v>0</v>
      </c>
      <c r="I85" s="2"/>
      <c r="J85" s="17"/>
      <c r="K85" s="17"/>
      <c r="L85" s="17"/>
      <c r="M85" s="2"/>
      <c r="N85" s="2"/>
      <c r="O85" s="2"/>
    </row>
    <row r="86" spans="1:15" ht="17">
      <c r="A86" s="29"/>
      <c r="B86" s="18">
        <v>2</v>
      </c>
      <c r="C86" s="19"/>
      <c r="D86" s="20">
        <v>0</v>
      </c>
      <c r="E86" s="21">
        <v>1</v>
      </c>
      <c r="F86" s="20">
        <f>D86*E86</f>
        <v>0</v>
      </c>
      <c r="G86" s="21">
        <v>102</v>
      </c>
      <c r="H86" s="20">
        <f>F86*G86</f>
        <v>0</v>
      </c>
      <c r="I86" s="2"/>
      <c r="J86" s="17"/>
      <c r="K86" s="17"/>
      <c r="L86" s="17"/>
      <c r="M86" s="2"/>
      <c r="N86" s="2"/>
      <c r="O86" s="2"/>
    </row>
    <row r="87" spans="1:15" ht="17">
      <c r="A87" s="29"/>
      <c r="B87" s="18"/>
      <c r="C87" s="14" t="s">
        <v>87</v>
      </c>
      <c r="D87" s="20"/>
      <c r="E87" s="21"/>
      <c r="F87" s="20"/>
      <c r="G87" s="21"/>
      <c r="H87" s="25">
        <f>SUM(H85:H86)</f>
        <v>0</v>
      </c>
      <c r="I87" s="2"/>
      <c r="J87" s="17"/>
      <c r="K87" s="17"/>
      <c r="L87" s="17"/>
      <c r="M87" s="2"/>
      <c r="N87" s="2"/>
      <c r="O87" s="2"/>
    </row>
    <row r="88" spans="1:15" ht="17">
      <c r="A88" s="29"/>
      <c r="B88" s="26"/>
      <c r="C88" s="14"/>
      <c r="D88" s="20"/>
      <c r="E88" s="21"/>
      <c r="F88" s="20"/>
      <c r="G88" s="21"/>
      <c r="H88" s="20"/>
      <c r="I88" s="2"/>
      <c r="J88" s="17"/>
      <c r="K88" s="17"/>
      <c r="L88" s="17"/>
      <c r="M88" s="2"/>
      <c r="N88" s="2"/>
      <c r="O88" s="2"/>
    </row>
    <row r="89" spans="1:15" ht="17">
      <c r="A89" s="29"/>
      <c r="B89" s="26"/>
      <c r="C89" s="14" t="s">
        <v>88</v>
      </c>
      <c r="D89" s="20"/>
      <c r="E89" s="21"/>
      <c r="F89" s="20"/>
      <c r="G89" s="21"/>
      <c r="H89" s="20"/>
      <c r="I89" s="2"/>
      <c r="J89" s="17"/>
      <c r="K89" s="17"/>
      <c r="L89" s="17"/>
      <c r="M89" s="2"/>
      <c r="N89" s="2"/>
      <c r="O89" s="2"/>
    </row>
    <row r="90" spans="1:15" ht="17">
      <c r="A90" s="29"/>
      <c r="B90" s="18">
        <v>1</v>
      </c>
      <c r="C90" s="19" t="s">
        <v>89</v>
      </c>
      <c r="D90" s="20">
        <v>0</v>
      </c>
      <c r="E90" s="21">
        <v>1</v>
      </c>
      <c r="F90" s="20">
        <f>D90*E90</f>
        <v>0</v>
      </c>
      <c r="G90" s="21">
        <v>12000</v>
      </c>
      <c r="H90" s="20">
        <f>F90*G90</f>
        <v>0</v>
      </c>
      <c r="I90" s="2"/>
      <c r="J90" s="17"/>
      <c r="K90" s="17"/>
      <c r="L90" s="17"/>
      <c r="M90" s="2"/>
      <c r="N90" s="2"/>
      <c r="O90" s="2"/>
    </row>
    <row r="91" spans="1:15" ht="17">
      <c r="A91" s="29"/>
      <c r="B91" s="18">
        <v>2</v>
      </c>
      <c r="C91" s="19"/>
      <c r="D91" s="20">
        <v>0</v>
      </c>
      <c r="E91" s="21">
        <v>1</v>
      </c>
      <c r="F91" s="20">
        <f>D91*E91</f>
        <v>0</v>
      </c>
      <c r="G91" s="21">
        <v>102</v>
      </c>
      <c r="H91" s="20">
        <f>F91*G91</f>
        <v>0</v>
      </c>
      <c r="I91" s="2"/>
      <c r="J91" s="17"/>
      <c r="K91" s="17"/>
      <c r="L91" s="17"/>
      <c r="M91" s="2"/>
      <c r="N91" s="2"/>
      <c r="O91" s="2"/>
    </row>
    <row r="92" spans="1:15" ht="17">
      <c r="A92" s="29"/>
      <c r="B92" s="18"/>
      <c r="C92" s="14" t="s">
        <v>90</v>
      </c>
      <c r="D92" s="20"/>
      <c r="E92" s="21"/>
      <c r="F92" s="20"/>
      <c r="G92" s="21"/>
      <c r="H92" s="25">
        <f>SUM(H90:H91)</f>
        <v>0</v>
      </c>
      <c r="I92" s="2"/>
      <c r="J92" s="17"/>
      <c r="K92" s="17"/>
      <c r="L92" s="17"/>
      <c r="M92" s="2"/>
      <c r="N92" s="2"/>
      <c r="O92" s="2"/>
    </row>
    <row r="93" spans="1:15" ht="17">
      <c r="A93" s="29"/>
      <c r="B93" s="26"/>
      <c r="C93" s="14"/>
      <c r="D93" s="20"/>
      <c r="E93" s="21"/>
      <c r="F93" s="20"/>
      <c r="G93" s="21"/>
      <c r="H93" s="20"/>
      <c r="I93" s="2"/>
      <c r="J93" s="17"/>
      <c r="K93" s="17"/>
      <c r="L93" s="17"/>
      <c r="M93" s="2"/>
      <c r="N93" s="2"/>
      <c r="O93" s="2"/>
    </row>
    <row r="94" spans="1:15" ht="17">
      <c r="A94" s="29"/>
      <c r="B94" s="26"/>
      <c r="C94" s="14" t="s">
        <v>91</v>
      </c>
      <c r="D94" s="20"/>
      <c r="E94" s="21"/>
      <c r="F94" s="20"/>
      <c r="G94" s="21"/>
      <c r="H94" s="20"/>
      <c r="I94" s="2"/>
      <c r="J94" s="17"/>
      <c r="K94" s="17"/>
      <c r="L94" s="17"/>
    </row>
    <row r="95" spans="1:15" ht="17">
      <c r="A95" s="29"/>
      <c r="B95" s="18">
        <v>1</v>
      </c>
      <c r="C95" s="19" t="s">
        <v>89</v>
      </c>
      <c r="D95" s="20">
        <v>10</v>
      </c>
      <c r="E95" s="21">
        <v>1</v>
      </c>
      <c r="F95" s="20">
        <f>D95*E95</f>
        <v>10</v>
      </c>
      <c r="G95" s="21">
        <v>12000</v>
      </c>
      <c r="H95" s="20">
        <f>F95*G95</f>
        <v>120000</v>
      </c>
      <c r="I95" s="2"/>
      <c r="J95" s="17"/>
      <c r="K95" s="17"/>
      <c r="L95" s="17"/>
    </row>
    <row r="96" spans="1:15" ht="17">
      <c r="A96" s="29"/>
      <c r="B96" s="18">
        <v>2</v>
      </c>
      <c r="C96" s="19"/>
      <c r="D96" s="20">
        <v>0</v>
      </c>
      <c r="E96" s="21">
        <v>1</v>
      </c>
      <c r="F96" s="20">
        <f>D96*E96</f>
        <v>0</v>
      </c>
      <c r="G96" s="21">
        <v>102</v>
      </c>
      <c r="H96" s="20">
        <f>F96*G96</f>
        <v>0</v>
      </c>
      <c r="I96" s="2"/>
      <c r="J96" s="17"/>
      <c r="K96" s="17"/>
      <c r="L96" s="17"/>
    </row>
    <row r="97" spans="1:12" ht="17">
      <c r="A97" s="29"/>
      <c r="B97" s="18"/>
      <c r="C97" s="14" t="s">
        <v>92</v>
      </c>
      <c r="D97" s="20"/>
      <c r="E97" s="21"/>
      <c r="F97" s="20"/>
      <c r="G97" s="21"/>
      <c r="H97" s="25">
        <f>SUM(H95:H96)</f>
        <v>120000</v>
      </c>
      <c r="I97" s="2"/>
      <c r="J97" s="17"/>
      <c r="K97" s="17"/>
      <c r="L97" s="17"/>
    </row>
    <row r="98" spans="1:12" ht="17">
      <c r="A98" s="29"/>
      <c r="B98" s="26"/>
      <c r="C98" s="14"/>
      <c r="D98" s="20"/>
      <c r="E98" s="21"/>
      <c r="F98" s="20"/>
      <c r="G98" s="21"/>
      <c r="H98" s="20"/>
      <c r="I98" s="2"/>
      <c r="J98" s="17"/>
      <c r="K98" s="17"/>
      <c r="L98" s="17"/>
    </row>
    <row r="99" spans="1:12" ht="17">
      <c r="A99" s="29"/>
      <c r="B99" s="26"/>
      <c r="C99" s="14" t="s">
        <v>93</v>
      </c>
      <c r="D99" s="20"/>
      <c r="E99" s="21"/>
      <c r="F99" s="20"/>
      <c r="G99" s="21"/>
      <c r="H99" s="20"/>
      <c r="I99" s="2"/>
      <c r="J99" s="17"/>
      <c r="K99" s="17"/>
      <c r="L99" s="17"/>
    </row>
    <row r="100" spans="1:12" ht="17">
      <c r="A100" s="29"/>
      <c r="B100" s="18">
        <v>1</v>
      </c>
      <c r="C100" s="19" t="s">
        <v>94</v>
      </c>
      <c r="D100" s="20">
        <v>1</v>
      </c>
      <c r="E100" s="21">
        <v>1</v>
      </c>
      <c r="F100" s="20">
        <f>D100*E100</f>
        <v>1</v>
      </c>
      <c r="G100" s="21">
        <v>25000</v>
      </c>
      <c r="H100" s="20">
        <f>F100*G100</f>
        <v>25000</v>
      </c>
      <c r="I100" s="2"/>
      <c r="J100" s="17"/>
      <c r="K100" s="17"/>
      <c r="L100" s="17"/>
    </row>
    <row r="101" spans="1:12" ht="17">
      <c r="A101" s="29"/>
      <c r="B101" s="18">
        <v>2</v>
      </c>
      <c r="C101" s="19" t="s">
        <v>95</v>
      </c>
      <c r="D101" s="20">
        <v>0</v>
      </c>
      <c r="E101" s="21">
        <v>1</v>
      </c>
      <c r="F101" s="20">
        <f t="shared" ref="F101:F103" si="7">D101*E101</f>
        <v>0</v>
      </c>
      <c r="G101" s="21">
        <v>40000</v>
      </c>
      <c r="H101" s="20">
        <f t="shared" ref="H101:H103" si="8">F101*G101</f>
        <v>0</v>
      </c>
      <c r="I101" s="2"/>
      <c r="J101" s="17"/>
      <c r="K101" s="17"/>
      <c r="L101" s="17"/>
    </row>
    <row r="102" spans="1:12" ht="17">
      <c r="A102" s="29"/>
      <c r="B102" s="18">
        <v>3</v>
      </c>
      <c r="C102" s="19"/>
      <c r="D102" s="20">
        <v>0</v>
      </c>
      <c r="E102" s="21">
        <v>1</v>
      </c>
      <c r="F102" s="20">
        <f t="shared" si="7"/>
        <v>0</v>
      </c>
      <c r="G102" s="21">
        <v>103</v>
      </c>
      <c r="H102" s="20">
        <f t="shared" si="8"/>
        <v>0</v>
      </c>
      <c r="I102" s="2"/>
      <c r="J102" s="17"/>
      <c r="K102" s="17"/>
      <c r="L102" s="17"/>
    </row>
    <row r="103" spans="1:12" ht="17">
      <c r="A103" s="29"/>
      <c r="B103" s="18">
        <v>4</v>
      </c>
      <c r="C103" s="19"/>
      <c r="D103" s="20">
        <v>0</v>
      </c>
      <c r="E103" s="21">
        <v>1</v>
      </c>
      <c r="F103" s="20">
        <f t="shared" si="7"/>
        <v>0</v>
      </c>
      <c r="G103" s="21">
        <v>104</v>
      </c>
      <c r="H103" s="20">
        <f t="shared" si="8"/>
        <v>0</v>
      </c>
      <c r="I103" s="2"/>
      <c r="J103" s="17"/>
      <c r="K103" s="17"/>
      <c r="L103" s="17"/>
    </row>
    <row r="104" spans="1:12" ht="17">
      <c r="A104" s="29"/>
      <c r="B104" s="18">
        <v>5</v>
      </c>
      <c r="C104" s="19"/>
      <c r="D104" s="20">
        <v>0</v>
      </c>
      <c r="E104" s="21">
        <v>1</v>
      </c>
      <c r="F104" s="20">
        <f>D104*E104</f>
        <v>0</v>
      </c>
      <c r="G104" s="21">
        <v>102</v>
      </c>
      <c r="H104" s="20">
        <f>F104*G104</f>
        <v>0</v>
      </c>
      <c r="I104" s="2"/>
      <c r="J104" s="17"/>
      <c r="K104" s="17"/>
      <c r="L104" s="17"/>
    </row>
    <row r="105" spans="1:12" ht="17">
      <c r="A105" s="29"/>
      <c r="B105" s="18"/>
      <c r="C105" s="14" t="s">
        <v>96</v>
      </c>
      <c r="D105" s="20"/>
      <c r="E105" s="21"/>
      <c r="F105" s="20"/>
      <c r="G105" s="21"/>
      <c r="H105" s="25">
        <f>SUM(H100:H104)</f>
        <v>25000</v>
      </c>
      <c r="I105" s="2"/>
      <c r="J105" s="17"/>
      <c r="K105" s="17"/>
      <c r="L105" s="17"/>
    </row>
    <row r="106" spans="1:12" ht="17">
      <c r="A106" s="29"/>
      <c r="B106" s="26"/>
      <c r="C106" s="14"/>
      <c r="D106" s="20"/>
      <c r="E106" s="21"/>
      <c r="F106" s="20"/>
      <c r="G106" s="21"/>
      <c r="H106" s="20"/>
      <c r="I106" s="2"/>
      <c r="J106" s="17"/>
      <c r="K106" s="17"/>
      <c r="L106" s="17"/>
    </row>
    <row r="107" spans="1:12" ht="17">
      <c r="A107" s="29"/>
      <c r="B107" s="26"/>
      <c r="C107" s="14" t="s">
        <v>97</v>
      </c>
      <c r="D107" s="20"/>
      <c r="E107" s="21"/>
      <c r="F107" s="20"/>
      <c r="G107" s="21"/>
      <c r="H107" s="20"/>
      <c r="I107" s="2"/>
      <c r="J107" s="17"/>
      <c r="K107" s="17"/>
      <c r="L107" s="17"/>
    </row>
    <row r="108" spans="1:12" ht="17">
      <c r="A108" s="29"/>
      <c r="B108" s="18">
        <v>1</v>
      </c>
      <c r="C108" s="19" t="s">
        <v>98</v>
      </c>
      <c r="D108" s="20">
        <v>5</v>
      </c>
      <c r="E108" s="21">
        <v>1</v>
      </c>
      <c r="F108" s="20">
        <f>D108*E108</f>
        <v>5</v>
      </c>
      <c r="G108" s="21">
        <v>12507</v>
      </c>
      <c r="H108" s="20">
        <f>F108*G108</f>
        <v>62535</v>
      </c>
      <c r="I108" s="2"/>
      <c r="J108" s="17"/>
      <c r="K108" s="17"/>
      <c r="L108" s="17"/>
    </row>
    <row r="109" spans="1:12" ht="17">
      <c r="A109" s="29"/>
      <c r="B109" s="18">
        <v>2</v>
      </c>
      <c r="C109" s="19" t="s">
        <v>99</v>
      </c>
      <c r="D109" s="20">
        <v>5</v>
      </c>
      <c r="E109" s="21">
        <v>1</v>
      </c>
      <c r="F109" s="20">
        <f t="shared" ref="F109:F113" si="9">D109*E109</f>
        <v>5</v>
      </c>
      <c r="G109" s="21">
        <v>12507</v>
      </c>
      <c r="H109" s="20">
        <f t="shared" ref="H109:H113" si="10">F109*G109</f>
        <v>62535</v>
      </c>
      <c r="I109" s="2"/>
      <c r="J109" s="17"/>
      <c r="K109" s="17"/>
      <c r="L109" s="17"/>
    </row>
    <row r="110" spans="1:12" ht="17">
      <c r="A110" s="29"/>
      <c r="B110" s="18">
        <v>3</v>
      </c>
      <c r="C110" s="19" t="s">
        <v>65</v>
      </c>
      <c r="D110" s="20">
        <v>5</v>
      </c>
      <c r="E110" s="21">
        <v>1</v>
      </c>
      <c r="F110" s="20">
        <f t="shared" si="9"/>
        <v>5</v>
      </c>
      <c r="G110" s="21">
        <v>12507</v>
      </c>
      <c r="H110" s="20">
        <f t="shared" si="10"/>
        <v>62535</v>
      </c>
      <c r="I110" s="2"/>
      <c r="J110" s="17"/>
      <c r="K110" s="17"/>
      <c r="L110" s="17"/>
    </row>
    <row r="111" spans="1:12" ht="17">
      <c r="A111" s="29"/>
      <c r="B111" s="18">
        <v>4</v>
      </c>
      <c r="C111" s="19" t="s">
        <v>100</v>
      </c>
      <c r="D111" s="20">
        <v>5</v>
      </c>
      <c r="E111" s="21">
        <v>1</v>
      </c>
      <c r="F111" s="20">
        <f t="shared" si="9"/>
        <v>5</v>
      </c>
      <c r="G111" s="21">
        <v>12507</v>
      </c>
      <c r="H111" s="20">
        <f t="shared" si="10"/>
        <v>62535</v>
      </c>
      <c r="I111" s="2"/>
      <c r="J111" s="17"/>
      <c r="K111" s="17"/>
      <c r="L111" s="17"/>
    </row>
    <row r="112" spans="1:12" ht="17">
      <c r="A112" s="29"/>
      <c r="B112" s="18">
        <v>5</v>
      </c>
      <c r="C112" s="19" t="s">
        <v>101</v>
      </c>
      <c r="D112" s="20">
        <v>1</v>
      </c>
      <c r="E112" s="21">
        <v>1</v>
      </c>
      <c r="F112" s="20">
        <f t="shared" si="9"/>
        <v>1</v>
      </c>
      <c r="G112" s="21">
        <v>53846.153846153844</v>
      </c>
      <c r="H112" s="20">
        <f t="shared" si="10"/>
        <v>53846.153846153844</v>
      </c>
      <c r="I112" s="2"/>
      <c r="J112" s="17"/>
      <c r="K112" s="17"/>
      <c r="L112" s="17"/>
    </row>
    <row r="113" spans="1:12" ht="17">
      <c r="A113" s="29"/>
      <c r="B113" s="18">
        <v>6</v>
      </c>
      <c r="C113" s="19"/>
      <c r="D113" s="20">
        <v>0</v>
      </c>
      <c r="E113" s="21">
        <v>1</v>
      </c>
      <c r="F113" s="20">
        <f t="shared" si="9"/>
        <v>0</v>
      </c>
      <c r="G113" s="21">
        <v>106</v>
      </c>
      <c r="H113" s="20">
        <f t="shared" si="10"/>
        <v>0</v>
      </c>
      <c r="I113" s="2"/>
      <c r="J113" s="17"/>
      <c r="K113" s="17"/>
      <c r="L113" s="17"/>
    </row>
    <row r="114" spans="1:12" ht="17">
      <c r="A114" s="29"/>
      <c r="B114" s="18">
        <v>7</v>
      </c>
      <c r="C114" s="19"/>
      <c r="D114" s="20">
        <v>0</v>
      </c>
      <c r="E114" s="21">
        <v>1</v>
      </c>
      <c r="F114" s="20">
        <f>D114*E114</f>
        <v>0</v>
      </c>
      <c r="G114" s="21">
        <v>102</v>
      </c>
      <c r="H114" s="20">
        <f>F114*G114</f>
        <v>0</v>
      </c>
      <c r="I114" s="2"/>
      <c r="J114" s="17"/>
      <c r="K114" s="17"/>
      <c r="L114" s="17"/>
    </row>
    <row r="115" spans="1:12" ht="17">
      <c r="A115" s="29"/>
      <c r="B115" s="18"/>
      <c r="C115" s="14" t="s">
        <v>102</v>
      </c>
      <c r="D115" s="20"/>
      <c r="E115" s="21"/>
      <c r="F115" s="20"/>
      <c r="G115" s="21"/>
      <c r="H115" s="25">
        <f>SUM(H108:H114)</f>
        <v>303986.15384615387</v>
      </c>
      <c r="I115" s="2"/>
      <c r="J115" s="17"/>
      <c r="K115" s="17"/>
      <c r="L115" s="17"/>
    </row>
    <row r="116" spans="1:12" ht="17">
      <c r="A116" s="29"/>
      <c r="B116" s="18"/>
      <c r="C116" s="14"/>
      <c r="D116" s="20"/>
      <c r="E116" s="21"/>
      <c r="F116" s="20"/>
      <c r="G116" s="21"/>
      <c r="H116" s="25"/>
      <c r="I116" s="2"/>
      <c r="J116" s="17"/>
      <c r="K116" s="17"/>
      <c r="L116" s="17"/>
    </row>
    <row r="117" spans="1:12" ht="17">
      <c r="A117" s="29"/>
      <c r="B117" s="26"/>
      <c r="C117" s="14" t="s">
        <v>103</v>
      </c>
      <c r="D117" s="20"/>
      <c r="E117" s="21"/>
      <c r="F117" s="20"/>
      <c r="G117" s="21"/>
      <c r="H117" s="20"/>
      <c r="I117" s="2"/>
      <c r="J117" s="17"/>
      <c r="K117" s="17"/>
      <c r="L117" s="17"/>
    </row>
    <row r="118" spans="1:12" ht="17">
      <c r="A118" s="29"/>
      <c r="B118" s="18">
        <v>1</v>
      </c>
      <c r="C118" s="19" t="s">
        <v>104</v>
      </c>
      <c r="D118" s="20">
        <v>5</v>
      </c>
      <c r="E118" s="21">
        <v>1</v>
      </c>
      <c r="F118" s="20">
        <f>D118*E118</f>
        <v>5</v>
      </c>
      <c r="G118" s="21">
        <v>140000</v>
      </c>
      <c r="H118" s="20">
        <f>F118*G118</f>
        <v>700000</v>
      </c>
      <c r="I118" s="2"/>
      <c r="J118" s="17"/>
      <c r="K118" s="17"/>
      <c r="L118" s="17"/>
    </row>
    <row r="119" spans="1:12" ht="17">
      <c r="A119" s="29"/>
      <c r="B119" s="18">
        <v>2</v>
      </c>
      <c r="C119" s="19" t="s">
        <v>76</v>
      </c>
      <c r="D119" s="20">
        <v>5</v>
      </c>
      <c r="E119" s="21">
        <v>1</v>
      </c>
      <c r="F119" s="20">
        <f t="shared" ref="F119:F125" si="11">D119*E119</f>
        <v>5</v>
      </c>
      <c r="G119" s="21">
        <v>30770</v>
      </c>
      <c r="H119" s="20">
        <f t="shared" ref="H119:H125" si="12">F119*G119</f>
        <v>153850</v>
      </c>
      <c r="I119" s="2"/>
      <c r="J119" s="17"/>
      <c r="K119" s="17"/>
      <c r="L119" s="17"/>
    </row>
    <row r="120" spans="1:12" ht="17">
      <c r="A120" s="29"/>
      <c r="B120" s="18">
        <v>3</v>
      </c>
      <c r="C120" s="19" t="s">
        <v>105</v>
      </c>
      <c r="D120" s="20">
        <v>5</v>
      </c>
      <c r="E120" s="21">
        <v>1</v>
      </c>
      <c r="F120" s="20">
        <f t="shared" si="11"/>
        <v>5</v>
      </c>
      <c r="G120" s="21">
        <v>30770</v>
      </c>
      <c r="H120" s="20">
        <f t="shared" si="12"/>
        <v>153850</v>
      </c>
      <c r="I120" s="2"/>
      <c r="J120" s="17"/>
      <c r="K120" s="17"/>
      <c r="L120" s="17"/>
    </row>
    <row r="121" spans="1:12" ht="17">
      <c r="A121" s="29"/>
      <c r="B121" s="18">
        <v>4</v>
      </c>
      <c r="C121" s="19" t="s">
        <v>106</v>
      </c>
      <c r="D121" s="20">
        <v>1</v>
      </c>
      <c r="E121" s="21">
        <v>0.5</v>
      </c>
      <c r="F121" s="20">
        <f t="shared" si="11"/>
        <v>0.5</v>
      </c>
      <c r="G121" s="69">
        <v>240000</v>
      </c>
      <c r="H121" s="20">
        <f t="shared" si="12"/>
        <v>120000</v>
      </c>
      <c r="I121" s="2"/>
      <c r="J121" s="17"/>
      <c r="K121" s="17"/>
      <c r="L121" s="17"/>
    </row>
    <row r="122" spans="1:12" ht="17">
      <c r="A122" s="29"/>
      <c r="B122" s="18">
        <v>5</v>
      </c>
      <c r="C122" s="19" t="s">
        <v>107</v>
      </c>
      <c r="D122" s="20">
        <v>0</v>
      </c>
      <c r="E122" s="21">
        <v>1</v>
      </c>
      <c r="F122" s="20">
        <f t="shared" si="11"/>
        <v>0</v>
      </c>
      <c r="G122" s="21">
        <v>106</v>
      </c>
      <c r="H122" s="20">
        <f t="shared" si="12"/>
        <v>0</v>
      </c>
      <c r="I122" s="2"/>
      <c r="J122" s="17"/>
      <c r="K122" s="17"/>
      <c r="L122" s="17"/>
    </row>
    <row r="123" spans="1:12" ht="17">
      <c r="A123" s="29"/>
      <c r="B123" s="18">
        <v>6</v>
      </c>
      <c r="C123" s="19" t="s">
        <v>108</v>
      </c>
      <c r="D123" s="20">
        <v>0</v>
      </c>
      <c r="E123" s="21">
        <v>1</v>
      </c>
      <c r="F123" s="20">
        <f t="shared" si="11"/>
        <v>0</v>
      </c>
      <c r="G123" s="21">
        <v>107</v>
      </c>
      <c r="H123" s="20">
        <f t="shared" si="12"/>
        <v>0</v>
      </c>
      <c r="I123" s="2"/>
      <c r="J123" s="17"/>
      <c r="K123" s="17"/>
      <c r="L123" s="17"/>
    </row>
    <row r="124" spans="1:12" ht="17">
      <c r="A124" s="29"/>
      <c r="B124" s="18">
        <v>7</v>
      </c>
      <c r="C124" s="19" t="s">
        <v>109</v>
      </c>
      <c r="D124" s="20">
        <v>0</v>
      </c>
      <c r="E124" s="21">
        <v>1</v>
      </c>
      <c r="F124" s="20">
        <f t="shared" si="11"/>
        <v>0</v>
      </c>
      <c r="G124" s="21">
        <v>108</v>
      </c>
      <c r="H124" s="20">
        <f t="shared" si="12"/>
        <v>0</v>
      </c>
      <c r="I124" s="2"/>
      <c r="J124" s="17"/>
      <c r="K124" s="17"/>
      <c r="L124" s="17"/>
    </row>
    <row r="125" spans="1:12" ht="17">
      <c r="A125" s="29"/>
      <c r="B125" s="18">
        <v>8</v>
      </c>
      <c r="C125" s="19"/>
      <c r="D125" s="20">
        <v>0</v>
      </c>
      <c r="E125" s="21">
        <v>1</v>
      </c>
      <c r="F125" s="20">
        <f t="shared" si="11"/>
        <v>0</v>
      </c>
      <c r="G125" s="21">
        <v>109</v>
      </c>
      <c r="H125" s="20">
        <f t="shared" si="12"/>
        <v>0</v>
      </c>
      <c r="I125" s="2"/>
      <c r="J125" s="17"/>
      <c r="K125" s="17"/>
      <c r="L125" s="17"/>
    </row>
    <row r="126" spans="1:12" ht="17">
      <c r="A126" s="29"/>
      <c r="B126" s="18">
        <v>9</v>
      </c>
      <c r="D126" s="20">
        <v>0</v>
      </c>
      <c r="E126" s="21">
        <v>1</v>
      </c>
      <c r="F126" s="20">
        <f>D126*E126</f>
        <v>0</v>
      </c>
      <c r="G126" s="21">
        <v>102</v>
      </c>
      <c r="H126" s="20">
        <f>F126*G126</f>
        <v>0</v>
      </c>
      <c r="I126" s="2"/>
      <c r="J126" s="17"/>
      <c r="K126" s="17"/>
      <c r="L126" s="17"/>
    </row>
    <row r="127" spans="1:12" ht="17">
      <c r="A127" s="29"/>
      <c r="B127" s="18"/>
      <c r="C127" s="14" t="s">
        <v>110</v>
      </c>
      <c r="D127" s="20"/>
      <c r="E127" s="21"/>
      <c r="F127" s="20"/>
      <c r="G127" s="21"/>
      <c r="H127" s="25">
        <f>SUM(H118:H126)</f>
        <v>1127700</v>
      </c>
      <c r="I127" s="2"/>
      <c r="J127" s="17"/>
      <c r="K127" s="17"/>
      <c r="L127" s="17"/>
    </row>
    <row r="128" spans="1:12" ht="17">
      <c r="A128" s="29"/>
      <c r="B128" s="18"/>
      <c r="C128" s="14"/>
      <c r="D128" s="20"/>
      <c r="E128" s="21"/>
      <c r="F128" s="20"/>
      <c r="G128" s="21"/>
      <c r="H128" s="25"/>
      <c r="I128" s="2"/>
      <c r="J128" s="17"/>
      <c r="K128" s="17"/>
      <c r="L128" s="17"/>
    </row>
    <row r="129" spans="1:12" ht="17">
      <c r="A129" s="29"/>
      <c r="B129" s="26"/>
      <c r="C129" s="14" t="s">
        <v>111</v>
      </c>
      <c r="D129" s="20"/>
      <c r="E129" s="21"/>
      <c r="F129" s="20"/>
      <c r="G129" s="21"/>
      <c r="H129" s="25">
        <f>H77+H82+H87+H92+H97+H105+H115+H127</f>
        <v>1576686.153846154</v>
      </c>
      <c r="I129" s="2"/>
      <c r="J129" s="17"/>
      <c r="K129" s="17"/>
      <c r="L129" s="17"/>
    </row>
    <row r="130" spans="1:12" ht="17">
      <c r="A130" s="29"/>
      <c r="B130" s="26"/>
      <c r="C130" s="14"/>
      <c r="D130" s="20"/>
      <c r="E130" s="21"/>
      <c r="F130" s="20"/>
      <c r="G130" s="21"/>
      <c r="H130" s="20"/>
      <c r="I130" s="2"/>
      <c r="J130" s="17"/>
      <c r="K130" s="17"/>
      <c r="L130" s="17"/>
    </row>
    <row r="131" spans="1:12" ht="39">
      <c r="A131" s="29"/>
      <c r="B131" s="13" t="s">
        <v>112</v>
      </c>
      <c r="C131" s="14" t="s">
        <v>113</v>
      </c>
      <c r="D131" s="20"/>
      <c r="E131" s="21"/>
      <c r="F131" s="20"/>
      <c r="G131" s="21"/>
      <c r="H131" s="20"/>
      <c r="I131" s="2"/>
      <c r="J131" s="17"/>
      <c r="K131" s="17"/>
      <c r="L131" s="17"/>
    </row>
    <row r="132" spans="1:12" ht="17">
      <c r="A132" s="29"/>
      <c r="B132" s="18">
        <v>1</v>
      </c>
      <c r="C132" s="19"/>
      <c r="D132" s="20">
        <v>0</v>
      </c>
      <c r="E132" s="21">
        <v>1</v>
      </c>
      <c r="F132" s="20">
        <f>D132*E132</f>
        <v>0</v>
      </c>
      <c r="G132" s="21">
        <v>101</v>
      </c>
      <c r="H132" s="20">
        <f>F132*G132</f>
        <v>0</v>
      </c>
      <c r="I132" s="2"/>
      <c r="J132" s="17"/>
      <c r="K132" s="17"/>
      <c r="L132" s="17"/>
    </row>
    <row r="133" spans="1:12" ht="17">
      <c r="A133" s="29"/>
      <c r="B133" s="18">
        <v>2</v>
      </c>
      <c r="C133" s="19"/>
      <c r="D133" s="20">
        <v>0</v>
      </c>
      <c r="E133" s="21">
        <v>1</v>
      </c>
      <c r="F133" s="20">
        <f>D133*E133</f>
        <v>0</v>
      </c>
      <c r="G133" s="21">
        <v>102</v>
      </c>
      <c r="H133" s="20">
        <f>F133*G133</f>
        <v>0</v>
      </c>
      <c r="I133" s="2"/>
      <c r="J133" s="17"/>
      <c r="K133" s="17"/>
      <c r="L133" s="17"/>
    </row>
    <row r="134" spans="1:12" ht="17">
      <c r="A134" s="29"/>
      <c r="B134" s="18"/>
      <c r="C134" s="14" t="s">
        <v>114</v>
      </c>
      <c r="D134" s="20"/>
      <c r="E134" s="21"/>
      <c r="F134" s="20"/>
      <c r="G134" s="21"/>
      <c r="H134" s="25">
        <f>SUM(H132:H133)</f>
        <v>0</v>
      </c>
      <c r="I134" s="2"/>
      <c r="J134" s="17"/>
      <c r="K134" s="17"/>
      <c r="L134" s="17"/>
    </row>
    <row r="135" spans="1:12" ht="17">
      <c r="A135" s="29"/>
      <c r="B135" s="26"/>
      <c r="C135" s="14"/>
      <c r="D135" s="20"/>
      <c r="E135" s="21"/>
      <c r="F135" s="20"/>
      <c r="G135" s="21"/>
      <c r="H135" s="20"/>
      <c r="I135" s="2"/>
      <c r="J135" s="17"/>
      <c r="K135" s="17"/>
      <c r="L135" s="17"/>
    </row>
    <row r="136" spans="1:12" ht="17">
      <c r="A136" s="29"/>
      <c r="B136" s="26"/>
      <c r="C136" s="14" t="s">
        <v>115</v>
      </c>
      <c r="D136" s="20"/>
      <c r="E136" s="21"/>
      <c r="F136" s="20"/>
      <c r="G136" s="21"/>
      <c r="H136" s="20"/>
      <c r="I136" s="2"/>
      <c r="J136" s="17"/>
      <c r="K136" s="17"/>
      <c r="L136" s="17"/>
    </row>
    <row r="137" spans="1:12" ht="17">
      <c r="A137" s="29"/>
      <c r="B137" s="18">
        <v>1</v>
      </c>
      <c r="C137" s="19"/>
      <c r="D137" s="20">
        <v>0</v>
      </c>
      <c r="E137" s="21">
        <v>1</v>
      </c>
      <c r="F137" s="20">
        <f>D137*E137</f>
        <v>0</v>
      </c>
      <c r="G137" s="21">
        <v>101</v>
      </c>
      <c r="H137" s="20">
        <f>F137*G137</f>
        <v>0</v>
      </c>
      <c r="I137" s="2"/>
      <c r="J137" s="17"/>
      <c r="K137" s="17"/>
      <c r="L137" s="17"/>
    </row>
    <row r="138" spans="1:12" ht="17">
      <c r="A138" s="29"/>
      <c r="B138" s="18">
        <v>2</v>
      </c>
      <c r="C138" s="19"/>
      <c r="D138" s="20">
        <v>0</v>
      </c>
      <c r="E138" s="21">
        <v>1</v>
      </c>
      <c r="F138" s="20">
        <f>D138*E138</f>
        <v>0</v>
      </c>
      <c r="G138" s="21">
        <v>102</v>
      </c>
      <c r="H138" s="20">
        <f>F138*G138</f>
        <v>0</v>
      </c>
      <c r="I138" s="2"/>
      <c r="J138" s="17"/>
      <c r="K138" s="17"/>
      <c r="L138" s="17"/>
    </row>
    <row r="139" spans="1:12" ht="17">
      <c r="A139" s="29"/>
      <c r="B139" s="18"/>
      <c r="C139" s="14" t="s">
        <v>116</v>
      </c>
      <c r="D139" s="20"/>
      <c r="E139" s="21"/>
      <c r="F139" s="20"/>
      <c r="G139" s="21"/>
      <c r="H139" s="25">
        <f>SUM(H137:H138)</f>
        <v>0</v>
      </c>
      <c r="I139" s="2"/>
      <c r="J139" s="17"/>
      <c r="K139" s="17"/>
      <c r="L139" s="17"/>
    </row>
    <row r="140" spans="1:12" ht="17">
      <c r="A140" s="29"/>
      <c r="B140" s="26"/>
      <c r="C140" s="14"/>
      <c r="D140" s="20"/>
      <c r="E140" s="21"/>
      <c r="F140" s="20"/>
      <c r="G140" s="21"/>
      <c r="H140" s="20"/>
      <c r="I140" s="2"/>
      <c r="J140" s="17"/>
      <c r="K140" s="17"/>
      <c r="L140" s="17"/>
    </row>
    <row r="141" spans="1:12" ht="17">
      <c r="A141" s="29"/>
      <c r="B141" s="26"/>
      <c r="C141" s="14" t="s">
        <v>117</v>
      </c>
      <c r="D141" s="20"/>
      <c r="E141" s="21"/>
      <c r="F141" s="20"/>
      <c r="G141" s="21"/>
      <c r="H141" s="20"/>
      <c r="I141" s="2"/>
      <c r="J141" s="17"/>
      <c r="K141" s="17"/>
      <c r="L141" s="17"/>
    </row>
    <row r="142" spans="1:12" ht="17">
      <c r="A142" s="29"/>
      <c r="B142" s="18">
        <v>1</v>
      </c>
      <c r="C142" s="19"/>
      <c r="D142" s="20">
        <v>0</v>
      </c>
      <c r="E142" s="21">
        <v>1</v>
      </c>
      <c r="F142" s="20">
        <f>D142*E142</f>
        <v>0</v>
      </c>
      <c r="G142" s="21">
        <v>101</v>
      </c>
      <c r="H142" s="20">
        <f>F142*G142</f>
        <v>0</v>
      </c>
      <c r="I142" s="2"/>
      <c r="J142" s="17"/>
      <c r="K142" s="17"/>
      <c r="L142" s="17"/>
    </row>
    <row r="143" spans="1:12" ht="17">
      <c r="A143" s="29"/>
      <c r="B143" s="18">
        <v>2</v>
      </c>
      <c r="C143" s="19"/>
      <c r="D143" s="20">
        <v>0</v>
      </c>
      <c r="E143" s="21">
        <v>1</v>
      </c>
      <c r="F143" s="20">
        <f>D143*E143</f>
        <v>0</v>
      </c>
      <c r="G143" s="21">
        <v>102</v>
      </c>
      <c r="H143" s="20">
        <f>F143*G143</f>
        <v>0</v>
      </c>
      <c r="I143" s="2"/>
      <c r="J143" s="17"/>
      <c r="K143" s="17"/>
      <c r="L143" s="17"/>
    </row>
    <row r="144" spans="1:12" ht="17">
      <c r="A144" s="29"/>
      <c r="B144" s="18"/>
      <c r="C144" s="14" t="s">
        <v>118</v>
      </c>
      <c r="D144" s="20"/>
      <c r="E144" s="21"/>
      <c r="F144" s="20"/>
      <c r="G144" s="21"/>
      <c r="H144" s="25">
        <f>SUM(H142:H143)</f>
        <v>0</v>
      </c>
      <c r="I144" s="2"/>
      <c r="J144" s="17"/>
      <c r="K144" s="17"/>
      <c r="L144" s="17"/>
    </row>
    <row r="145" spans="1:12" ht="17">
      <c r="A145" s="29"/>
      <c r="B145" s="26"/>
      <c r="C145" s="14"/>
      <c r="D145" s="20"/>
      <c r="E145" s="21"/>
      <c r="F145" s="20"/>
      <c r="G145" s="21"/>
      <c r="H145" s="20"/>
      <c r="I145" s="2"/>
      <c r="J145" s="17"/>
      <c r="K145" s="17"/>
      <c r="L145" s="17"/>
    </row>
    <row r="146" spans="1:12" ht="17">
      <c r="A146" s="29"/>
      <c r="B146" s="26"/>
      <c r="C146" s="14" t="s">
        <v>119</v>
      </c>
      <c r="D146" s="20"/>
      <c r="E146" s="21"/>
      <c r="F146" s="20"/>
      <c r="G146" s="21"/>
      <c r="H146" s="20"/>
      <c r="I146" s="2"/>
      <c r="J146" s="17"/>
      <c r="K146" s="17"/>
      <c r="L146" s="17"/>
    </row>
    <row r="147" spans="1:12" ht="17">
      <c r="A147" s="29"/>
      <c r="B147" s="18">
        <v>1</v>
      </c>
      <c r="C147" s="19"/>
      <c r="D147" s="20">
        <v>0</v>
      </c>
      <c r="E147" s="21">
        <v>1</v>
      </c>
      <c r="F147" s="20">
        <f>D147*E147</f>
        <v>0</v>
      </c>
      <c r="G147" s="21">
        <v>101</v>
      </c>
      <c r="H147" s="20">
        <f>F147*G147</f>
        <v>0</v>
      </c>
      <c r="I147" s="2"/>
      <c r="J147" s="17"/>
      <c r="K147" s="17"/>
      <c r="L147" s="17"/>
    </row>
    <row r="148" spans="1:12" ht="17">
      <c r="A148" s="29"/>
      <c r="B148" s="18">
        <v>2</v>
      </c>
      <c r="C148" s="19"/>
      <c r="D148" s="20">
        <v>0</v>
      </c>
      <c r="E148" s="21">
        <v>1</v>
      </c>
      <c r="F148" s="20">
        <f>D148*E148</f>
        <v>0</v>
      </c>
      <c r="G148" s="21">
        <v>102</v>
      </c>
      <c r="H148" s="20">
        <f>F148*G148</f>
        <v>0</v>
      </c>
      <c r="I148" s="2"/>
      <c r="J148" s="17"/>
      <c r="K148" s="17"/>
      <c r="L148" s="17"/>
    </row>
    <row r="149" spans="1:12" ht="17">
      <c r="A149" s="29"/>
      <c r="B149" s="18"/>
      <c r="C149" s="14" t="s">
        <v>120</v>
      </c>
      <c r="D149" s="20"/>
      <c r="E149" s="21"/>
      <c r="F149" s="20"/>
      <c r="G149" s="21"/>
      <c r="H149" s="25">
        <f>SUM(H147:H148)</f>
        <v>0</v>
      </c>
      <c r="I149" s="2"/>
      <c r="J149" s="17"/>
      <c r="K149" s="17"/>
      <c r="L149" s="17"/>
    </row>
    <row r="150" spans="1:12" ht="17">
      <c r="A150" s="29"/>
      <c r="B150" s="26"/>
      <c r="C150" s="14"/>
      <c r="D150" s="20"/>
      <c r="E150" s="21"/>
      <c r="F150" s="20"/>
      <c r="G150" s="21"/>
      <c r="H150" s="20"/>
      <c r="I150" s="2"/>
      <c r="J150" s="17"/>
      <c r="K150" s="17"/>
      <c r="L150" s="17"/>
    </row>
    <row r="151" spans="1:12" ht="17">
      <c r="A151" s="29"/>
      <c r="B151" s="26"/>
      <c r="C151" s="14" t="s">
        <v>121</v>
      </c>
      <c r="D151" s="20"/>
      <c r="E151" s="21"/>
      <c r="F151" s="20"/>
      <c r="G151" s="21"/>
      <c r="H151" s="20"/>
      <c r="I151" s="2"/>
      <c r="J151" s="17"/>
      <c r="K151" s="17"/>
      <c r="L151" s="17"/>
    </row>
    <row r="152" spans="1:12" ht="17">
      <c r="A152" s="29"/>
      <c r="B152" s="18">
        <v>1</v>
      </c>
      <c r="C152" s="19"/>
      <c r="D152" s="20">
        <v>0</v>
      </c>
      <c r="E152" s="21">
        <v>1</v>
      </c>
      <c r="F152" s="20">
        <f>D152*E152</f>
        <v>0</v>
      </c>
      <c r="G152" s="21">
        <v>101</v>
      </c>
      <c r="H152" s="20">
        <f>F152*G152</f>
        <v>0</v>
      </c>
      <c r="I152" s="2"/>
      <c r="J152" s="17"/>
      <c r="K152" s="17"/>
      <c r="L152" s="17"/>
    </row>
    <row r="153" spans="1:12" ht="17">
      <c r="A153" s="29"/>
      <c r="B153" s="18">
        <v>2</v>
      </c>
      <c r="C153" s="19"/>
      <c r="D153" s="20">
        <v>0</v>
      </c>
      <c r="E153" s="21">
        <v>1</v>
      </c>
      <c r="F153" s="20">
        <f>D153*E153</f>
        <v>0</v>
      </c>
      <c r="G153" s="21">
        <v>102</v>
      </c>
      <c r="H153" s="20">
        <f>F153*G153</f>
        <v>0</v>
      </c>
      <c r="I153" s="2"/>
      <c r="J153" s="17"/>
      <c r="K153" s="17"/>
      <c r="L153" s="17"/>
    </row>
    <row r="154" spans="1:12" ht="17">
      <c r="A154" s="29"/>
      <c r="B154" s="18"/>
      <c r="C154" s="14" t="s">
        <v>122</v>
      </c>
      <c r="D154" s="20"/>
      <c r="E154" s="21"/>
      <c r="F154" s="20"/>
      <c r="G154" s="21"/>
      <c r="H154" s="25">
        <f>SUM(H152:H153)</f>
        <v>0</v>
      </c>
      <c r="I154" s="2"/>
      <c r="J154" s="17"/>
      <c r="K154" s="17"/>
      <c r="L154" s="17"/>
    </row>
    <row r="155" spans="1:12" ht="17">
      <c r="A155" s="29"/>
      <c r="B155" s="26"/>
      <c r="C155" s="14"/>
      <c r="D155" s="20"/>
      <c r="E155" s="21"/>
      <c r="F155" s="20"/>
      <c r="G155" s="21"/>
      <c r="H155" s="20"/>
      <c r="I155" s="2"/>
      <c r="J155" s="17"/>
      <c r="K155" s="17"/>
      <c r="L155" s="17"/>
    </row>
    <row r="156" spans="1:12" ht="17">
      <c r="A156" s="29"/>
      <c r="B156" s="26"/>
      <c r="C156" s="14" t="s">
        <v>123</v>
      </c>
      <c r="D156" s="20"/>
      <c r="E156" s="21"/>
      <c r="F156" s="20"/>
      <c r="G156" s="21"/>
      <c r="H156" s="20"/>
      <c r="I156" s="2"/>
      <c r="J156" s="17"/>
      <c r="K156" s="17"/>
      <c r="L156" s="17"/>
    </row>
    <row r="157" spans="1:12" ht="17">
      <c r="A157" s="29"/>
      <c r="B157" s="18">
        <v>1</v>
      </c>
      <c r="C157" s="19" t="s">
        <v>94</v>
      </c>
      <c r="D157" s="20">
        <v>1</v>
      </c>
      <c r="E157" s="21">
        <v>1</v>
      </c>
      <c r="F157" s="20">
        <f>D157*E157</f>
        <v>1</v>
      </c>
      <c r="G157" s="21">
        <v>25000</v>
      </c>
      <c r="H157" s="20">
        <f>F157*G157</f>
        <v>25000</v>
      </c>
      <c r="I157" s="2"/>
      <c r="J157" s="17"/>
      <c r="K157" s="17"/>
      <c r="L157" s="17"/>
    </row>
    <row r="158" spans="1:12" ht="17">
      <c r="A158" s="29"/>
      <c r="B158" s="18">
        <v>2</v>
      </c>
      <c r="C158" s="19" t="s">
        <v>95</v>
      </c>
      <c r="D158" s="20">
        <v>0</v>
      </c>
      <c r="E158" s="21">
        <v>1</v>
      </c>
      <c r="F158" s="20">
        <f t="shared" ref="F158:F160" si="13">D158*E158</f>
        <v>0</v>
      </c>
      <c r="G158" s="21">
        <v>102</v>
      </c>
      <c r="H158" s="20">
        <f t="shared" ref="H158:H160" si="14">F158*G158</f>
        <v>0</v>
      </c>
      <c r="I158" s="2"/>
      <c r="J158" s="17"/>
      <c r="K158" s="17"/>
      <c r="L158" s="17"/>
    </row>
    <row r="159" spans="1:12" ht="17">
      <c r="A159" s="29"/>
      <c r="B159" s="18">
        <v>3</v>
      </c>
      <c r="C159" s="19"/>
      <c r="D159" s="20">
        <v>0</v>
      </c>
      <c r="E159" s="21">
        <v>1</v>
      </c>
      <c r="F159" s="20">
        <f t="shared" si="13"/>
        <v>0</v>
      </c>
      <c r="G159" s="21">
        <v>103</v>
      </c>
      <c r="H159" s="20">
        <f t="shared" si="14"/>
        <v>0</v>
      </c>
      <c r="I159" s="2"/>
      <c r="J159" s="17"/>
      <c r="K159" s="17"/>
      <c r="L159" s="17"/>
    </row>
    <row r="160" spans="1:12" ht="17">
      <c r="A160" s="29"/>
      <c r="B160" s="18">
        <v>4</v>
      </c>
      <c r="C160" s="19"/>
      <c r="D160" s="20">
        <v>0</v>
      </c>
      <c r="E160" s="21">
        <v>1</v>
      </c>
      <c r="F160" s="20">
        <f t="shared" si="13"/>
        <v>0</v>
      </c>
      <c r="G160" s="21">
        <v>104</v>
      </c>
      <c r="H160" s="20">
        <f t="shared" si="14"/>
        <v>0</v>
      </c>
      <c r="I160" s="2"/>
      <c r="J160" s="17"/>
      <c r="K160" s="17"/>
      <c r="L160" s="17"/>
    </row>
    <row r="161" spans="1:12" ht="17">
      <c r="A161" s="29"/>
      <c r="B161" s="18">
        <v>5</v>
      </c>
      <c r="C161" s="19"/>
      <c r="D161" s="20">
        <v>0</v>
      </c>
      <c r="E161" s="21">
        <v>1</v>
      </c>
      <c r="F161" s="20">
        <f>D161*E161</f>
        <v>0</v>
      </c>
      <c r="G161" s="21">
        <v>102</v>
      </c>
      <c r="H161" s="20">
        <f>F161*G161</f>
        <v>0</v>
      </c>
      <c r="I161" s="2"/>
      <c r="J161" s="17"/>
      <c r="K161" s="17"/>
      <c r="L161" s="17"/>
    </row>
    <row r="162" spans="1:12" ht="17">
      <c r="A162" s="29"/>
      <c r="B162" s="18"/>
      <c r="C162" s="14" t="s">
        <v>124</v>
      </c>
      <c r="D162" s="20"/>
      <c r="E162" s="21"/>
      <c r="F162" s="20"/>
      <c r="G162" s="21"/>
      <c r="H162" s="25">
        <f>SUM(H157:H161)</f>
        <v>25000</v>
      </c>
      <c r="I162" s="2"/>
      <c r="J162" s="17"/>
      <c r="K162" s="17"/>
      <c r="L162" s="17"/>
    </row>
    <row r="163" spans="1:12" ht="17">
      <c r="A163" s="29"/>
      <c r="B163" s="26"/>
      <c r="C163" s="14"/>
      <c r="D163" s="20"/>
      <c r="E163" s="21"/>
      <c r="F163" s="20"/>
      <c r="G163" s="21"/>
      <c r="H163" s="20"/>
      <c r="I163" s="2"/>
      <c r="J163" s="17"/>
      <c r="K163" s="17"/>
      <c r="L163" s="17"/>
    </row>
    <row r="164" spans="1:12" ht="17">
      <c r="A164" s="29"/>
      <c r="B164" s="26"/>
      <c r="C164" s="14" t="s">
        <v>125</v>
      </c>
      <c r="D164" s="20"/>
      <c r="E164" s="21"/>
      <c r="F164" s="20"/>
      <c r="G164" s="21"/>
      <c r="H164" s="20"/>
      <c r="I164" s="2"/>
      <c r="J164" s="17"/>
      <c r="K164" s="17"/>
      <c r="L164" s="17"/>
    </row>
    <row r="165" spans="1:12" ht="17">
      <c r="A165" s="29"/>
      <c r="B165" s="18">
        <v>1</v>
      </c>
      <c r="C165" s="19" t="s">
        <v>98</v>
      </c>
      <c r="D165" s="20">
        <v>1</v>
      </c>
      <c r="E165" s="21">
        <v>1</v>
      </c>
      <c r="F165" s="20">
        <f>D165*E165</f>
        <v>1</v>
      </c>
      <c r="G165" s="21">
        <v>12507</v>
      </c>
      <c r="H165" s="20">
        <f>F165*G165</f>
        <v>12507</v>
      </c>
      <c r="I165" s="2"/>
      <c r="J165" s="17"/>
      <c r="K165" s="17"/>
      <c r="L165" s="17"/>
    </row>
    <row r="166" spans="1:12" ht="17">
      <c r="A166" s="29"/>
      <c r="B166" s="18">
        <v>2</v>
      </c>
      <c r="C166" s="19" t="s">
        <v>99</v>
      </c>
      <c r="D166" s="20">
        <v>1</v>
      </c>
      <c r="E166" s="21">
        <v>1</v>
      </c>
      <c r="F166" s="20">
        <f t="shared" ref="F166:F170" si="15">D166*E166</f>
        <v>1</v>
      </c>
      <c r="G166" s="21">
        <v>12507</v>
      </c>
      <c r="H166" s="20">
        <f t="shared" ref="H166:H170" si="16">F166*G166</f>
        <v>12507</v>
      </c>
      <c r="I166" s="2"/>
      <c r="J166" s="17"/>
      <c r="K166" s="17"/>
      <c r="L166" s="17"/>
    </row>
    <row r="167" spans="1:12" ht="17">
      <c r="A167" s="29"/>
      <c r="B167" s="18">
        <v>3</v>
      </c>
      <c r="C167" s="19" t="s">
        <v>65</v>
      </c>
      <c r="D167" s="20">
        <v>1</v>
      </c>
      <c r="E167" s="21">
        <v>1</v>
      </c>
      <c r="F167" s="20">
        <f t="shared" si="15"/>
        <v>1</v>
      </c>
      <c r="G167" s="21">
        <v>12507</v>
      </c>
      <c r="H167" s="20">
        <f t="shared" si="16"/>
        <v>12507</v>
      </c>
      <c r="I167" s="2"/>
      <c r="J167" s="17"/>
      <c r="K167" s="17"/>
      <c r="L167" s="17"/>
    </row>
    <row r="168" spans="1:12" ht="17">
      <c r="A168" s="29"/>
      <c r="B168" s="18">
        <v>4</v>
      </c>
      <c r="C168" s="19" t="s">
        <v>100</v>
      </c>
      <c r="D168" s="20">
        <v>1</v>
      </c>
      <c r="E168" s="21">
        <v>1</v>
      </c>
      <c r="F168" s="20">
        <f t="shared" si="15"/>
        <v>1</v>
      </c>
      <c r="G168" s="21">
        <v>12507</v>
      </c>
      <c r="H168" s="20">
        <f t="shared" si="16"/>
        <v>12507</v>
      </c>
      <c r="I168" s="2"/>
      <c r="J168" s="17"/>
      <c r="K168" s="17"/>
      <c r="L168" s="17"/>
    </row>
    <row r="169" spans="1:12" ht="17">
      <c r="A169" s="29"/>
      <c r="B169" s="18">
        <v>5</v>
      </c>
      <c r="C169" s="19" t="s">
        <v>101</v>
      </c>
      <c r="D169" s="20">
        <v>1</v>
      </c>
      <c r="E169" s="21">
        <v>1</v>
      </c>
      <c r="F169" s="20">
        <f t="shared" si="15"/>
        <v>1</v>
      </c>
      <c r="G169" s="21">
        <v>53846.153846153844</v>
      </c>
      <c r="H169" s="20">
        <f t="shared" si="16"/>
        <v>53846.153846153844</v>
      </c>
      <c r="I169" s="2"/>
      <c r="J169" s="17"/>
      <c r="K169" s="17"/>
      <c r="L169" s="17"/>
    </row>
    <row r="170" spans="1:12" ht="17">
      <c r="A170" s="29"/>
      <c r="B170" s="18">
        <v>6</v>
      </c>
      <c r="C170" s="19"/>
      <c r="D170" s="20">
        <v>0</v>
      </c>
      <c r="E170" s="21">
        <v>1</v>
      </c>
      <c r="F170" s="20">
        <f t="shared" si="15"/>
        <v>0</v>
      </c>
      <c r="G170" s="21">
        <v>106</v>
      </c>
      <c r="H170" s="20">
        <f t="shared" si="16"/>
        <v>0</v>
      </c>
      <c r="I170" s="2"/>
      <c r="J170" s="17"/>
      <c r="K170" s="17"/>
      <c r="L170" s="17"/>
    </row>
    <row r="171" spans="1:12" ht="17">
      <c r="A171" s="29"/>
      <c r="B171" s="18">
        <v>7</v>
      </c>
      <c r="C171" s="19"/>
      <c r="D171" s="20">
        <v>0</v>
      </c>
      <c r="E171" s="21">
        <v>1</v>
      </c>
      <c r="F171" s="20">
        <f>D171*E171</f>
        <v>0</v>
      </c>
      <c r="G171" s="21">
        <v>102</v>
      </c>
      <c r="H171" s="20">
        <f>F171*G171</f>
        <v>0</v>
      </c>
      <c r="I171" s="2"/>
      <c r="J171" s="17"/>
      <c r="K171" s="17"/>
      <c r="L171" s="17"/>
    </row>
    <row r="172" spans="1:12" ht="17">
      <c r="A172" s="29"/>
      <c r="B172" s="18"/>
      <c r="C172" s="14" t="s">
        <v>126</v>
      </c>
      <c r="D172" s="20"/>
      <c r="E172" s="21"/>
      <c r="F172" s="20"/>
      <c r="G172" s="21"/>
      <c r="H172" s="25">
        <f>SUM(H165:H171)</f>
        <v>103874.15384615384</v>
      </c>
      <c r="I172" s="2"/>
      <c r="J172" s="17"/>
      <c r="K172" s="17"/>
      <c r="L172" s="17"/>
    </row>
    <row r="173" spans="1:12" ht="17">
      <c r="A173" s="29"/>
      <c r="B173" s="18"/>
      <c r="C173" s="14"/>
      <c r="D173" s="20"/>
      <c r="E173" s="21"/>
      <c r="F173" s="20"/>
      <c r="G173" s="21"/>
      <c r="H173" s="25"/>
      <c r="I173" s="2"/>
      <c r="J173" s="17"/>
      <c r="K173" s="17"/>
      <c r="L173" s="17"/>
    </row>
    <row r="174" spans="1:12" ht="17">
      <c r="A174" s="29"/>
      <c r="B174" s="26"/>
      <c r="C174" s="14" t="s">
        <v>127</v>
      </c>
      <c r="D174" s="20"/>
      <c r="E174" s="21"/>
      <c r="F174" s="20"/>
      <c r="G174" s="21"/>
      <c r="H174" s="20"/>
      <c r="I174" s="2"/>
      <c r="J174" s="17"/>
      <c r="K174" s="17"/>
      <c r="L174" s="17"/>
    </row>
    <row r="175" spans="1:12" ht="17">
      <c r="A175" s="29"/>
      <c r="B175" s="18">
        <v>1</v>
      </c>
      <c r="C175" s="19" t="s">
        <v>104</v>
      </c>
      <c r="D175" s="20">
        <v>1</v>
      </c>
      <c r="E175" s="21">
        <v>1</v>
      </c>
      <c r="F175" s="20">
        <f>D175*E175</f>
        <v>1</v>
      </c>
      <c r="G175" s="21">
        <v>140000</v>
      </c>
      <c r="H175" s="20">
        <f>F175*G175</f>
        <v>140000</v>
      </c>
      <c r="I175" s="2"/>
      <c r="J175" s="17"/>
      <c r="K175" s="17"/>
      <c r="L175" s="17"/>
    </row>
    <row r="176" spans="1:12" ht="17">
      <c r="A176" s="29"/>
      <c r="B176" s="18">
        <v>2</v>
      </c>
      <c r="C176" s="19" t="s">
        <v>76</v>
      </c>
      <c r="D176" s="20">
        <v>1</v>
      </c>
      <c r="E176" s="21">
        <v>1</v>
      </c>
      <c r="F176" s="20">
        <f t="shared" ref="F176:F182" si="17">D176*E176</f>
        <v>1</v>
      </c>
      <c r="G176" s="21">
        <v>30770</v>
      </c>
      <c r="H176" s="20">
        <f t="shared" ref="H176:H182" si="18">F176*G176</f>
        <v>30770</v>
      </c>
      <c r="I176" s="2"/>
      <c r="J176" s="17"/>
      <c r="K176" s="17"/>
      <c r="L176" s="17"/>
    </row>
    <row r="177" spans="1:12" ht="17">
      <c r="A177" s="29"/>
      <c r="B177" s="18">
        <v>3</v>
      </c>
      <c r="C177" s="19" t="s">
        <v>105</v>
      </c>
      <c r="D177" s="20">
        <v>1</v>
      </c>
      <c r="E177" s="21">
        <v>1</v>
      </c>
      <c r="F177" s="20">
        <f t="shared" si="17"/>
        <v>1</v>
      </c>
      <c r="G177" s="21">
        <v>30770</v>
      </c>
      <c r="H177" s="20">
        <f t="shared" si="18"/>
        <v>30770</v>
      </c>
      <c r="I177" s="2"/>
      <c r="J177" s="17"/>
      <c r="K177" s="17"/>
      <c r="L177" s="17"/>
    </row>
    <row r="178" spans="1:12" ht="17">
      <c r="A178" s="29"/>
      <c r="B178" s="18">
        <v>4</v>
      </c>
      <c r="C178" s="19" t="s">
        <v>106</v>
      </c>
      <c r="D178" s="20">
        <v>1</v>
      </c>
      <c r="E178" s="21">
        <v>1</v>
      </c>
      <c r="F178" s="20">
        <f t="shared" si="17"/>
        <v>1</v>
      </c>
      <c r="G178" s="69">
        <v>240000</v>
      </c>
      <c r="H178" s="20">
        <f t="shared" si="18"/>
        <v>240000</v>
      </c>
      <c r="I178" s="2"/>
      <c r="J178" s="17"/>
      <c r="K178" s="17"/>
      <c r="L178" s="17"/>
    </row>
    <row r="179" spans="1:12" ht="17">
      <c r="A179" s="29"/>
      <c r="B179" s="18">
        <v>5</v>
      </c>
      <c r="C179" s="19" t="s">
        <v>107</v>
      </c>
      <c r="D179" s="20">
        <v>0</v>
      </c>
      <c r="E179" s="21">
        <v>1</v>
      </c>
      <c r="F179" s="20">
        <f t="shared" si="17"/>
        <v>0</v>
      </c>
      <c r="G179" s="21">
        <v>106</v>
      </c>
      <c r="H179" s="20">
        <f t="shared" si="18"/>
        <v>0</v>
      </c>
      <c r="I179" s="2"/>
      <c r="J179" s="17"/>
      <c r="K179" s="17"/>
      <c r="L179" s="17"/>
    </row>
    <row r="180" spans="1:12" ht="17">
      <c r="A180" s="29"/>
      <c r="B180" s="18">
        <v>6</v>
      </c>
      <c r="C180" s="19" t="s">
        <v>108</v>
      </c>
      <c r="D180" s="20">
        <v>0</v>
      </c>
      <c r="E180" s="21">
        <v>1</v>
      </c>
      <c r="F180" s="20">
        <f t="shared" si="17"/>
        <v>0</v>
      </c>
      <c r="G180" s="21">
        <v>107</v>
      </c>
      <c r="H180" s="20">
        <f t="shared" si="18"/>
        <v>0</v>
      </c>
      <c r="I180" s="2"/>
      <c r="J180" s="17"/>
      <c r="K180" s="17"/>
      <c r="L180" s="17"/>
    </row>
    <row r="181" spans="1:12" ht="17">
      <c r="A181" s="29"/>
      <c r="B181" s="18">
        <v>7</v>
      </c>
      <c r="C181" s="19" t="s">
        <v>109</v>
      </c>
      <c r="D181" s="20">
        <v>0</v>
      </c>
      <c r="E181" s="21">
        <v>1</v>
      </c>
      <c r="F181" s="20">
        <f t="shared" si="17"/>
        <v>0</v>
      </c>
      <c r="G181" s="21">
        <v>108</v>
      </c>
      <c r="H181" s="20">
        <f t="shared" si="18"/>
        <v>0</v>
      </c>
      <c r="I181" s="2"/>
      <c r="J181" s="17"/>
      <c r="K181" s="17"/>
      <c r="L181" s="17"/>
    </row>
    <row r="182" spans="1:12" ht="17">
      <c r="A182" s="29"/>
      <c r="B182" s="18">
        <v>8</v>
      </c>
      <c r="C182" s="19"/>
      <c r="D182" s="20">
        <v>0</v>
      </c>
      <c r="E182" s="21">
        <v>1</v>
      </c>
      <c r="F182" s="20">
        <f t="shared" si="17"/>
        <v>0</v>
      </c>
      <c r="G182" s="21">
        <v>107</v>
      </c>
      <c r="H182" s="20">
        <f t="shared" si="18"/>
        <v>0</v>
      </c>
      <c r="I182" s="2"/>
      <c r="J182" s="17"/>
      <c r="K182" s="17"/>
      <c r="L182" s="17"/>
    </row>
    <row r="183" spans="1:12" ht="17">
      <c r="A183" s="29"/>
      <c r="B183" s="18">
        <v>9</v>
      </c>
      <c r="C183" s="19"/>
      <c r="D183" s="20">
        <v>0</v>
      </c>
      <c r="E183" s="21">
        <v>1</v>
      </c>
      <c r="F183" s="20">
        <f>D183*E183</f>
        <v>0</v>
      </c>
      <c r="G183" s="21">
        <v>102</v>
      </c>
      <c r="H183" s="20">
        <f>F183*G183</f>
        <v>0</v>
      </c>
      <c r="I183" s="2"/>
      <c r="J183" s="17"/>
      <c r="K183" s="17"/>
      <c r="L183" s="17"/>
    </row>
    <row r="184" spans="1:12" ht="17">
      <c r="A184" s="29"/>
      <c r="B184" s="18"/>
      <c r="C184" s="14" t="s">
        <v>128</v>
      </c>
      <c r="D184" s="20"/>
      <c r="E184" s="21"/>
      <c r="F184" s="20"/>
      <c r="G184" s="21"/>
      <c r="H184" s="25">
        <f>SUM(H175:H183)</f>
        <v>441540</v>
      </c>
      <c r="I184" s="2"/>
      <c r="J184" s="17"/>
      <c r="K184" s="17"/>
      <c r="L184" s="17"/>
    </row>
    <row r="185" spans="1:12" ht="17">
      <c r="A185" s="29"/>
      <c r="B185" s="18"/>
      <c r="C185" s="14"/>
      <c r="D185" s="20"/>
      <c r="E185" s="21"/>
      <c r="F185" s="20"/>
      <c r="G185" s="21"/>
      <c r="H185" s="25"/>
      <c r="I185" s="2"/>
      <c r="J185" s="17"/>
      <c r="K185" s="17"/>
      <c r="L185" s="17"/>
    </row>
    <row r="186" spans="1:12" ht="17">
      <c r="A186" s="29"/>
      <c r="B186" s="26"/>
      <c r="C186" s="14" t="s">
        <v>129</v>
      </c>
      <c r="D186" s="20"/>
      <c r="E186" s="21"/>
      <c r="F186" s="20"/>
      <c r="G186" s="21"/>
      <c r="H186" s="25">
        <f>H134+H139+H144+H149+H154+H162+H172+H184</f>
        <v>570414.15384615387</v>
      </c>
      <c r="I186" s="2"/>
      <c r="J186" s="17"/>
      <c r="K186" s="17"/>
      <c r="L186" s="17"/>
    </row>
    <row r="187" spans="1:12" ht="17">
      <c r="A187" s="29"/>
      <c r="B187" s="26"/>
      <c r="C187" s="14"/>
      <c r="D187" s="20"/>
      <c r="E187" s="21"/>
      <c r="F187" s="20"/>
      <c r="G187" s="21"/>
      <c r="H187" s="20"/>
      <c r="I187" s="2"/>
      <c r="J187" s="17"/>
      <c r="K187" s="17"/>
      <c r="L187" s="17"/>
    </row>
    <row r="188" spans="1:12" ht="52">
      <c r="A188" s="181"/>
      <c r="B188" s="13" t="s">
        <v>130</v>
      </c>
      <c r="C188" s="14" t="s">
        <v>131</v>
      </c>
      <c r="D188" s="20"/>
      <c r="E188" s="21"/>
      <c r="F188" s="20"/>
      <c r="G188" s="21"/>
      <c r="H188" s="20"/>
      <c r="I188" s="2"/>
      <c r="J188" s="17"/>
      <c r="K188" s="17"/>
      <c r="L188" s="17"/>
    </row>
    <row r="189" spans="1:12">
      <c r="A189" s="181"/>
      <c r="B189" s="18">
        <v>1</v>
      </c>
      <c r="C189" s="19"/>
      <c r="D189" s="20">
        <v>0</v>
      </c>
      <c r="E189" s="21">
        <v>1</v>
      </c>
      <c r="F189" s="20">
        <f>D189*E189</f>
        <v>0</v>
      </c>
      <c r="G189" s="21">
        <v>101</v>
      </c>
      <c r="H189" s="20">
        <f>F189*G189</f>
        <v>0</v>
      </c>
      <c r="I189" s="2"/>
      <c r="J189" s="17"/>
      <c r="K189" s="17"/>
      <c r="L189" s="17"/>
    </row>
    <row r="190" spans="1:12" ht="17">
      <c r="A190" s="71"/>
      <c r="B190" s="18">
        <v>2</v>
      </c>
      <c r="C190" s="19"/>
      <c r="D190" s="20">
        <v>0</v>
      </c>
      <c r="E190" s="21">
        <v>1</v>
      </c>
      <c r="F190" s="20">
        <f>D190*E190</f>
        <v>0</v>
      </c>
      <c r="G190" s="21">
        <v>102</v>
      </c>
      <c r="H190" s="20">
        <f>F190*G190</f>
        <v>0</v>
      </c>
      <c r="I190" s="2"/>
      <c r="J190" s="17"/>
      <c r="K190" s="17"/>
      <c r="L190" s="17"/>
    </row>
    <row r="191" spans="1:12" ht="17">
      <c r="A191" s="71"/>
      <c r="B191" s="18"/>
      <c r="C191" s="14" t="s">
        <v>132</v>
      </c>
      <c r="D191" s="20"/>
      <c r="E191" s="21"/>
      <c r="F191" s="20"/>
      <c r="G191" s="21"/>
      <c r="H191" s="25">
        <f>SUM(H189:H190)</f>
        <v>0</v>
      </c>
      <c r="I191" s="2"/>
      <c r="J191" s="17"/>
      <c r="K191" s="17"/>
      <c r="L191" s="17"/>
    </row>
    <row r="192" spans="1:12" ht="17">
      <c r="A192" s="71"/>
      <c r="B192" s="13"/>
      <c r="C192" s="14"/>
      <c r="D192" s="20"/>
      <c r="E192" s="21"/>
      <c r="F192" s="20"/>
      <c r="G192" s="21"/>
      <c r="H192" s="20"/>
      <c r="I192" s="2"/>
      <c r="J192" s="17"/>
      <c r="K192" s="17"/>
      <c r="L192" s="17"/>
    </row>
    <row r="193" spans="1:12" ht="17">
      <c r="A193" s="29"/>
      <c r="B193" s="26"/>
      <c r="C193" s="14" t="s">
        <v>133</v>
      </c>
      <c r="D193" s="20"/>
      <c r="E193" s="21"/>
      <c r="F193" s="20"/>
      <c r="G193" s="21"/>
      <c r="H193" s="20"/>
      <c r="I193" s="2"/>
      <c r="J193" s="17"/>
      <c r="K193" s="17"/>
      <c r="L193" s="17"/>
    </row>
    <row r="194" spans="1:12" ht="17">
      <c r="A194" s="29"/>
      <c r="B194" s="18">
        <v>1</v>
      </c>
      <c r="C194" s="19"/>
      <c r="D194" s="20">
        <v>0</v>
      </c>
      <c r="E194" s="21">
        <v>1</v>
      </c>
      <c r="F194" s="20">
        <f>D194*E194</f>
        <v>0</v>
      </c>
      <c r="G194" s="21">
        <v>101</v>
      </c>
      <c r="H194" s="20">
        <f>F194*G194</f>
        <v>0</v>
      </c>
      <c r="I194" s="2"/>
      <c r="J194" s="17"/>
      <c r="K194" s="17"/>
      <c r="L194" s="17"/>
    </row>
    <row r="195" spans="1:12" ht="17">
      <c r="A195" s="29"/>
      <c r="B195" s="18">
        <v>2</v>
      </c>
      <c r="C195" s="19"/>
      <c r="D195" s="20">
        <v>0</v>
      </c>
      <c r="E195" s="21">
        <v>1</v>
      </c>
      <c r="F195" s="20">
        <f>D195*E195</f>
        <v>0</v>
      </c>
      <c r="G195" s="21">
        <v>102</v>
      </c>
      <c r="H195" s="20">
        <f>F195*G195</f>
        <v>0</v>
      </c>
      <c r="I195" s="2"/>
      <c r="J195" s="17"/>
      <c r="K195" s="17"/>
      <c r="L195" s="17"/>
    </row>
    <row r="196" spans="1:12" ht="17">
      <c r="A196" s="29"/>
      <c r="B196" s="18"/>
      <c r="C196" s="14" t="s">
        <v>134</v>
      </c>
      <c r="D196" s="20"/>
      <c r="E196" s="21"/>
      <c r="F196" s="20"/>
      <c r="G196" s="21"/>
      <c r="H196" s="25">
        <f>SUM(H194:H195)</f>
        <v>0</v>
      </c>
      <c r="I196" s="2"/>
      <c r="J196" s="17"/>
      <c r="K196" s="17"/>
      <c r="L196" s="17"/>
    </row>
    <row r="197" spans="1:12" ht="17">
      <c r="A197" s="29"/>
      <c r="B197" s="26"/>
      <c r="C197" s="14"/>
      <c r="D197" s="20"/>
      <c r="E197" s="21"/>
      <c r="F197" s="20"/>
      <c r="G197" s="21"/>
      <c r="H197" s="20"/>
      <c r="I197" s="2"/>
      <c r="J197" s="17"/>
      <c r="K197" s="17"/>
      <c r="L197" s="17"/>
    </row>
    <row r="198" spans="1:12" ht="17">
      <c r="A198" s="29"/>
      <c r="B198" s="26"/>
      <c r="C198" s="14" t="s">
        <v>135</v>
      </c>
      <c r="D198" s="20"/>
      <c r="E198" s="21"/>
      <c r="F198" s="20"/>
      <c r="G198" s="21"/>
      <c r="H198" s="20"/>
      <c r="I198" s="2"/>
      <c r="J198" s="17"/>
      <c r="K198" s="17"/>
      <c r="L198" s="17"/>
    </row>
    <row r="199" spans="1:12" ht="17">
      <c r="A199" s="29"/>
      <c r="B199" s="18">
        <v>1</v>
      </c>
      <c r="C199" s="19"/>
      <c r="D199" s="20">
        <v>0</v>
      </c>
      <c r="E199" s="21">
        <v>1</v>
      </c>
      <c r="F199" s="20">
        <f>D199*E199</f>
        <v>0</v>
      </c>
      <c r="G199" s="21">
        <v>101</v>
      </c>
      <c r="H199" s="20">
        <f>F199*G199</f>
        <v>0</v>
      </c>
      <c r="I199" s="2"/>
      <c r="J199" s="17"/>
      <c r="K199" s="17"/>
      <c r="L199" s="17"/>
    </row>
    <row r="200" spans="1:12" ht="17">
      <c r="A200" s="29"/>
      <c r="B200" s="18">
        <v>2</v>
      </c>
      <c r="C200" s="19"/>
      <c r="D200" s="20">
        <v>0</v>
      </c>
      <c r="E200" s="21">
        <v>1</v>
      </c>
      <c r="F200" s="20">
        <f>D200*E200</f>
        <v>0</v>
      </c>
      <c r="G200" s="21">
        <v>102</v>
      </c>
      <c r="H200" s="20">
        <f>F200*G200</f>
        <v>0</v>
      </c>
      <c r="I200" s="2"/>
      <c r="J200" s="17"/>
      <c r="K200" s="17"/>
      <c r="L200" s="17"/>
    </row>
    <row r="201" spans="1:12" ht="17">
      <c r="A201" s="29"/>
      <c r="B201" s="18"/>
      <c r="C201" s="14" t="s">
        <v>136</v>
      </c>
      <c r="D201" s="20"/>
      <c r="E201" s="21"/>
      <c r="F201" s="20"/>
      <c r="G201" s="21"/>
      <c r="H201" s="25">
        <f>SUM(H199:H200)</f>
        <v>0</v>
      </c>
      <c r="I201" s="2"/>
      <c r="J201" s="17"/>
      <c r="K201" s="17"/>
      <c r="L201" s="17"/>
    </row>
    <row r="202" spans="1:12" ht="17">
      <c r="A202" s="29"/>
      <c r="B202" s="26"/>
      <c r="C202" s="14"/>
      <c r="D202" s="20"/>
      <c r="E202" s="21"/>
      <c r="F202" s="20"/>
      <c r="G202" s="21"/>
      <c r="H202" s="20"/>
      <c r="I202" s="2"/>
      <c r="J202" s="17"/>
      <c r="K202" s="17"/>
      <c r="L202" s="17"/>
    </row>
    <row r="203" spans="1:12" ht="17">
      <c r="A203" s="29"/>
      <c r="B203" s="26"/>
      <c r="C203" s="14" t="s">
        <v>137</v>
      </c>
      <c r="D203" s="20"/>
      <c r="E203" s="21"/>
      <c r="F203" s="20"/>
      <c r="G203" s="21"/>
      <c r="H203" s="20"/>
      <c r="I203" s="2"/>
      <c r="J203" s="17"/>
      <c r="K203" s="17"/>
      <c r="L203" s="17"/>
    </row>
    <row r="204" spans="1:12" ht="17">
      <c r="A204" s="29"/>
      <c r="B204" s="18">
        <v>1</v>
      </c>
      <c r="C204" s="19"/>
      <c r="D204" s="20">
        <v>0</v>
      </c>
      <c r="E204" s="21">
        <v>1</v>
      </c>
      <c r="F204" s="20">
        <f>D204*E204</f>
        <v>0</v>
      </c>
      <c r="G204" s="21">
        <v>101</v>
      </c>
      <c r="H204" s="20">
        <f>F204*G204</f>
        <v>0</v>
      </c>
      <c r="I204" s="2"/>
      <c r="J204" s="17"/>
      <c r="K204" s="17"/>
      <c r="L204" s="17"/>
    </row>
    <row r="205" spans="1:12" ht="17">
      <c r="A205" s="29"/>
      <c r="B205" s="18">
        <v>2</v>
      </c>
      <c r="C205" s="19"/>
      <c r="D205" s="20">
        <v>0</v>
      </c>
      <c r="E205" s="21">
        <v>1</v>
      </c>
      <c r="F205" s="20">
        <f>D205*E205</f>
        <v>0</v>
      </c>
      <c r="G205" s="21">
        <v>102</v>
      </c>
      <c r="H205" s="20">
        <f>F205*G205</f>
        <v>0</v>
      </c>
      <c r="I205" s="2"/>
      <c r="J205" s="17"/>
      <c r="K205" s="17"/>
      <c r="L205" s="17"/>
    </row>
    <row r="206" spans="1:12" ht="17">
      <c r="A206" s="29"/>
      <c r="B206" s="18"/>
      <c r="C206" s="14" t="s">
        <v>138</v>
      </c>
      <c r="D206" s="20"/>
      <c r="E206" s="21"/>
      <c r="F206" s="20"/>
      <c r="G206" s="21"/>
      <c r="H206" s="25">
        <f>SUM(H204:H205)</f>
        <v>0</v>
      </c>
      <c r="I206" s="2"/>
      <c r="J206" s="17"/>
      <c r="K206" s="17"/>
      <c r="L206" s="17"/>
    </row>
    <row r="207" spans="1:12" ht="17">
      <c r="A207" s="29"/>
      <c r="B207" s="26"/>
      <c r="C207" s="14"/>
      <c r="D207" s="20"/>
      <c r="E207" s="21"/>
      <c r="F207" s="20"/>
      <c r="G207" s="21"/>
      <c r="H207" s="20"/>
      <c r="I207" s="2"/>
      <c r="J207" s="17"/>
      <c r="K207" s="17"/>
      <c r="L207" s="17"/>
    </row>
    <row r="208" spans="1:12" ht="17">
      <c r="A208" s="29"/>
      <c r="B208" s="26"/>
      <c r="C208" s="14" t="s">
        <v>139</v>
      </c>
      <c r="D208" s="20"/>
      <c r="E208" s="21"/>
      <c r="F208" s="20"/>
      <c r="G208" s="21"/>
      <c r="H208" s="20"/>
      <c r="I208" s="2"/>
      <c r="J208" s="17"/>
      <c r="K208" s="17"/>
      <c r="L208" s="17"/>
    </row>
    <row r="209" spans="1:12" ht="17">
      <c r="A209" s="29"/>
      <c r="B209" s="18">
        <v>1</v>
      </c>
      <c r="C209" s="19"/>
      <c r="D209" s="20">
        <v>0</v>
      </c>
      <c r="E209" s="21">
        <v>1</v>
      </c>
      <c r="F209" s="20">
        <f>D209*E209</f>
        <v>0</v>
      </c>
      <c r="G209" s="21">
        <v>101</v>
      </c>
      <c r="H209" s="20">
        <f>F209*G209</f>
        <v>0</v>
      </c>
      <c r="I209" s="2"/>
      <c r="J209" s="17"/>
      <c r="K209" s="17"/>
      <c r="L209" s="17"/>
    </row>
    <row r="210" spans="1:12" ht="17">
      <c r="A210" s="29"/>
      <c r="B210" s="18">
        <v>2</v>
      </c>
      <c r="C210" s="19"/>
      <c r="D210" s="20">
        <v>0</v>
      </c>
      <c r="E210" s="21">
        <v>1</v>
      </c>
      <c r="F210" s="20">
        <f>D210*E210</f>
        <v>0</v>
      </c>
      <c r="G210" s="21">
        <v>102</v>
      </c>
      <c r="H210" s="20">
        <f>F210*G210</f>
        <v>0</v>
      </c>
      <c r="I210" s="2"/>
      <c r="J210" s="17"/>
      <c r="K210" s="17"/>
      <c r="L210" s="17"/>
    </row>
    <row r="211" spans="1:12" ht="17">
      <c r="A211" s="29"/>
      <c r="B211" s="18"/>
      <c r="C211" s="14" t="s">
        <v>140</v>
      </c>
      <c r="D211" s="20"/>
      <c r="E211" s="21"/>
      <c r="F211" s="20"/>
      <c r="G211" s="21"/>
      <c r="H211" s="25">
        <f>SUM(H209:H210)</f>
        <v>0</v>
      </c>
      <c r="I211" s="2"/>
      <c r="J211" s="17"/>
      <c r="K211" s="17"/>
      <c r="L211" s="17"/>
    </row>
    <row r="212" spans="1:12" ht="17">
      <c r="A212" s="29"/>
      <c r="B212" s="26"/>
      <c r="C212" s="14"/>
      <c r="D212" s="20"/>
      <c r="E212" s="21"/>
      <c r="F212" s="20"/>
      <c r="G212" s="21"/>
      <c r="H212" s="20"/>
      <c r="I212" s="2"/>
      <c r="J212" s="17"/>
      <c r="K212" s="17"/>
      <c r="L212" s="17"/>
    </row>
    <row r="213" spans="1:12" ht="17">
      <c r="A213" s="29"/>
      <c r="B213" s="26"/>
      <c r="C213" s="14" t="s">
        <v>141</v>
      </c>
      <c r="D213" s="20"/>
      <c r="E213" s="21"/>
      <c r="F213" s="20"/>
      <c r="G213" s="21"/>
      <c r="H213" s="20"/>
      <c r="I213" s="2"/>
      <c r="J213" s="17"/>
      <c r="K213" s="17"/>
      <c r="L213" s="17"/>
    </row>
    <row r="214" spans="1:12" ht="17">
      <c r="A214" s="29"/>
      <c r="B214" s="18">
        <v>1</v>
      </c>
      <c r="C214" s="19" t="s">
        <v>94</v>
      </c>
      <c r="D214" s="20">
        <v>1</v>
      </c>
      <c r="E214" s="21">
        <v>1</v>
      </c>
      <c r="F214" s="20">
        <f>D214*E214</f>
        <v>1</v>
      </c>
      <c r="G214" s="21">
        <v>50000</v>
      </c>
      <c r="H214" s="20">
        <f>F214*G214</f>
        <v>50000</v>
      </c>
      <c r="I214" s="2"/>
      <c r="J214" s="17"/>
      <c r="K214" s="17"/>
      <c r="L214" s="17"/>
    </row>
    <row r="215" spans="1:12" ht="17">
      <c r="A215" s="29"/>
      <c r="B215" s="18">
        <v>2</v>
      </c>
      <c r="C215" s="19" t="s">
        <v>95</v>
      </c>
      <c r="D215" s="20">
        <v>0</v>
      </c>
      <c r="E215" s="21">
        <v>1</v>
      </c>
      <c r="F215" s="20">
        <f t="shared" ref="F215:F217" si="19">D215*E215</f>
        <v>0</v>
      </c>
      <c r="G215" s="21">
        <v>102</v>
      </c>
      <c r="H215" s="20">
        <f t="shared" ref="H215:H217" si="20">F215*G215</f>
        <v>0</v>
      </c>
      <c r="I215" s="2"/>
      <c r="J215" s="17"/>
      <c r="K215" s="17"/>
      <c r="L215" s="17"/>
    </row>
    <row r="216" spans="1:12" ht="17">
      <c r="A216" s="29"/>
      <c r="B216" s="18">
        <v>3</v>
      </c>
      <c r="C216" s="19"/>
      <c r="D216" s="20">
        <v>0</v>
      </c>
      <c r="E216" s="21">
        <v>1</v>
      </c>
      <c r="F216" s="20">
        <f t="shared" si="19"/>
        <v>0</v>
      </c>
      <c r="G216" s="21">
        <v>103</v>
      </c>
      <c r="H216" s="20">
        <f t="shared" si="20"/>
        <v>0</v>
      </c>
      <c r="I216" s="2"/>
      <c r="J216" s="17"/>
      <c r="K216" s="17"/>
      <c r="L216" s="17"/>
    </row>
    <row r="217" spans="1:12" ht="17">
      <c r="A217" s="29"/>
      <c r="B217" s="18">
        <v>4</v>
      </c>
      <c r="C217" s="19"/>
      <c r="D217" s="20">
        <v>0</v>
      </c>
      <c r="E217" s="21">
        <v>1</v>
      </c>
      <c r="F217" s="20">
        <f t="shared" si="19"/>
        <v>0</v>
      </c>
      <c r="G217" s="21">
        <v>104</v>
      </c>
      <c r="H217" s="20">
        <f t="shared" si="20"/>
        <v>0</v>
      </c>
      <c r="I217" s="2"/>
      <c r="J217" s="17"/>
      <c r="K217" s="17"/>
      <c r="L217" s="17"/>
    </row>
    <row r="218" spans="1:12" ht="17">
      <c r="A218" s="29"/>
      <c r="B218" s="18">
        <v>5</v>
      </c>
      <c r="C218" s="19"/>
      <c r="D218" s="20">
        <v>0</v>
      </c>
      <c r="E218" s="21">
        <v>1</v>
      </c>
      <c r="F218" s="20">
        <f>D218*E218</f>
        <v>0</v>
      </c>
      <c r="G218" s="21">
        <v>102</v>
      </c>
      <c r="H218" s="20">
        <f>F218*G218</f>
        <v>0</v>
      </c>
      <c r="I218" s="2"/>
      <c r="J218" s="17"/>
      <c r="K218" s="17"/>
      <c r="L218" s="17"/>
    </row>
    <row r="219" spans="1:12" ht="17">
      <c r="A219" s="29"/>
      <c r="B219" s="18"/>
      <c r="C219" s="14" t="s">
        <v>142</v>
      </c>
      <c r="D219" s="20"/>
      <c r="E219" s="21"/>
      <c r="F219" s="20"/>
      <c r="G219" s="21"/>
      <c r="H219" s="25">
        <f>SUM(H214:H218)</f>
        <v>50000</v>
      </c>
      <c r="I219" s="2"/>
      <c r="J219" s="17"/>
      <c r="K219" s="17"/>
      <c r="L219" s="17"/>
    </row>
    <row r="220" spans="1:12" ht="17">
      <c r="A220" s="29"/>
      <c r="B220" s="26"/>
      <c r="C220" s="14"/>
      <c r="D220" s="20"/>
      <c r="E220" s="21"/>
      <c r="F220" s="20"/>
      <c r="G220" s="21"/>
      <c r="H220" s="20"/>
      <c r="I220" s="2"/>
      <c r="J220" s="17"/>
      <c r="K220" s="17"/>
      <c r="L220" s="17"/>
    </row>
    <row r="221" spans="1:12" ht="17">
      <c r="A221" s="29"/>
      <c r="B221" s="26"/>
      <c r="C221" s="14" t="s">
        <v>143</v>
      </c>
      <c r="D221" s="20"/>
      <c r="E221" s="21"/>
      <c r="F221" s="20"/>
      <c r="G221" s="21"/>
      <c r="H221" s="20"/>
      <c r="I221" s="2"/>
      <c r="J221" s="17"/>
      <c r="K221" s="17"/>
      <c r="L221" s="17"/>
    </row>
    <row r="222" spans="1:12" ht="17">
      <c r="A222" s="29"/>
      <c r="B222" s="18">
        <v>1</v>
      </c>
      <c r="C222" s="19" t="s">
        <v>98</v>
      </c>
      <c r="D222" s="20">
        <v>5</v>
      </c>
      <c r="E222" s="21">
        <v>1</v>
      </c>
      <c r="F222" s="20">
        <f>D222*E222</f>
        <v>5</v>
      </c>
      <c r="G222" s="21">
        <v>12507</v>
      </c>
      <c r="H222" s="20">
        <f>F222*G222</f>
        <v>62535</v>
      </c>
      <c r="I222" s="2"/>
      <c r="J222" s="17"/>
      <c r="K222" s="17"/>
      <c r="L222" s="17"/>
    </row>
    <row r="223" spans="1:12" ht="17">
      <c r="A223" s="29"/>
      <c r="B223" s="18">
        <v>2</v>
      </c>
      <c r="C223" s="19" t="s">
        <v>99</v>
      </c>
      <c r="D223" s="20">
        <v>5</v>
      </c>
      <c r="E223" s="21">
        <v>1</v>
      </c>
      <c r="F223" s="20">
        <f t="shared" ref="F223:F227" si="21">D223*E223</f>
        <v>5</v>
      </c>
      <c r="G223" s="21">
        <v>12507</v>
      </c>
      <c r="H223" s="20">
        <f t="shared" ref="H223:H227" si="22">F223*G223</f>
        <v>62535</v>
      </c>
      <c r="I223" s="2"/>
      <c r="J223" s="17"/>
      <c r="K223" s="17"/>
      <c r="L223" s="17"/>
    </row>
    <row r="224" spans="1:12" ht="17">
      <c r="A224" s="29"/>
      <c r="B224" s="18">
        <v>3</v>
      </c>
      <c r="C224" s="19" t="s">
        <v>65</v>
      </c>
      <c r="D224" s="20">
        <v>5</v>
      </c>
      <c r="E224" s="21">
        <v>1</v>
      </c>
      <c r="F224" s="20">
        <f t="shared" si="21"/>
        <v>5</v>
      </c>
      <c r="G224" s="21">
        <v>12507</v>
      </c>
      <c r="H224" s="20">
        <f t="shared" si="22"/>
        <v>62535</v>
      </c>
      <c r="I224" s="2"/>
      <c r="J224" s="17"/>
      <c r="K224" s="17"/>
      <c r="L224" s="17"/>
    </row>
    <row r="225" spans="1:12" ht="17">
      <c r="A225" s="29"/>
      <c r="B225" s="18">
        <v>4</v>
      </c>
      <c r="C225" s="19" t="s">
        <v>100</v>
      </c>
      <c r="D225" s="20">
        <v>5</v>
      </c>
      <c r="E225" s="21">
        <v>1</v>
      </c>
      <c r="F225" s="20">
        <f t="shared" si="21"/>
        <v>5</v>
      </c>
      <c r="G225" s="21">
        <v>12507</v>
      </c>
      <c r="H225" s="20">
        <f t="shared" si="22"/>
        <v>62535</v>
      </c>
      <c r="I225" s="2"/>
      <c r="J225" s="17"/>
      <c r="K225" s="17"/>
      <c r="L225" s="17"/>
    </row>
    <row r="226" spans="1:12" ht="17">
      <c r="A226" s="29"/>
      <c r="B226" s="18">
        <v>5</v>
      </c>
      <c r="C226" s="19" t="s">
        <v>101</v>
      </c>
      <c r="D226" s="20">
        <v>1</v>
      </c>
      <c r="E226" s="21">
        <v>1</v>
      </c>
      <c r="F226" s="20">
        <f t="shared" si="21"/>
        <v>1</v>
      </c>
      <c r="G226" s="21">
        <v>53846.153846153844</v>
      </c>
      <c r="H226" s="20">
        <f t="shared" si="22"/>
        <v>53846.153846153844</v>
      </c>
      <c r="I226" s="2"/>
      <c r="J226" s="17"/>
      <c r="K226" s="17"/>
      <c r="L226" s="17"/>
    </row>
    <row r="227" spans="1:12" ht="17">
      <c r="A227" s="29"/>
      <c r="B227" s="18">
        <v>6</v>
      </c>
      <c r="C227" s="19"/>
      <c r="D227" s="20">
        <v>0</v>
      </c>
      <c r="E227" s="21">
        <v>1</v>
      </c>
      <c r="F227" s="20">
        <f t="shared" si="21"/>
        <v>0</v>
      </c>
      <c r="G227" s="21">
        <v>106</v>
      </c>
      <c r="H227" s="20">
        <f t="shared" si="22"/>
        <v>0</v>
      </c>
      <c r="I227" s="2"/>
      <c r="J227" s="17"/>
      <c r="K227" s="17"/>
      <c r="L227" s="17"/>
    </row>
    <row r="228" spans="1:12" ht="17">
      <c r="A228" s="29"/>
      <c r="B228" s="18">
        <v>7</v>
      </c>
      <c r="C228" s="19"/>
      <c r="D228" s="90">
        <v>0</v>
      </c>
      <c r="E228" s="91">
        <v>1</v>
      </c>
      <c r="F228" s="90">
        <f>D228*E228</f>
        <v>0</v>
      </c>
      <c r="G228" s="91">
        <v>102</v>
      </c>
      <c r="H228" s="90">
        <f>F228*G228</f>
        <v>0</v>
      </c>
      <c r="I228" s="2"/>
      <c r="J228" s="17"/>
      <c r="K228" s="17"/>
      <c r="L228" s="17"/>
    </row>
    <row r="229" spans="1:12" ht="17">
      <c r="A229" s="29"/>
      <c r="B229" s="18"/>
      <c r="C229" s="14" t="s">
        <v>144</v>
      </c>
      <c r="D229" s="20"/>
      <c r="E229" s="21"/>
      <c r="F229" s="20"/>
      <c r="G229" s="21"/>
      <c r="H229" s="25">
        <f>SUM(H222:H228)</f>
        <v>303986.15384615387</v>
      </c>
      <c r="I229" s="2"/>
      <c r="J229" s="17"/>
      <c r="K229" s="17"/>
      <c r="L229" s="17"/>
    </row>
    <row r="230" spans="1:12" ht="17">
      <c r="A230" s="29"/>
      <c r="B230" s="18"/>
      <c r="C230" s="14"/>
      <c r="D230" s="20"/>
      <c r="E230" s="21"/>
      <c r="F230" s="20"/>
      <c r="G230" s="21"/>
      <c r="H230" s="25"/>
      <c r="I230" s="2"/>
      <c r="J230" s="17"/>
      <c r="K230" s="17"/>
      <c r="L230" s="17"/>
    </row>
    <row r="231" spans="1:12" ht="17">
      <c r="A231" s="29"/>
      <c r="B231" s="26"/>
      <c r="C231" s="14" t="s">
        <v>145</v>
      </c>
      <c r="D231" s="20"/>
      <c r="E231" s="21"/>
      <c r="F231" s="20"/>
      <c r="G231" s="21"/>
      <c r="H231" s="20"/>
      <c r="I231" s="2"/>
      <c r="J231" s="17"/>
      <c r="K231" s="17"/>
      <c r="L231" s="17"/>
    </row>
    <row r="232" spans="1:12" ht="17">
      <c r="A232" s="29"/>
      <c r="B232" s="18">
        <v>1</v>
      </c>
      <c r="C232" s="19" t="s">
        <v>104</v>
      </c>
      <c r="D232" s="20">
        <v>5</v>
      </c>
      <c r="E232" s="21">
        <v>1</v>
      </c>
      <c r="F232" s="20">
        <f>D232*E232</f>
        <v>5</v>
      </c>
      <c r="G232" s="21">
        <v>140000</v>
      </c>
      <c r="H232" s="20">
        <f>F232*G232</f>
        <v>700000</v>
      </c>
      <c r="I232" s="2"/>
      <c r="J232" s="17"/>
      <c r="K232" s="17"/>
      <c r="L232" s="17"/>
    </row>
    <row r="233" spans="1:12" ht="17">
      <c r="A233" s="29"/>
      <c r="B233" s="18">
        <v>2</v>
      </c>
      <c r="C233" s="19" t="s">
        <v>76</v>
      </c>
      <c r="D233" s="20">
        <v>5</v>
      </c>
      <c r="E233" s="21">
        <v>1</v>
      </c>
      <c r="F233" s="20">
        <f t="shared" ref="F233:F239" si="23">D233*E233</f>
        <v>5</v>
      </c>
      <c r="G233" s="21">
        <v>30770</v>
      </c>
      <c r="H233" s="20">
        <f t="shared" ref="H233:H239" si="24">F233*G233</f>
        <v>153850</v>
      </c>
      <c r="I233" s="2"/>
      <c r="J233" s="17"/>
      <c r="K233" s="17"/>
      <c r="L233" s="17"/>
    </row>
    <row r="234" spans="1:12" ht="17">
      <c r="A234" s="29"/>
      <c r="B234" s="18">
        <v>3</v>
      </c>
      <c r="C234" s="19" t="s">
        <v>105</v>
      </c>
      <c r="D234" s="20">
        <v>5</v>
      </c>
      <c r="E234" s="21">
        <v>1</v>
      </c>
      <c r="F234" s="20">
        <f t="shared" si="23"/>
        <v>5</v>
      </c>
      <c r="G234" s="21">
        <v>30770</v>
      </c>
      <c r="H234" s="20">
        <f t="shared" si="24"/>
        <v>153850</v>
      </c>
      <c r="I234" s="2"/>
      <c r="J234" s="17"/>
      <c r="K234" s="17"/>
      <c r="L234" s="17"/>
    </row>
    <row r="235" spans="1:12" ht="17">
      <c r="A235" s="29"/>
      <c r="B235" s="18">
        <v>4</v>
      </c>
      <c r="C235" s="19" t="s">
        <v>106</v>
      </c>
      <c r="D235" s="20">
        <v>1</v>
      </c>
      <c r="E235" s="21">
        <v>0.5</v>
      </c>
      <c r="F235" s="20">
        <f t="shared" si="23"/>
        <v>0.5</v>
      </c>
      <c r="G235" s="69">
        <v>240000</v>
      </c>
      <c r="H235" s="20">
        <f t="shared" si="24"/>
        <v>120000</v>
      </c>
      <c r="I235" s="2"/>
      <c r="J235" s="17"/>
      <c r="K235" s="17"/>
      <c r="L235" s="17"/>
    </row>
    <row r="236" spans="1:12" ht="17">
      <c r="A236" s="29"/>
      <c r="B236" s="18">
        <v>5</v>
      </c>
      <c r="C236" s="19" t="s">
        <v>107</v>
      </c>
      <c r="D236" s="20">
        <v>0</v>
      </c>
      <c r="E236" s="21">
        <v>1</v>
      </c>
      <c r="F236" s="20">
        <f t="shared" si="23"/>
        <v>0</v>
      </c>
      <c r="G236" s="21">
        <v>106</v>
      </c>
      <c r="H236" s="20">
        <f t="shared" si="24"/>
        <v>0</v>
      </c>
      <c r="I236" s="2"/>
      <c r="J236" s="17"/>
      <c r="K236" s="17"/>
      <c r="L236" s="17"/>
    </row>
    <row r="237" spans="1:12" ht="17">
      <c r="A237" s="29"/>
      <c r="B237" s="18">
        <v>6</v>
      </c>
      <c r="C237" s="19" t="s">
        <v>108</v>
      </c>
      <c r="D237" s="20">
        <v>0</v>
      </c>
      <c r="E237" s="21">
        <v>1</v>
      </c>
      <c r="F237" s="20">
        <f t="shared" si="23"/>
        <v>0</v>
      </c>
      <c r="G237" s="21">
        <v>107</v>
      </c>
      <c r="H237" s="20">
        <f t="shared" si="24"/>
        <v>0</v>
      </c>
      <c r="I237" s="2"/>
      <c r="J237" s="17"/>
      <c r="K237" s="17"/>
      <c r="L237" s="17"/>
    </row>
    <row r="238" spans="1:12" ht="17">
      <c r="A238" s="29"/>
      <c r="B238" s="18">
        <v>7</v>
      </c>
      <c r="C238" s="19" t="s">
        <v>109</v>
      </c>
      <c r="D238" s="20">
        <v>0</v>
      </c>
      <c r="E238" s="21">
        <v>1</v>
      </c>
      <c r="F238" s="20">
        <f t="shared" si="23"/>
        <v>0</v>
      </c>
      <c r="G238" s="21">
        <v>108</v>
      </c>
      <c r="H238" s="20">
        <f t="shared" si="24"/>
        <v>0</v>
      </c>
      <c r="I238" s="2"/>
      <c r="J238" s="17"/>
      <c r="K238" s="17"/>
      <c r="L238" s="17"/>
    </row>
    <row r="239" spans="1:12" ht="17">
      <c r="A239" s="29"/>
      <c r="B239" s="18">
        <v>8</v>
      </c>
      <c r="C239" s="19"/>
      <c r="D239" s="20">
        <v>0</v>
      </c>
      <c r="E239" s="21">
        <v>1</v>
      </c>
      <c r="F239" s="20">
        <f t="shared" si="23"/>
        <v>0</v>
      </c>
      <c r="G239" s="21">
        <v>109</v>
      </c>
      <c r="H239" s="20">
        <f t="shared" si="24"/>
        <v>0</v>
      </c>
      <c r="I239" s="2"/>
      <c r="J239" s="17"/>
      <c r="K239" s="17"/>
      <c r="L239" s="17"/>
    </row>
    <row r="240" spans="1:12" ht="17">
      <c r="A240" s="29"/>
      <c r="B240" s="18">
        <v>9</v>
      </c>
      <c r="C240" s="19"/>
      <c r="D240" s="20">
        <v>0</v>
      </c>
      <c r="E240" s="21">
        <v>1</v>
      </c>
      <c r="F240" s="20">
        <f>D240*E240</f>
        <v>0</v>
      </c>
      <c r="G240" s="21">
        <v>102</v>
      </c>
      <c r="H240" s="20">
        <f>F240*G240</f>
        <v>0</v>
      </c>
      <c r="I240" s="2"/>
      <c r="J240" s="17"/>
      <c r="K240" s="17"/>
      <c r="L240" s="17"/>
    </row>
    <row r="241" spans="1:12" ht="17">
      <c r="A241" s="29"/>
      <c r="B241" s="18"/>
      <c r="C241" s="14" t="s">
        <v>146</v>
      </c>
      <c r="D241" s="20"/>
      <c r="E241" s="21"/>
      <c r="F241" s="20"/>
      <c r="G241" s="21"/>
      <c r="H241" s="25">
        <f>SUM(H232:H240)</f>
        <v>1127700</v>
      </c>
      <c r="I241" s="2"/>
      <c r="J241" s="17"/>
      <c r="K241" s="17"/>
      <c r="L241" s="17"/>
    </row>
    <row r="242" spans="1:12" ht="17">
      <c r="A242" s="29"/>
      <c r="B242" s="18"/>
      <c r="C242" s="14"/>
      <c r="D242" s="20"/>
      <c r="E242" s="21"/>
      <c r="F242" s="20"/>
      <c r="G242" s="21"/>
      <c r="H242" s="25"/>
      <c r="I242" s="2"/>
      <c r="J242" s="17"/>
      <c r="K242" s="17"/>
      <c r="L242" s="17"/>
    </row>
    <row r="243" spans="1:12" ht="17">
      <c r="A243" s="29"/>
      <c r="B243" s="26"/>
      <c r="C243" s="14" t="s">
        <v>147</v>
      </c>
      <c r="D243" s="20"/>
      <c r="E243" s="21"/>
      <c r="F243" s="20"/>
      <c r="G243" s="21"/>
      <c r="H243" s="25">
        <f>H191+H196+H201+H206+H211+H219+H229+H241</f>
        <v>1481686.153846154</v>
      </c>
      <c r="I243" s="2"/>
      <c r="J243" s="17"/>
      <c r="K243" s="17"/>
      <c r="L243" s="17"/>
    </row>
    <row r="244" spans="1:12" ht="17">
      <c r="A244" s="29"/>
      <c r="B244" s="26"/>
      <c r="C244" s="14"/>
      <c r="D244" s="20"/>
      <c r="E244" s="21"/>
      <c r="F244" s="20"/>
      <c r="G244" s="21"/>
      <c r="H244" s="20"/>
      <c r="I244" s="2"/>
      <c r="J244" s="17"/>
      <c r="K244" s="17"/>
      <c r="L244" s="17"/>
    </row>
    <row r="245" spans="1:12" ht="39">
      <c r="A245" s="29"/>
      <c r="B245" s="13" t="s">
        <v>148</v>
      </c>
      <c r="C245" s="14" t="s">
        <v>149</v>
      </c>
      <c r="D245" s="20"/>
      <c r="E245" s="21"/>
      <c r="F245" s="20"/>
      <c r="G245" s="21"/>
      <c r="H245" s="20"/>
      <c r="I245" s="2"/>
      <c r="J245" s="17"/>
      <c r="K245" s="17"/>
      <c r="L245" s="17"/>
    </row>
    <row r="246" spans="1:12" ht="17">
      <c r="A246" s="29"/>
      <c r="B246" s="18">
        <v>1</v>
      </c>
      <c r="C246" s="19"/>
      <c r="D246" s="20">
        <v>0</v>
      </c>
      <c r="E246" s="21">
        <v>1</v>
      </c>
      <c r="F246" s="20">
        <f>D246*E246</f>
        <v>0</v>
      </c>
      <c r="G246" s="21">
        <v>101</v>
      </c>
      <c r="H246" s="20">
        <f>F246*G246</f>
        <v>0</v>
      </c>
      <c r="I246" s="2"/>
      <c r="J246" s="17"/>
      <c r="K246" s="17"/>
      <c r="L246" s="17"/>
    </row>
    <row r="247" spans="1:12" ht="17">
      <c r="A247" s="29"/>
      <c r="B247" s="18">
        <v>2</v>
      </c>
      <c r="C247" s="19"/>
      <c r="D247" s="20">
        <v>0</v>
      </c>
      <c r="E247" s="21">
        <v>1</v>
      </c>
      <c r="F247" s="20">
        <f>D247*E247</f>
        <v>0</v>
      </c>
      <c r="G247" s="21">
        <v>102</v>
      </c>
      <c r="H247" s="20">
        <f>F247*G247</f>
        <v>0</v>
      </c>
      <c r="I247" s="2"/>
      <c r="J247" s="17"/>
      <c r="K247" s="17"/>
      <c r="L247" s="17"/>
    </row>
    <row r="248" spans="1:12" ht="17">
      <c r="A248" s="29"/>
      <c r="B248" s="18"/>
      <c r="C248" s="14" t="s">
        <v>150</v>
      </c>
      <c r="D248" s="20"/>
      <c r="E248" s="21"/>
      <c r="F248" s="20"/>
      <c r="G248" s="21"/>
      <c r="H248" s="25">
        <f>SUM(H246:H247)</f>
        <v>0</v>
      </c>
      <c r="I248" s="2"/>
      <c r="J248" s="17"/>
      <c r="K248" s="17"/>
      <c r="L248" s="17"/>
    </row>
    <row r="249" spans="1:12" ht="17">
      <c r="A249" s="29"/>
      <c r="B249" s="13"/>
      <c r="C249" s="14"/>
      <c r="D249" s="20"/>
      <c r="E249" s="21"/>
      <c r="F249" s="20"/>
      <c r="G249" s="21"/>
      <c r="H249" s="20"/>
      <c r="I249" s="2"/>
      <c r="J249" s="17"/>
      <c r="K249" s="17"/>
      <c r="L249" s="17"/>
    </row>
    <row r="250" spans="1:12" ht="17">
      <c r="A250" s="29"/>
      <c r="B250" s="26"/>
      <c r="C250" s="14" t="s">
        <v>151</v>
      </c>
      <c r="D250" s="20"/>
      <c r="E250" s="21"/>
      <c r="F250" s="20"/>
      <c r="G250" s="21"/>
      <c r="H250" s="20"/>
      <c r="I250" s="2"/>
      <c r="J250" s="17"/>
      <c r="K250" s="17"/>
      <c r="L250" s="17"/>
    </row>
    <row r="251" spans="1:12" ht="17">
      <c r="A251" s="29"/>
      <c r="B251" s="18">
        <v>1</v>
      </c>
      <c r="C251" s="19"/>
      <c r="D251" s="20">
        <v>0</v>
      </c>
      <c r="E251" s="21">
        <v>1</v>
      </c>
      <c r="F251" s="20">
        <f>D251*E251</f>
        <v>0</v>
      </c>
      <c r="G251" s="21">
        <v>101</v>
      </c>
      <c r="H251" s="20">
        <f>F251*G251</f>
        <v>0</v>
      </c>
      <c r="I251" s="2"/>
      <c r="J251" s="17"/>
      <c r="K251" s="17"/>
      <c r="L251" s="17"/>
    </row>
    <row r="252" spans="1:12" ht="17">
      <c r="A252" s="29"/>
      <c r="B252" s="18">
        <v>2</v>
      </c>
      <c r="C252" s="19"/>
      <c r="D252" s="20">
        <v>0</v>
      </c>
      <c r="E252" s="21">
        <v>1</v>
      </c>
      <c r="F252" s="20">
        <f>D252*E252</f>
        <v>0</v>
      </c>
      <c r="G252" s="21">
        <v>102</v>
      </c>
      <c r="H252" s="20">
        <f>F252*G252</f>
        <v>0</v>
      </c>
      <c r="I252" s="2"/>
      <c r="J252" s="17"/>
      <c r="K252" s="17"/>
      <c r="L252" s="17"/>
    </row>
    <row r="253" spans="1:12" ht="17">
      <c r="A253" s="29"/>
      <c r="B253" s="18"/>
      <c r="C253" s="14" t="s">
        <v>152</v>
      </c>
      <c r="D253" s="20"/>
      <c r="E253" s="21"/>
      <c r="F253" s="20"/>
      <c r="G253" s="21"/>
      <c r="H253" s="25">
        <f>SUM(H251:H252)</f>
        <v>0</v>
      </c>
      <c r="I253" s="2"/>
      <c r="J253" s="17"/>
      <c r="K253" s="17"/>
      <c r="L253" s="17"/>
    </row>
    <row r="254" spans="1:12" ht="17">
      <c r="A254" s="29"/>
      <c r="B254" s="26"/>
      <c r="C254" s="14"/>
      <c r="D254" s="20"/>
      <c r="E254" s="21"/>
      <c r="F254" s="20"/>
      <c r="G254" s="21"/>
      <c r="H254" s="20"/>
      <c r="I254" s="2"/>
      <c r="J254" s="17"/>
      <c r="K254" s="17"/>
      <c r="L254" s="17"/>
    </row>
    <row r="255" spans="1:12" ht="17">
      <c r="A255" s="29"/>
      <c r="B255" s="26"/>
      <c r="C255" s="14" t="s">
        <v>153</v>
      </c>
      <c r="D255" s="20"/>
      <c r="E255" s="21"/>
      <c r="F255" s="20"/>
      <c r="G255" s="21"/>
      <c r="H255" s="20"/>
      <c r="I255" s="2"/>
      <c r="J255" s="17"/>
      <c r="K255" s="17"/>
      <c r="L255" s="17"/>
    </row>
    <row r="256" spans="1:12" ht="17">
      <c r="A256" s="29"/>
      <c r="B256" s="18">
        <v>1</v>
      </c>
      <c r="C256" s="19"/>
      <c r="D256" s="20">
        <v>0</v>
      </c>
      <c r="E256" s="21">
        <v>1</v>
      </c>
      <c r="F256" s="20">
        <f>D256*E256</f>
        <v>0</v>
      </c>
      <c r="G256" s="21">
        <v>101</v>
      </c>
      <c r="H256" s="20">
        <f>F256*G256</f>
        <v>0</v>
      </c>
      <c r="I256" s="2"/>
      <c r="J256" s="17"/>
      <c r="K256" s="17"/>
      <c r="L256" s="17"/>
    </row>
    <row r="257" spans="1:12" ht="17">
      <c r="A257" s="29"/>
      <c r="B257" s="18">
        <v>2</v>
      </c>
      <c r="C257" s="19"/>
      <c r="D257" s="20">
        <v>0</v>
      </c>
      <c r="E257" s="21">
        <v>1</v>
      </c>
      <c r="F257" s="20">
        <f>D257*E257</f>
        <v>0</v>
      </c>
      <c r="G257" s="21">
        <v>102</v>
      </c>
      <c r="H257" s="20">
        <f>F257*G257</f>
        <v>0</v>
      </c>
      <c r="I257" s="2"/>
      <c r="J257" s="17"/>
      <c r="K257" s="17"/>
      <c r="L257" s="17"/>
    </row>
    <row r="258" spans="1:12" ht="17">
      <c r="A258" s="29"/>
      <c r="B258" s="18"/>
      <c r="C258" s="14" t="s">
        <v>154</v>
      </c>
      <c r="D258" s="20"/>
      <c r="E258" s="21"/>
      <c r="F258" s="20"/>
      <c r="G258" s="21"/>
      <c r="H258" s="25">
        <f>SUM(H256:H257)</f>
        <v>0</v>
      </c>
      <c r="I258" s="2"/>
      <c r="J258" s="17"/>
      <c r="K258" s="17"/>
      <c r="L258" s="17"/>
    </row>
    <row r="259" spans="1:12" ht="17">
      <c r="A259" s="29"/>
      <c r="B259" s="26"/>
      <c r="C259" s="14"/>
      <c r="D259" s="20"/>
      <c r="E259" s="21"/>
      <c r="F259" s="20"/>
      <c r="G259" s="21"/>
      <c r="H259" s="20"/>
      <c r="I259" s="2"/>
      <c r="J259" s="17"/>
      <c r="K259" s="17"/>
      <c r="L259" s="17"/>
    </row>
    <row r="260" spans="1:12" ht="17">
      <c r="A260" s="29"/>
      <c r="B260" s="26"/>
      <c r="C260" s="14" t="s">
        <v>155</v>
      </c>
      <c r="D260" s="20"/>
      <c r="E260" s="21"/>
      <c r="F260" s="20"/>
      <c r="G260" s="21"/>
      <c r="H260" s="20"/>
      <c r="I260" s="2"/>
      <c r="J260" s="17"/>
      <c r="K260" s="17"/>
      <c r="L260" s="17"/>
    </row>
    <row r="261" spans="1:12" ht="17">
      <c r="A261" s="29"/>
      <c r="B261" s="18">
        <v>1</v>
      </c>
      <c r="C261" s="19"/>
      <c r="D261" s="20">
        <v>0</v>
      </c>
      <c r="E261" s="21">
        <v>1</v>
      </c>
      <c r="F261" s="20">
        <f>D261*E261</f>
        <v>0</v>
      </c>
      <c r="G261" s="21">
        <v>101</v>
      </c>
      <c r="H261" s="20">
        <f>F261*G261</f>
        <v>0</v>
      </c>
      <c r="I261" s="2"/>
      <c r="J261" s="17"/>
      <c r="K261" s="17"/>
      <c r="L261" s="17"/>
    </row>
    <row r="262" spans="1:12" ht="17">
      <c r="A262" s="29"/>
      <c r="B262" s="18">
        <v>2</v>
      </c>
      <c r="C262" s="19"/>
      <c r="D262" s="20">
        <v>0</v>
      </c>
      <c r="E262" s="21">
        <v>1</v>
      </c>
      <c r="F262" s="20">
        <f>D262*E262</f>
        <v>0</v>
      </c>
      <c r="G262" s="21">
        <v>102</v>
      </c>
      <c r="H262" s="20">
        <f>F262*G262</f>
        <v>0</v>
      </c>
      <c r="I262" s="2"/>
      <c r="J262" s="17"/>
      <c r="K262" s="17"/>
      <c r="L262" s="17"/>
    </row>
    <row r="263" spans="1:12" ht="17">
      <c r="A263" s="29"/>
      <c r="B263" s="18"/>
      <c r="C263" s="14" t="s">
        <v>156</v>
      </c>
      <c r="D263" s="20"/>
      <c r="E263" s="21"/>
      <c r="F263" s="20"/>
      <c r="G263" s="21"/>
      <c r="H263" s="25">
        <f>SUM(H261:H262)</f>
        <v>0</v>
      </c>
      <c r="I263" s="2"/>
      <c r="J263" s="17"/>
      <c r="K263" s="17"/>
      <c r="L263" s="17"/>
    </row>
    <row r="264" spans="1:12" ht="17">
      <c r="A264" s="29"/>
      <c r="B264" s="26"/>
      <c r="C264" s="14"/>
      <c r="D264" s="20"/>
      <c r="E264" s="21"/>
      <c r="F264" s="20"/>
      <c r="G264" s="21"/>
      <c r="H264" s="20"/>
      <c r="I264" s="2"/>
      <c r="J264" s="17"/>
      <c r="K264" s="17"/>
      <c r="L264" s="17"/>
    </row>
    <row r="265" spans="1:12" ht="17">
      <c r="A265" s="29"/>
      <c r="B265" s="26"/>
      <c r="C265" s="14" t="s">
        <v>157</v>
      </c>
      <c r="D265" s="20"/>
      <c r="E265" s="21"/>
      <c r="F265" s="20"/>
      <c r="G265" s="21"/>
      <c r="H265" s="20"/>
      <c r="I265" s="2"/>
      <c r="J265" s="17"/>
      <c r="K265" s="17"/>
      <c r="L265" s="17"/>
    </row>
    <row r="266" spans="1:12" ht="17">
      <c r="A266" s="29"/>
      <c r="B266" s="18">
        <v>1</v>
      </c>
      <c r="C266" s="19"/>
      <c r="D266" s="20">
        <v>0</v>
      </c>
      <c r="E266" s="21">
        <v>1</v>
      </c>
      <c r="F266" s="20">
        <f>D266*E266</f>
        <v>0</v>
      </c>
      <c r="G266" s="21">
        <v>101</v>
      </c>
      <c r="H266" s="20">
        <f>F266*G266</f>
        <v>0</v>
      </c>
      <c r="I266" s="2"/>
      <c r="J266" s="17"/>
      <c r="K266" s="17"/>
      <c r="L266" s="17"/>
    </row>
    <row r="267" spans="1:12" ht="17">
      <c r="A267" s="29"/>
      <c r="B267" s="18">
        <v>2</v>
      </c>
      <c r="C267" s="19"/>
      <c r="D267" s="20">
        <v>0</v>
      </c>
      <c r="E267" s="21">
        <v>1</v>
      </c>
      <c r="F267" s="20">
        <f>D267*E267</f>
        <v>0</v>
      </c>
      <c r="G267" s="21">
        <v>102</v>
      </c>
      <c r="H267" s="20">
        <f>F267*G267</f>
        <v>0</v>
      </c>
      <c r="I267" s="2"/>
      <c r="J267" s="17"/>
      <c r="K267" s="17"/>
      <c r="L267" s="17"/>
    </row>
    <row r="268" spans="1:12" ht="17">
      <c r="A268" s="29"/>
      <c r="B268" s="18"/>
      <c r="C268" s="14" t="s">
        <v>158</v>
      </c>
      <c r="D268" s="20"/>
      <c r="E268" s="21"/>
      <c r="F268" s="20"/>
      <c r="G268" s="21"/>
      <c r="H268" s="25">
        <f>SUM(H266:H267)</f>
        <v>0</v>
      </c>
      <c r="I268" s="2"/>
      <c r="J268" s="17"/>
      <c r="K268" s="17"/>
      <c r="L268" s="17"/>
    </row>
    <row r="269" spans="1:12" ht="17">
      <c r="A269" s="29"/>
      <c r="B269" s="26"/>
      <c r="C269" s="14"/>
      <c r="D269" s="20"/>
      <c r="E269" s="21"/>
      <c r="F269" s="20"/>
      <c r="G269" s="21"/>
      <c r="H269" s="20"/>
      <c r="I269" s="2"/>
      <c r="J269" s="17"/>
      <c r="K269" s="17"/>
      <c r="L269" s="17"/>
    </row>
    <row r="270" spans="1:12" ht="17">
      <c r="A270" s="29"/>
      <c r="B270" s="26"/>
      <c r="C270" s="14" t="s">
        <v>159</v>
      </c>
      <c r="D270" s="20"/>
      <c r="E270" s="21"/>
      <c r="F270" s="20"/>
      <c r="G270" s="21"/>
      <c r="H270" s="20"/>
      <c r="I270" s="2"/>
      <c r="J270" s="17"/>
      <c r="K270" s="17"/>
      <c r="L270" s="17"/>
    </row>
    <row r="271" spans="1:12" ht="17">
      <c r="A271" s="29"/>
      <c r="B271" s="18">
        <v>1</v>
      </c>
      <c r="C271" s="19" t="s">
        <v>94</v>
      </c>
      <c r="D271" s="20">
        <v>1</v>
      </c>
      <c r="E271" s="21">
        <v>1</v>
      </c>
      <c r="F271" s="20">
        <f>D271*E271</f>
        <v>1</v>
      </c>
      <c r="G271" s="21">
        <v>25000</v>
      </c>
      <c r="H271" s="20">
        <f>F271*G271</f>
        <v>25000</v>
      </c>
      <c r="I271" s="2"/>
      <c r="J271" s="17"/>
      <c r="K271" s="17"/>
      <c r="L271" s="17"/>
    </row>
    <row r="272" spans="1:12" ht="17">
      <c r="A272" s="29"/>
      <c r="B272" s="18">
        <v>2</v>
      </c>
      <c r="C272" s="19" t="s">
        <v>95</v>
      </c>
      <c r="D272" s="20">
        <v>0</v>
      </c>
      <c r="E272" s="21">
        <v>1</v>
      </c>
      <c r="F272" s="20">
        <f t="shared" ref="F272:F274" si="25">D272*E272</f>
        <v>0</v>
      </c>
      <c r="G272" s="21">
        <v>102</v>
      </c>
      <c r="H272" s="20">
        <f t="shared" ref="H272:H274" si="26">F272*G272</f>
        <v>0</v>
      </c>
      <c r="I272" s="2"/>
      <c r="J272" s="17"/>
      <c r="K272" s="17"/>
      <c r="L272" s="17"/>
    </row>
    <row r="273" spans="1:12" ht="17">
      <c r="A273" s="29"/>
      <c r="B273" s="18">
        <v>3</v>
      </c>
      <c r="C273" s="19"/>
      <c r="D273" s="20">
        <v>0</v>
      </c>
      <c r="E273" s="21">
        <v>1</v>
      </c>
      <c r="F273" s="20">
        <f t="shared" si="25"/>
        <v>0</v>
      </c>
      <c r="G273" s="21">
        <v>103</v>
      </c>
      <c r="H273" s="20">
        <f t="shared" si="26"/>
        <v>0</v>
      </c>
      <c r="I273" s="2"/>
      <c r="J273" s="17"/>
      <c r="K273" s="17"/>
      <c r="L273" s="17"/>
    </row>
    <row r="274" spans="1:12" ht="17">
      <c r="A274" s="29"/>
      <c r="B274" s="18">
        <v>4</v>
      </c>
      <c r="C274" s="19"/>
      <c r="D274" s="20">
        <v>0</v>
      </c>
      <c r="E274" s="21">
        <v>1</v>
      </c>
      <c r="F274" s="20">
        <f t="shared" si="25"/>
        <v>0</v>
      </c>
      <c r="G274" s="21">
        <v>104</v>
      </c>
      <c r="H274" s="20">
        <f t="shared" si="26"/>
        <v>0</v>
      </c>
      <c r="I274" s="2"/>
      <c r="J274" s="17"/>
      <c r="K274" s="17"/>
      <c r="L274" s="17"/>
    </row>
    <row r="275" spans="1:12" ht="17">
      <c r="A275" s="29"/>
      <c r="B275" s="18">
        <v>5</v>
      </c>
      <c r="C275" s="19"/>
      <c r="D275" s="20">
        <v>0</v>
      </c>
      <c r="E275" s="21">
        <v>1</v>
      </c>
      <c r="F275" s="20">
        <f>D275*E275</f>
        <v>0</v>
      </c>
      <c r="G275" s="21">
        <v>102</v>
      </c>
      <c r="H275" s="20">
        <f>F275*G275</f>
        <v>0</v>
      </c>
      <c r="I275" s="2"/>
      <c r="J275" s="17"/>
      <c r="K275" s="17"/>
      <c r="L275" s="17"/>
    </row>
    <row r="276" spans="1:12" ht="17">
      <c r="A276" s="29"/>
      <c r="B276" s="18"/>
      <c r="C276" s="14" t="s">
        <v>160</v>
      </c>
      <c r="D276" s="20"/>
      <c r="E276" s="21"/>
      <c r="F276" s="20"/>
      <c r="G276" s="21"/>
      <c r="H276" s="25">
        <f>SUM(H271:H275)</f>
        <v>25000</v>
      </c>
      <c r="I276" s="2"/>
      <c r="J276" s="17"/>
      <c r="K276" s="17"/>
      <c r="L276" s="17"/>
    </row>
    <row r="277" spans="1:12" ht="17">
      <c r="A277" s="29"/>
      <c r="B277" s="26"/>
      <c r="C277" s="14"/>
      <c r="D277" s="20"/>
      <c r="E277" s="21"/>
      <c r="F277" s="20"/>
      <c r="G277" s="21"/>
      <c r="H277" s="20"/>
      <c r="I277" s="2"/>
      <c r="J277" s="17"/>
      <c r="K277" s="17"/>
      <c r="L277" s="17"/>
    </row>
    <row r="278" spans="1:12" ht="17">
      <c r="A278" s="29"/>
      <c r="B278" s="26"/>
      <c r="C278" s="14" t="s">
        <v>161</v>
      </c>
      <c r="D278" s="20"/>
      <c r="E278" s="21"/>
      <c r="F278" s="20"/>
      <c r="G278" s="21"/>
      <c r="H278" s="20"/>
      <c r="I278" s="2"/>
      <c r="J278" s="17"/>
      <c r="K278" s="17"/>
      <c r="L278" s="17"/>
    </row>
    <row r="279" spans="1:12" ht="17">
      <c r="A279" s="29"/>
      <c r="B279" s="18">
        <v>1</v>
      </c>
      <c r="C279" s="19" t="s">
        <v>98</v>
      </c>
      <c r="D279" s="20">
        <v>2</v>
      </c>
      <c r="E279" s="21">
        <v>1</v>
      </c>
      <c r="F279" s="20">
        <f>D279*E279</f>
        <v>2</v>
      </c>
      <c r="G279" s="21">
        <v>12507</v>
      </c>
      <c r="H279" s="20">
        <f>F279*G279</f>
        <v>25014</v>
      </c>
      <c r="I279" s="2"/>
      <c r="J279" s="17"/>
      <c r="K279" s="17"/>
      <c r="L279" s="17"/>
    </row>
    <row r="280" spans="1:12" ht="17">
      <c r="A280" s="29"/>
      <c r="B280" s="18">
        <v>2</v>
      </c>
      <c r="C280" s="19" t="s">
        <v>99</v>
      </c>
      <c r="D280" s="20">
        <v>2</v>
      </c>
      <c r="E280" s="21">
        <v>1</v>
      </c>
      <c r="F280" s="20">
        <f t="shared" ref="F280:F284" si="27">D280*E280</f>
        <v>2</v>
      </c>
      <c r="G280" s="21">
        <v>12507</v>
      </c>
      <c r="H280" s="20">
        <f t="shared" ref="H280:H284" si="28">F280*G280</f>
        <v>25014</v>
      </c>
      <c r="I280" s="2"/>
      <c r="J280" s="17"/>
      <c r="K280" s="17"/>
      <c r="L280" s="17"/>
    </row>
    <row r="281" spans="1:12" ht="17">
      <c r="A281" s="29"/>
      <c r="B281" s="18">
        <v>3</v>
      </c>
      <c r="C281" s="19" t="s">
        <v>65</v>
      </c>
      <c r="D281" s="20">
        <v>2</v>
      </c>
      <c r="E281" s="21">
        <v>1</v>
      </c>
      <c r="F281" s="20">
        <f t="shared" si="27"/>
        <v>2</v>
      </c>
      <c r="G281" s="21">
        <v>12507</v>
      </c>
      <c r="H281" s="20">
        <f t="shared" si="28"/>
        <v>25014</v>
      </c>
      <c r="I281" s="2"/>
      <c r="J281" s="17"/>
      <c r="K281" s="17"/>
      <c r="L281" s="17"/>
    </row>
    <row r="282" spans="1:12" ht="17">
      <c r="A282" s="29"/>
      <c r="B282" s="18">
        <v>4</v>
      </c>
      <c r="C282" s="19" t="s">
        <v>100</v>
      </c>
      <c r="D282" s="20">
        <v>2</v>
      </c>
      <c r="E282" s="21">
        <v>1</v>
      </c>
      <c r="F282" s="20">
        <f t="shared" si="27"/>
        <v>2</v>
      </c>
      <c r="G282" s="21">
        <v>12507</v>
      </c>
      <c r="H282" s="20">
        <f t="shared" si="28"/>
        <v>25014</v>
      </c>
      <c r="I282" s="2"/>
      <c r="J282" s="17"/>
      <c r="K282" s="17"/>
      <c r="L282" s="17"/>
    </row>
    <row r="283" spans="1:12" ht="17">
      <c r="A283" s="29"/>
      <c r="B283" s="18">
        <v>5</v>
      </c>
      <c r="C283" s="19" t="s">
        <v>101</v>
      </c>
      <c r="D283" s="20">
        <v>0</v>
      </c>
      <c r="E283" s="21">
        <v>1</v>
      </c>
      <c r="F283" s="20">
        <f t="shared" si="27"/>
        <v>0</v>
      </c>
      <c r="G283" s="21">
        <v>53846.153846153844</v>
      </c>
      <c r="H283" s="20">
        <f t="shared" si="28"/>
        <v>0</v>
      </c>
      <c r="I283" s="2"/>
      <c r="J283" s="17"/>
      <c r="K283" s="17"/>
      <c r="L283" s="17"/>
    </row>
    <row r="284" spans="1:12" ht="17">
      <c r="A284" s="29"/>
      <c r="B284" s="18">
        <v>6</v>
      </c>
      <c r="C284" s="19"/>
      <c r="D284" s="20">
        <v>0</v>
      </c>
      <c r="E284" s="21">
        <v>1</v>
      </c>
      <c r="F284" s="20">
        <f t="shared" si="27"/>
        <v>0</v>
      </c>
      <c r="G284" s="21">
        <v>106</v>
      </c>
      <c r="H284" s="20">
        <f t="shared" si="28"/>
        <v>0</v>
      </c>
      <c r="I284" s="2"/>
      <c r="J284" s="17"/>
      <c r="K284" s="17"/>
      <c r="L284" s="17"/>
    </row>
    <row r="285" spans="1:12" ht="17">
      <c r="A285" s="29"/>
      <c r="B285" s="18">
        <v>7</v>
      </c>
      <c r="C285" s="19"/>
      <c r="D285" s="20">
        <v>0</v>
      </c>
      <c r="E285" s="21">
        <v>1</v>
      </c>
      <c r="F285" s="20">
        <f>D285*E285</f>
        <v>0</v>
      </c>
      <c r="G285" s="21">
        <v>102</v>
      </c>
      <c r="H285" s="20">
        <f>F285*G285</f>
        <v>0</v>
      </c>
      <c r="I285" s="2"/>
      <c r="J285" s="17"/>
      <c r="K285" s="17"/>
      <c r="L285" s="17"/>
    </row>
    <row r="286" spans="1:12" ht="17">
      <c r="A286" s="29"/>
      <c r="B286" s="18"/>
      <c r="C286" s="14" t="s">
        <v>162</v>
      </c>
      <c r="D286" s="20"/>
      <c r="E286" s="21"/>
      <c r="F286" s="20"/>
      <c r="G286" s="21"/>
      <c r="H286" s="25">
        <f>SUM(H279:H285)</f>
        <v>100056</v>
      </c>
      <c r="I286" s="2"/>
      <c r="J286" s="17"/>
      <c r="K286" s="17"/>
      <c r="L286" s="17"/>
    </row>
    <row r="287" spans="1:12" ht="17">
      <c r="A287" s="29"/>
      <c r="B287" s="18"/>
      <c r="C287" s="14"/>
      <c r="D287" s="20"/>
      <c r="E287" s="21"/>
      <c r="F287" s="20"/>
      <c r="G287" s="21"/>
      <c r="H287" s="25"/>
      <c r="I287" s="2"/>
      <c r="J287" s="17"/>
      <c r="K287" s="17"/>
      <c r="L287" s="17"/>
    </row>
    <row r="288" spans="1:12" ht="17">
      <c r="A288" s="29"/>
      <c r="B288" s="26"/>
      <c r="C288" s="14" t="s">
        <v>163</v>
      </c>
      <c r="D288" s="20"/>
      <c r="E288" s="21"/>
      <c r="F288" s="20"/>
      <c r="G288" s="21"/>
      <c r="H288" s="20"/>
      <c r="I288" s="2"/>
      <c r="J288" s="17"/>
      <c r="K288" s="17"/>
      <c r="L288" s="17"/>
    </row>
    <row r="289" spans="1:12" ht="17">
      <c r="A289" s="29"/>
      <c r="B289" s="18">
        <v>1</v>
      </c>
      <c r="C289" s="19" t="s">
        <v>104</v>
      </c>
      <c r="D289" s="20">
        <v>2</v>
      </c>
      <c r="E289" s="21">
        <v>1</v>
      </c>
      <c r="F289" s="20">
        <f>D289*E289</f>
        <v>2</v>
      </c>
      <c r="G289" s="21">
        <v>140000</v>
      </c>
      <c r="H289" s="20">
        <f>F289*G289</f>
        <v>280000</v>
      </c>
      <c r="I289" s="2"/>
      <c r="J289" s="17"/>
      <c r="K289" s="17"/>
      <c r="L289" s="17"/>
    </row>
    <row r="290" spans="1:12" ht="17">
      <c r="A290" s="29"/>
      <c r="B290" s="18">
        <v>2</v>
      </c>
      <c r="C290" s="19" t="s">
        <v>76</v>
      </c>
      <c r="D290" s="20">
        <v>2</v>
      </c>
      <c r="E290" s="21">
        <v>1</v>
      </c>
      <c r="F290" s="20">
        <f t="shared" ref="F290:F297" si="29">D290*E290</f>
        <v>2</v>
      </c>
      <c r="G290" s="21">
        <v>30770</v>
      </c>
      <c r="H290" s="20">
        <f t="shared" ref="H290:H297" si="30">F290*G290</f>
        <v>61540</v>
      </c>
      <c r="I290" s="2"/>
      <c r="J290" s="17"/>
      <c r="K290" s="17"/>
      <c r="L290" s="17"/>
    </row>
    <row r="291" spans="1:12" ht="17">
      <c r="A291" s="29"/>
      <c r="B291" s="18">
        <v>3</v>
      </c>
      <c r="C291" s="19" t="s">
        <v>105</v>
      </c>
      <c r="D291" s="20">
        <v>2</v>
      </c>
      <c r="E291" s="21">
        <v>1</v>
      </c>
      <c r="F291" s="20">
        <f t="shared" si="29"/>
        <v>2</v>
      </c>
      <c r="G291" s="21">
        <v>30770</v>
      </c>
      <c r="H291" s="20">
        <f t="shared" si="30"/>
        <v>61540</v>
      </c>
      <c r="I291" s="2"/>
      <c r="J291" s="17"/>
      <c r="K291" s="17"/>
      <c r="L291" s="17"/>
    </row>
    <row r="292" spans="1:12" ht="17">
      <c r="A292" s="29"/>
      <c r="B292" s="18">
        <v>4</v>
      </c>
      <c r="C292" s="19" t="s">
        <v>164</v>
      </c>
      <c r="D292" s="20">
        <v>1</v>
      </c>
      <c r="E292" s="21">
        <v>0.5</v>
      </c>
      <c r="F292" s="20">
        <f t="shared" si="29"/>
        <v>0.5</v>
      </c>
      <c r="G292" s="21">
        <v>310000</v>
      </c>
      <c r="H292" s="20">
        <f t="shared" si="30"/>
        <v>155000</v>
      </c>
      <c r="I292" s="2"/>
      <c r="J292" s="17"/>
      <c r="K292" s="17"/>
      <c r="L292" s="17"/>
    </row>
    <row r="293" spans="1:12" ht="17">
      <c r="A293" s="29"/>
      <c r="B293" s="18">
        <v>5</v>
      </c>
      <c r="C293" s="19" t="s">
        <v>106</v>
      </c>
      <c r="D293" s="20">
        <v>1</v>
      </c>
      <c r="E293" s="21">
        <v>0.5</v>
      </c>
      <c r="F293" s="20">
        <f t="shared" si="29"/>
        <v>0.5</v>
      </c>
      <c r="G293" s="21">
        <v>240000</v>
      </c>
      <c r="H293" s="20">
        <f t="shared" si="30"/>
        <v>120000</v>
      </c>
      <c r="I293" s="2"/>
      <c r="J293" s="17"/>
      <c r="K293" s="17"/>
      <c r="L293" s="17"/>
    </row>
    <row r="294" spans="1:12" ht="17">
      <c r="A294" s="29"/>
      <c r="B294" s="18">
        <v>6</v>
      </c>
      <c r="C294" s="19" t="s">
        <v>107</v>
      </c>
      <c r="D294" s="20">
        <v>0</v>
      </c>
      <c r="E294" s="21">
        <v>1</v>
      </c>
      <c r="F294" s="20">
        <f t="shared" si="29"/>
        <v>0</v>
      </c>
      <c r="G294" s="21">
        <v>106</v>
      </c>
      <c r="H294" s="20">
        <f t="shared" si="30"/>
        <v>0</v>
      </c>
      <c r="I294" s="2"/>
      <c r="J294" s="17"/>
      <c r="K294" s="17"/>
      <c r="L294" s="17"/>
    </row>
    <row r="295" spans="1:12" ht="17">
      <c r="A295" s="29"/>
      <c r="B295" s="18">
        <v>7</v>
      </c>
      <c r="C295" s="19" t="s">
        <v>108</v>
      </c>
      <c r="D295" s="20">
        <v>0</v>
      </c>
      <c r="E295" s="21">
        <v>1</v>
      </c>
      <c r="F295" s="20">
        <f t="shared" si="29"/>
        <v>0</v>
      </c>
      <c r="G295" s="21">
        <v>107</v>
      </c>
      <c r="H295" s="20">
        <f t="shared" si="30"/>
        <v>0</v>
      </c>
      <c r="I295" s="2"/>
      <c r="J295" s="17"/>
      <c r="K295" s="17"/>
      <c r="L295" s="17"/>
    </row>
    <row r="296" spans="1:12" ht="17">
      <c r="A296" s="29"/>
      <c r="B296" s="18">
        <v>8</v>
      </c>
      <c r="C296" s="19" t="s">
        <v>109</v>
      </c>
      <c r="D296" s="20">
        <v>0</v>
      </c>
      <c r="E296" s="21">
        <v>1</v>
      </c>
      <c r="F296" s="20">
        <f t="shared" si="29"/>
        <v>0</v>
      </c>
      <c r="G296" s="21">
        <v>108</v>
      </c>
      <c r="H296" s="20">
        <f t="shared" si="30"/>
        <v>0</v>
      </c>
      <c r="I296" s="2"/>
      <c r="J296" s="17"/>
      <c r="K296" s="17"/>
      <c r="L296" s="17"/>
    </row>
    <row r="297" spans="1:12" ht="17">
      <c r="A297" s="29"/>
      <c r="B297" s="18">
        <v>9</v>
      </c>
      <c r="C297" s="19"/>
      <c r="D297" s="20">
        <v>0</v>
      </c>
      <c r="E297" s="21">
        <v>1</v>
      </c>
      <c r="F297" s="20">
        <f t="shared" si="29"/>
        <v>0</v>
      </c>
      <c r="G297" s="21">
        <v>109</v>
      </c>
      <c r="H297" s="20">
        <f t="shared" si="30"/>
        <v>0</v>
      </c>
      <c r="I297" s="2"/>
      <c r="J297" s="17"/>
      <c r="K297" s="17"/>
      <c r="L297" s="17"/>
    </row>
    <row r="298" spans="1:12" ht="17">
      <c r="A298" s="29"/>
      <c r="B298" s="18">
        <v>10</v>
      </c>
      <c r="C298" s="19"/>
      <c r="D298" s="20">
        <v>0</v>
      </c>
      <c r="E298" s="21">
        <v>1</v>
      </c>
      <c r="F298" s="20">
        <f>D298*E298</f>
        <v>0</v>
      </c>
      <c r="G298" s="21">
        <v>102</v>
      </c>
      <c r="H298" s="20">
        <f>F298*G298</f>
        <v>0</v>
      </c>
      <c r="I298" s="2"/>
      <c r="J298" s="17"/>
      <c r="K298" s="17"/>
      <c r="L298" s="17"/>
    </row>
    <row r="299" spans="1:12" ht="17">
      <c r="A299" s="29"/>
      <c r="B299" s="18"/>
      <c r="C299" s="14" t="s">
        <v>165</v>
      </c>
      <c r="D299" s="20"/>
      <c r="E299" s="21"/>
      <c r="F299" s="20"/>
      <c r="G299" s="21"/>
      <c r="H299" s="25">
        <f>SUM(H289:H298)</f>
        <v>678080</v>
      </c>
      <c r="I299" s="2"/>
      <c r="J299" s="17"/>
      <c r="K299" s="17"/>
      <c r="L299" s="17"/>
    </row>
    <row r="300" spans="1:12" ht="17">
      <c r="A300" s="29"/>
      <c r="B300" s="18"/>
      <c r="C300" s="14"/>
      <c r="D300" s="20"/>
      <c r="E300" s="21"/>
      <c r="F300" s="20"/>
      <c r="G300" s="21"/>
      <c r="H300" s="25"/>
      <c r="I300" s="2"/>
      <c r="J300" s="17"/>
      <c r="K300" s="17"/>
      <c r="L300" s="17"/>
    </row>
    <row r="301" spans="1:12" ht="17">
      <c r="A301" s="29"/>
      <c r="B301" s="26"/>
      <c r="C301" s="14" t="s">
        <v>166</v>
      </c>
      <c r="D301" s="20"/>
      <c r="E301" s="21"/>
      <c r="F301" s="20"/>
      <c r="G301" s="21"/>
      <c r="H301" s="25">
        <f>H248+H253+H258+H263+H268+H276+H286+H299</f>
        <v>803136</v>
      </c>
      <c r="I301" s="2"/>
      <c r="J301" s="17"/>
      <c r="K301" s="17"/>
      <c r="L301" s="17"/>
    </row>
    <row r="302" spans="1:12" ht="17">
      <c r="A302" s="29"/>
      <c r="B302" s="26"/>
      <c r="C302" s="14"/>
      <c r="D302" s="20"/>
      <c r="E302" s="21"/>
      <c r="F302" s="20"/>
      <c r="G302" s="21"/>
      <c r="H302" s="20"/>
      <c r="I302" s="2"/>
      <c r="J302" s="17"/>
      <c r="K302" s="17"/>
      <c r="L302" s="17"/>
    </row>
    <row r="303" spans="1:12" ht="39">
      <c r="A303" s="29"/>
      <c r="B303" s="13" t="s">
        <v>167</v>
      </c>
      <c r="C303" s="14" t="s">
        <v>168</v>
      </c>
      <c r="D303" s="20"/>
      <c r="E303" s="21"/>
      <c r="F303" s="20"/>
      <c r="G303" s="21"/>
      <c r="H303" s="20"/>
      <c r="I303" s="2"/>
      <c r="J303" s="17"/>
      <c r="K303" s="17"/>
      <c r="L303" s="17"/>
    </row>
    <row r="304" spans="1:12" ht="17">
      <c r="A304" s="29"/>
      <c r="B304" s="18">
        <v>1</v>
      </c>
      <c r="C304" s="19"/>
      <c r="D304" s="20">
        <v>0</v>
      </c>
      <c r="E304" s="21">
        <v>1</v>
      </c>
      <c r="F304" s="20">
        <f>D304*E304</f>
        <v>0</v>
      </c>
      <c r="G304" s="21">
        <v>101</v>
      </c>
      <c r="H304" s="20">
        <f>F304*G304</f>
        <v>0</v>
      </c>
      <c r="I304" s="2"/>
      <c r="J304" s="17"/>
      <c r="K304" s="17"/>
      <c r="L304" s="17"/>
    </row>
    <row r="305" spans="1:12" ht="17">
      <c r="A305" s="29"/>
      <c r="B305" s="18">
        <v>2</v>
      </c>
      <c r="C305" s="19"/>
      <c r="D305" s="20">
        <v>0</v>
      </c>
      <c r="E305" s="21">
        <v>1</v>
      </c>
      <c r="F305" s="20">
        <f>D305*E305</f>
        <v>0</v>
      </c>
      <c r="G305" s="21">
        <v>102</v>
      </c>
      <c r="H305" s="20">
        <f>F305*G305</f>
        <v>0</v>
      </c>
      <c r="I305" s="2"/>
      <c r="J305" s="17"/>
      <c r="K305" s="17"/>
      <c r="L305" s="17"/>
    </row>
    <row r="306" spans="1:12" ht="17">
      <c r="A306" s="29"/>
      <c r="B306" s="18"/>
      <c r="C306" s="14" t="s">
        <v>169</v>
      </c>
      <c r="D306" s="20"/>
      <c r="E306" s="21"/>
      <c r="F306" s="20"/>
      <c r="G306" s="21"/>
      <c r="H306" s="25">
        <f>SUM(H304:H305)</f>
        <v>0</v>
      </c>
      <c r="I306" s="2"/>
      <c r="J306" s="17"/>
      <c r="K306" s="17"/>
      <c r="L306" s="17"/>
    </row>
    <row r="307" spans="1:12" ht="17">
      <c r="A307" s="29"/>
      <c r="B307" s="13"/>
      <c r="C307" s="14"/>
      <c r="D307" s="20"/>
      <c r="E307" s="21"/>
      <c r="F307" s="20"/>
      <c r="G307" s="21"/>
      <c r="H307" s="20"/>
      <c r="I307" s="2"/>
      <c r="J307" s="17"/>
      <c r="K307" s="17"/>
      <c r="L307" s="17"/>
    </row>
    <row r="308" spans="1:12" ht="17">
      <c r="A308" s="29"/>
      <c r="B308" s="26"/>
      <c r="C308" s="14" t="s">
        <v>170</v>
      </c>
      <c r="D308" s="20"/>
      <c r="E308" s="21"/>
      <c r="F308" s="20"/>
      <c r="G308" s="21"/>
      <c r="H308" s="20"/>
      <c r="I308" s="2"/>
      <c r="J308" s="17"/>
      <c r="K308" s="17"/>
      <c r="L308" s="17"/>
    </row>
    <row r="309" spans="1:12" ht="17">
      <c r="A309" s="29"/>
      <c r="B309" s="18">
        <v>1</v>
      </c>
      <c r="C309" s="19"/>
      <c r="D309" s="20">
        <v>0</v>
      </c>
      <c r="E309" s="21">
        <v>1</v>
      </c>
      <c r="F309" s="20">
        <f>D309*E309</f>
        <v>0</v>
      </c>
      <c r="G309" s="21">
        <v>101</v>
      </c>
      <c r="H309" s="20">
        <f>F309*G309</f>
        <v>0</v>
      </c>
      <c r="I309" s="2"/>
      <c r="J309" s="17"/>
      <c r="K309" s="17"/>
      <c r="L309" s="17"/>
    </row>
    <row r="310" spans="1:12" ht="17">
      <c r="A310" s="29"/>
      <c r="B310" s="18">
        <v>2</v>
      </c>
      <c r="C310" s="19"/>
      <c r="D310" s="20">
        <v>0</v>
      </c>
      <c r="E310" s="21">
        <v>1</v>
      </c>
      <c r="F310" s="20">
        <f>D310*E310</f>
        <v>0</v>
      </c>
      <c r="G310" s="21">
        <v>102</v>
      </c>
      <c r="H310" s="20">
        <f>F310*G310</f>
        <v>0</v>
      </c>
      <c r="I310" s="2"/>
      <c r="J310" s="17"/>
      <c r="K310" s="17"/>
      <c r="L310" s="17"/>
    </row>
    <row r="311" spans="1:12" ht="17">
      <c r="A311" s="29"/>
      <c r="B311" s="18"/>
      <c r="C311" s="14" t="s">
        <v>171</v>
      </c>
      <c r="D311" s="20"/>
      <c r="E311" s="21"/>
      <c r="F311" s="20"/>
      <c r="G311" s="21"/>
      <c r="H311" s="25">
        <f>SUM(H309:H310)</f>
        <v>0</v>
      </c>
      <c r="I311" s="2"/>
      <c r="J311" s="17"/>
      <c r="K311" s="17"/>
      <c r="L311" s="17"/>
    </row>
    <row r="312" spans="1:12" ht="17">
      <c r="A312" s="29"/>
      <c r="B312" s="26"/>
      <c r="C312" s="14"/>
      <c r="D312" s="20"/>
      <c r="E312" s="21"/>
      <c r="F312" s="20"/>
      <c r="G312" s="21"/>
      <c r="H312" s="20"/>
      <c r="I312" s="2"/>
      <c r="J312" s="17"/>
      <c r="K312" s="17"/>
      <c r="L312" s="17"/>
    </row>
    <row r="313" spans="1:12" ht="17">
      <c r="A313" s="29"/>
      <c r="B313" s="26"/>
      <c r="C313" s="14" t="s">
        <v>172</v>
      </c>
      <c r="D313" s="20"/>
      <c r="E313" s="21"/>
      <c r="F313" s="20"/>
      <c r="G313" s="21"/>
      <c r="H313" s="20"/>
      <c r="I313" s="2"/>
      <c r="J313" s="17"/>
      <c r="K313" s="17"/>
      <c r="L313" s="17"/>
    </row>
    <row r="314" spans="1:12" ht="17">
      <c r="A314" s="29"/>
      <c r="B314" s="18">
        <v>1</v>
      </c>
      <c r="C314" s="19"/>
      <c r="D314" s="20">
        <v>0</v>
      </c>
      <c r="E314" s="21">
        <v>1</v>
      </c>
      <c r="F314" s="20">
        <f>D314*E314</f>
        <v>0</v>
      </c>
      <c r="G314" s="21">
        <v>101</v>
      </c>
      <c r="H314" s="20">
        <f>F314*G314</f>
        <v>0</v>
      </c>
      <c r="I314" s="2"/>
      <c r="J314" s="17"/>
      <c r="K314" s="17"/>
      <c r="L314" s="17"/>
    </row>
    <row r="315" spans="1:12" ht="17">
      <c r="A315" s="29"/>
      <c r="B315" s="18">
        <v>2</v>
      </c>
      <c r="C315" s="19"/>
      <c r="D315" s="20">
        <v>0</v>
      </c>
      <c r="E315" s="21">
        <v>1</v>
      </c>
      <c r="F315" s="20">
        <f>D315*E315</f>
        <v>0</v>
      </c>
      <c r="G315" s="21">
        <v>102</v>
      </c>
      <c r="H315" s="20">
        <f>F315*G315</f>
        <v>0</v>
      </c>
      <c r="I315" s="2"/>
      <c r="J315" s="17"/>
      <c r="K315" s="17"/>
      <c r="L315" s="17"/>
    </row>
    <row r="316" spans="1:12" ht="17">
      <c r="A316" s="29"/>
      <c r="B316" s="18"/>
      <c r="C316" s="14" t="s">
        <v>173</v>
      </c>
      <c r="D316" s="20"/>
      <c r="E316" s="21"/>
      <c r="F316" s="20"/>
      <c r="G316" s="21"/>
      <c r="H316" s="25">
        <f>SUM(H314:H315)</f>
        <v>0</v>
      </c>
      <c r="I316" s="2"/>
      <c r="J316" s="17"/>
      <c r="K316" s="17"/>
      <c r="L316" s="17"/>
    </row>
    <row r="317" spans="1:12" ht="17">
      <c r="A317" s="29"/>
      <c r="B317" s="26"/>
      <c r="C317" s="14"/>
      <c r="D317" s="20"/>
      <c r="E317" s="21"/>
      <c r="F317" s="20"/>
      <c r="G317" s="21"/>
      <c r="H317" s="20"/>
      <c r="I317" s="2"/>
      <c r="J317" s="17"/>
      <c r="K317" s="17"/>
      <c r="L317" s="17"/>
    </row>
    <row r="318" spans="1:12" ht="17">
      <c r="A318" s="29"/>
      <c r="B318" s="26"/>
      <c r="C318" s="14" t="s">
        <v>174</v>
      </c>
      <c r="D318" s="20"/>
      <c r="E318" s="21"/>
      <c r="F318" s="20"/>
      <c r="G318" s="21"/>
      <c r="H318" s="20"/>
      <c r="I318" s="2"/>
      <c r="J318" s="17"/>
      <c r="K318" s="17"/>
      <c r="L318" s="17"/>
    </row>
    <row r="319" spans="1:12" ht="17">
      <c r="A319" s="29"/>
      <c r="B319" s="18">
        <v>1</v>
      </c>
      <c r="C319" s="19"/>
      <c r="D319" s="20">
        <v>0</v>
      </c>
      <c r="E319" s="21">
        <v>1</v>
      </c>
      <c r="F319" s="20">
        <f>D319*E319</f>
        <v>0</v>
      </c>
      <c r="G319" s="21">
        <v>101</v>
      </c>
      <c r="H319" s="20">
        <f>F319*G319</f>
        <v>0</v>
      </c>
      <c r="I319" s="2"/>
      <c r="J319" s="17"/>
      <c r="K319" s="17"/>
      <c r="L319" s="17"/>
    </row>
    <row r="320" spans="1:12" ht="17">
      <c r="A320" s="29"/>
      <c r="B320" s="18">
        <v>2</v>
      </c>
      <c r="C320" s="19"/>
      <c r="D320" s="20">
        <v>0</v>
      </c>
      <c r="E320" s="21">
        <v>1</v>
      </c>
      <c r="F320" s="20">
        <f>D320*E320</f>
        <v>0</v>
      </c>
      <c r="G320" s="21">
        <v>102</v>
      </c>
      <c r="H320" s="20">
        <f>F320*G320</f>
        <v>0</v>
      </c>
      <c r="I320" s="2"/>
      <c r="J320" s="17"/>
      <c r="K320" s="17"/>
      <c r="L320" s="17"/>
    </row>
    <row r="321" spans="1:12" ht="17">
      <c r="A321" s="29"/>
      <c r="B321" s="18"/>
      <c r="C321" s="14" t="s">
        <v>175</v>
      </c>
      <c r="D321" s="20"/>
      <c r="E321" s="21"/>
      <c r="F321" s="20"/>
      <c r="G321" s="21"/>
      <c r="H321" s="25">
        <f>SUM(H319:H320)</f>
        <v>0</v>
      </c>
      <c r="I321" s="2"/>
      <c r="J321" s="17"/>
      <c r="K321" s="17"/>
      <c r="L321" s="17"/>
    </row>
    <row r="322" spans="1:12" ht="17">
      <c r="A322" s="29"/>
      <c r="B322" s="26"/>
      <c r="C322" s="14"/>
      <c r="D322" s="20"/>
      <c r="E322" s="21"/>
      <c r="F322" s="20"/>
      <c r="G322" s="21"/>
      <c r="H322" s="20"/>
      <c r="I322" s="2"/>
      <c r="J322" s="17"/>
      <c r="K322" s="17"/>
      <c r="L322" s="17"/>
    </row>
    <row r="323" spans="1:12" ht="17">
      <c r="A323" s="29"/>
      <c r="B323" s="26"/>
      <c r="C323" s="14" t="s">
        <v>176</v>
      </c>
      <c r="D323" s="20"/>
      <c r="E323" s="21"/>
      <c r="F323" s="20"/>
      <c r="G323" s="21"/>
      <c r="H323" s="20"/>
      <c r="I323" s="2"/>
      <c r="J323" s="17"/>
      <c r="K323" s="17"/>
      <c r="L323" s="17"/>
    </row>
    <row r="324" spans="1:12" ht="17">
      <c r="A324" s="29"/>
      <c r="B324" s="18">
        <v>1</v>
      </c>
      <c r="C324" s="19"/>
      <c r="D324" s="20">
        <v>0</v>
      </c>
      <c r="E324" s="21">
        <v>1</v>
      </c>
      <c r="F324" s="20">
        <f>D324*E324</f>
        <v>0</v>
      </c>
      <c r="G324" s="21">
        <v>101</v>
      </c>
      <c r="H324" s="20">
        <f>F324*G324</f>
        <v>0</v>
      </c>
      <c r="I324" s="2"/>
      <c r="J324" s="17"/>
      <c r="K324" s="17"/>
      <c r="L324" s="17"/>
    </row>
    <row r="325" spans="1:12" ht="17">
      <c r="A325" s="29"/>
      <c r="B325" s="18">
        <v>2</v>
      </c>
      <c r="C325" s="19"/>
      <c r="D325" s="20">
        <v>0</v>
      </c>
      <c r="E325" s="21">
        <v>1</v>
      </c>
      <c r="F325" s="20">
        <f>D325*E325</f>
        <v>0</v>
      </c>
      <c r="G325" s="21">
        <v>102</v>
      </c>
      <c r="H325" s="20">
        <f>F325*G325</f>
        <v>0</v>
      </c>
      <c r="I325" s="2"/>
      <c r="J325" s="17"/>
      <c r="K325" s="17"/>
      <c r="L325" s="17"/>
    </row>
    <row r="326" spans="1:12" ht="17">
      <c r="A326" s="29"/>
      <c r="B326" s="18"/>
      <c r="C326" s="14" t="s">
        <v>177</v>
      </c>
      <c r="D326" s="20"/>
      <c r="E326" s="21"/>
      <c r="F326" s="20"/>
      <c r="G326" s="21"/>
      <c r="H326" s="25">
        <f>SUM(H324:H325)</f>
        <v>0</v>
      </c>
      <c r="I326" s="2"/>
      <c r="J326" s="17"/>
      <c r="K326" s="17"/>
      <c r="L326" s="17"/>
    </row>
    <row r="327" spans="1:12" ht="17">
      <c r="A327" s="29"/>
      <c r="B327" s="26"/>
      <c r="C327" s="14"/>
      <c r="D327" s="20"/>
      <c r="E327" s="21"/>
      <c r="F327" s="20"/>
      <c r="G327" s="21"/>
      <c r="H327" s="20"/>
      <c r="I327" s="2"/>
      <c r="J327" s="17"/>
      <c r="K327" s="17"/>
      <c r="L327" s="17"/>
    </row>
    <row r="328" spans="1:12" ht="17">
      <c r="A328" s="29"/>
      <c r="B328" s="26"/>
      <c r="C328" s="14" t="s">
        <v>178</v>
      </c>
      <c r="D328" s="20"/>
      <c r="E328" s="21"/>
      <c r="F328" s="20"/>
      <c r="G328" s="21"/>
      <c r="H328" s="20"/>
      <c r="I328" s="2"/>
      <c r="J328" s="17"/>
      <c r="K328" s="17"/>
      <c r="L328" s="17"/>
    </row>
    <row r="329" spans="1:12" ht="17">
      <c r="A329" s="29"/>
      <c r="B329" s="18">
        <v>1</v>
      </c>
      <c r="C329" s="19" t="s">
        <v>94</v>
      </c>
      <c r="D329" s="20">
        <v>0</v>
      </c>
      <c r="E329" s="21">
        <v>1</v>
      </c>
      <c r="F329" s="20">
        <f>D329*E329</f>
        <v>0</v>
      </c>
      <c r="G329" s="21">
        <v>25000</v>
      </c>
      <c r="H329" s="20">
        <f>F329*G329</f>
        <v>0</v>
      </c>
      <c r="I329" s="2"/>
      <c r="J329" s="17"/>
      <c r="K329" s="17"/>
      <c r="L329" s="17"/>
    </row>
    <row r="330" spans="1:12" ht="17">
      <c r="A330" s="29"/>
      <c r="B330" s="18">
        <v>2</v>
      </c>
      <c r="C330" s="19" t="s">
        <v>95</v>
      </c>
      <c r="D330" s="20">
        <v>1</v>
      </c>
      <c r="E330" s="21">
        <v>1</v>
      </c>
      <c r="F330" s="20">
        <f t="shared" ref="F330:F332" si="31">D330*E330</f>
        <v>1</v>
      </c>
      <c r="G330" s="21">
        <v>40000</v>
      </c>
      <c r="H330" s="20">
        <f t="shared" ref="H330:H332" si="32">F330*G330</f>
        <v>40000</v>
      </c>
      <c r="I330" s="2"/>
      <c r="J330" s="17"/>
      <c r="K330" s="17"/>
      <c r="L330" s="17"/>
    </row>
    <row r="331" spans="1:12" ht="17">
      <c r="A331" s="29"/>
      <c r="B331" s="18">
        <v>3</v>
      </c>
      <c r="C331" s="19"/>
      <c r="D331" s="20">
        <v>0</v>
      </c>
      <c r="E331" s="21">
        <v>1</v>
      </c>
      <c r="F331" s="20">
        <f t="shared" si="31"/>
        <v>0</v>
      </c>
      <c r="G331" s="21">
        <v>103</v>
      </c>
      <c r="H331" s="20">
        <f t="shared" si="32"/>
        <v>0</v>
      </c>
      <c r="I331" s="2"/>
      <c r="J331" s="17"/>
      <c r="K331" s="17"/>
      <c r="L331" s="17"/>
    </row>
    <row r="332" spans="1:12" ht="17">
      <c r="A332" s="29"/>
      <c r="B332" s="18">
        <v>4</v>
      </c>
      <c r="C332" s="19"/>
      <c r="D332" s="20">
        <v>0</v>
      </c>
      <c r="E332" s="21">
        <v>1</v>
      </c>
      <c r="F332" s="20">
        <f t="shared" si="31"/>
        <v>0</v>
      </c>
      <c r="G332" s="21">
        <v>104</v>
      </c>
      <c r="H332" s="20">
        <f t="shared" si="32"/>
        <v>0</v>
      </c>
      <c r="I332" s="2"/>
      <c r="J332" s="17"/>
      <c r="K332" s="17"/>
      <c r="L332" s="17"/>
    </row>
    <row r="333" spans="1:12" ht="17">
      <c r="A333" s="29"/>
      <c r="B333" s="18">
        <v>5</v>
      </c>
      <c r="C333" s="19"/>
      <c r="D333" s="20">
        <v>0</v>
      </c>
      <c r="E333" s="21">
        <v>1</v>
      </c>
      <c r="F333" s="20">
        <f>D333*E333</f>
        <v>0</v>
      </c>
      <c r="G333" s="21">
        <v>102</v>
      </c>
      <c r="H333" s="20">
        <f>F333*G333</f>
        <v>0</v>
      </c>
      <c r="I333" s="2"/>
      <c r="J333" s="17"/>
      <c r="K333" s="17"/>
      <c r="L333" s="17"/>
    </row>
    <row r="334" spans="1:12" ht="17">
      <c r="A334" s="29"/>
      <c r="B334" s="18"/>
      <c r="C334" s="14" t="s">
        <v>179</v>
      </c>
      <c r="D334" s="20"/>
      <c r="E334" s="21"/>
      <c r="F334" s="20"/>
      <c r="G334" s="21"/>
      <c r="H334" s="25">
        <f>SUM(H329:H333)</f>
        <v>40000</v>
      </c>
      <c r="I334" s="2"/>
      <c r="J334" s="17"/>
      <c r="K334" s="17"/>
      <c r="L334" s="17"/>
    </row>
    <row r="335" spans="1:12" ht="17">
      <c r="A335" s="29"/>
      <c r="B335" s="26"/>
      <c r="C335" s="14"/>
      <c r="D335" s="20"/>
      <c r="E335" s="21"/>
      <c r="F335" s="20"/>
      <c r="G335" s="21"/>
      <c r="H335" s="20"/>
      <c r="I335" s="2"/>
      <c r="J335" s="17"/>
      <c r="K335" s="17"/>
      <c r="L335" s="17"/>
    </row>
    <row r="336" spans="1:12" ht="17">
      <c r="A336" s="29"/>
      <c r="B336" s="26"/>
      <c r="C336" s="14" t="s">
        <v>180</v>
      </c>
      <c r="D336" s="20"/>
      <c r="E336" s="21"/>
      <c r="F336" s="20"/>
      <c r="G336" s="21"/>
      <c r="H336" s="20"/>
      <c r="I336" s="2"/>
      <c r="J336" s="17"/>
      <c r="K336" s="17"/>
      <c r="L336" s="17"/>
    </row>
    <row r="337" spans="1:12" ht="17">
      <c r="A337" s="29"/>
      <c r="B337" s="18">
        <v>1</v>
      </c>
      <c r="C337" s="19" t="s">
        <v>98</v>
      </c>
      <c r="D337" s="20">
        <v>2</v>
      </c>
      <c r="E337" s="21">
        <v>1</v>
      </c>
      <c r="F337" s="20">
        <f>D337*E337</f>
        <v>2</v>
      </c>
      <c r="G337" s="21">
        <v>12507</v>
      </c>
      <c r="H337" s="20">
        <f>F337*G337</f>
        <v>25014</v>
      </c>
      <c r="I337" s="2"/>
      <c r="J337" s="17"/>
      <c r="K337" s="17"/>
      <c r="L337" s="17"/>
    </row>
    <row r="338" spans="1:12" ht="17">
      <c r="A338" s="29"/>
      <c r="B338" s="18">
        <v>2</v>
      </c>
      <c r="C338" s="19" t="s">
        <v>99</v>
      </c>
      <c r="D338" s="20">
        <v>2</v>
      </c>
      <c r="E338" s="21">
        <v>1</v>
      </c>
      <c r="F338" s="20">
        <f t="shared" ref="F338:F342" si="33">D338*E338</f>
        <v>2</v>
      </c>
      <c r="G338" s="21">
        <v>12507</v>
      </c>
      <c r="H338" s="20">
        <f t="shared" ref="H338:H342" si="34">F338*G338</f>
        <v>25014</v>
      </c>
      <c r="I338" s="2"/>
      <c r="J338" s="17"/>
      <c r="K338" s="17"/>
      <c r="L338" s="17"/>
    </row>
    <row r="339" spans="1:12" ht="17">
      <c r="A339" s="29"/>
      <c r="B339" s="18">
        <v>3</v>
      </c>
      <c r="C339" s="19" t="s">
        <v>65</v>
      </c>
      <c r="D339" s="20">
        <v>2</v>
      </c>
      <c r="E339" s="21">
        <v>1</v>
      </c>
      <c r="F339" s="20">
        <f t="shared" si="33"/>
        <v>2</v>
      </c>
      <c r="G339" s="21">
        <v>12507</v>
      </c>
      <c r="H339" s="20">
        <f t="shared" si="34"/>
        <v>25014</v>
      </c>
      <c r="I339" s="2"/>
      <c r="J339" s="17"/>
      <c r="K339" s="17"/>
      <c r="L339" s="17"/>
    </row>
    <row r="340" spans="1:12" ht="17">
      <c r="A340" s="29"/>
      <c r="B340" s="18">
        <v>4</v>
      </c>
      <c r="C340" s="19" t="s">
        <v>100</v>
      </c>
      <c r="D340" s="20">
        <v>2</v>
      </c>
      <c r="E340" s="21">
        <v>1</v>
      </c>
      <c r="F340" s="20">
        <f t="shared" si="33"/>
        <v>2</v>
      </c>
      <c r="G340" s="21">
        <v>12507</v>
      </c>
      <c r="H340" s="20">
        <f t="shared" si="34"/>
        <v>25014</v>
      </c>
      <c r="I340" s="2"/>
      <c r="J340" s="17"/>
      <c r="K340" s="17"/>
      <c r="L340" s="17"/>
    </row>
    <row r="341" spans="1:12" ht="17">
      <c r="A341" s="29"/>
      <c r="B341" s="18">
        <v>5</v>
      </c>
      <c r="C341" s="19" t="s">
        <v>101</v>
      </c>
      <c r="D341" s="20">
        <v>0</v>
      </c>
      <c r="E341" s="21">
        <v>1</v>
      </c>
      <c r="F341" s="20">
        <f t="shared" si="33"/>
        <v>0</v>
      </c>
      <c r="G341" s="21">
        <v>53846.153846153844</v>
      </c>
      <c r="H341" s="20">
        <f t="shared" si="34"/>
        <v>0</v>
      </c>
      <c r="I341" s="2"/>
      <c r="J341" s="17"/>
      <c r="K341" s="17"/>
      <c r="L341" s="17"/>
    </row>
    <row r="342" spans="1:12" ht="17">
      <c r="A342" s="29"/>
      <c r="B342" s="18">
        <v>6</v>
      </c>
      <c r="C342" s="19"/>
      <c r="D342" s="20">
        <v>0</v>
      </c>
      <c r="E342" s="21">
        <v>1</v>
      </c>
      <c r="F342" s="20">
        <f t="shared" si="33"/>
        <v>0</v>
      </c>
      <c r="G342" s="21">
        <v>106</v>
      </c>
      <c r="H342" s="20">
        <f t="shared" si="34"/>
        <v>0</v>
      </c>
      <c r="I342" s="2"/>
      <c r="J342" s="17"/>
      <c r="K342" s="17"/>
      <c r="L342" s="17"/>
    </row>
    <row r="343" spans="1:12" ht="17">
      <c r="A343" s="29"/>
      <c r="B343" s="18">
        <v>7</v>
      </c>
      <c r="C343" s="19"/>
      <c r="D343" s="20">
        <v>0</v>
      </c>
      <c r="E343" s="21">
        <v>1</v>
      </c>
      <c r="F343" s="20">
        <f>D343*E343</f>
        <v>0</v>
      </c>
      <c r="G343" s="21">
        <v>102</v>
      </c>
      <c r="H343" s="20">
        <f>F343*G343</f>
        <v>0</v>
      </c>
      <c r="I343" s="2"/>
      <c r="J343" s="17"/>
      <c r="K343" s="17"/>
      <c r="L343" s="17"/>
    </row>
    <row r="344" spans="1:12" ht="17">
      <c r="A344" s="29"/>
      <c r="B344" s="18"/>
      <c r="C344" s="14" t="s">
        <v>181</v>
      </c>
      <c r="D344" s="20"/>
      <c r="E344" s="21"/>
      <c r="F344" s="20"/>
      <c r="G344" s="21"/>
      <c r="H344" s="25">
        <f>SUM(H337:H343)</f>
        <v>100056</v>
      </c>
      <c r="I344" s="2"/>
      <c r="J344" s="17"/>
      <c r="K344" s="17"/>
      <c r="L344" s="17"/>
    </row>
    <row r="345" spans="1:12" ht="17">
      <c r="A345" s="29"/>
      <c r="B345" s="18"/>
      <c r="C345" s="14"/>
      <c r="D345" s="20"/>
      <c r="E345" s="21"/>
      <c r="F345" s="20"/>
      <c r="G345" s="21"/>
      <c r="H345" s="25"/>
      <c r="I345" s="2"/>
      <c r="J345" s="17"/>
      <c r="K345" s="17"/>
      <c r="L345" s="17"/>
    </row>
    <row r="346" spans="1:12" ht="17">
      <c r="A346" s="29"/>
      <c r="B346" s="26"/>
      <c r="C346" s="14" t="s">
        <v>182</v>
      </c>
      <c r="D346" s="20"/>
      <c r="E346" s="21"/>
      <c r="F346" s="20"/>
      <c r="G346" s="21"/>
      <c r="H346" s="20"/>
      <c r="I346" s="2"/>
      <c r="J346" s="17"/>
      <c r="K346" s="17"/>
      <c r="L346" s="17"/>
    </row>
    <row r="347" spans="1:12" ht="17">
      <c r="A347" s="29"/>
      <c r="B347" s="18">
        <v>1</v>
      </c>
      <c r="C347" s="19" t="s">
        <v>104</v>
      </c>
      <c r="D347" s="20">
        <v>2</v>
      </c>
      <c r="E347" s="21">
        <v>1</v>
      </c>
      <c r="F347" s="20">
        <f>D347*E347</f>
        <v>2</v>
      </c>
      <c r="G347" s="21">
        <v>140000</v>
      </c>
      <c r="H347" s="20">
        <f>F347*G347</f>
        <v>280000</v>
      </c>
      <c r="I347" s="2"/>
      <c r="J347" s="17"/>
      <c r="K347" s="17"/>
      <c r="L347" s="17"/>
    </row>
    <row r="348" spans="1:12" ht="17">
      <c r="A348" s="29"/>
      <c r="B348" s="18">
        <v>2</v>
      </c>
      <c r="C348" s="19" t="s">
        <v>76</v>
      </c>
      <c r="D348" s="20">
        <v>2</v>
      </c>
      <c r="E348" s="21">
        <v>1</v>
      </c>
      <c r="F348" s="20">
        <f t="shared" ref="F348:F354" si="35">D348*E348</f>
        <v>2</v>
      </c>
      <c r="G348" s="21">
        <v>30770</v>
      </c>
      <c r="H348" s="20">
        <f t="shared" ref="H348:H354" si="36">F348*G348</f>
        <v>61540</v>
      </c>
      <c r="I348" s="2"/>
      <c r="J348" s="17"/>
      <c r="K348" s="17"/>
      <c r="L348" s="17"/>
    </row>
    <row r="349" spans="1:12" ht="17">
      <c r="A349" s="29"/>
      <c r="B349" s="18">
        <v>3</v>
      </c>
      <c r="C349" s="19" t="s">
        <v>105</v>
      </c>
      <c r="D349" s="20">
        <v>2</v>
      </c>
      <c r="E349" s="21">
        <v>1</v>
      </c>
      <c r="F349" s="20">
        <f t="shared" si="35"/>
        <v>2</v>
      </c>
      <c r="G349" s="21">
        <v>30770</v>
      </c>
      <c r="H349" s="20">
        <f t="shared" si="36"/>
        <v>61540</v>
      </c>
      <c r="I349" s="2"/>
      <c r="J349" s="17"/>
      <c r="K349" s="17"/>
      <c r="L349" s="17"/>
    </row>
    <row r="350" spans="1:12" ht="17">
      <c r="A350" s="29"/>
      <c r="B350" s="18">
        <v>4</v>
      </c>
      <c r="C350" s="19" t="s">
        <v>106</v>
      </c>
      <c r="D350" s="20">
        <v>0</v>
      </c>
      <c r="E350" s="21">
        <v>1</v>
      </c>
      <c r="F350" s="20">
        <f t="shared" si="35"/>
        <v>0</v>
      </c>
      <c r="G350" s="21">
        <v>240000</v>
      </c>
      <c r="H350" s="20">
        <f t="shared" si="36"/>
        <v>0</v>
      </c>
      <c r="I350" s="2"/>
      <c r="J350" s="17"/>
      <c r="K350" s="17"/>
      <c r="L350" s="17"/>
    </row>
    <row r="351" spans="1:12" ht="17">
      <c r="A351" s="29"/>
      <c r="B351" s="18">
        <v>5</v>
      </c>
      <c r="C351" s="19" t="s">
        <v>107</v>
      </c>
      <c r="D351" s="20">
        <v>1</v>
      </c>
      <c r="E351" s="21">
        <v>1</v>
      </c>
      <c r="F351" s="20">
        <f t="shared" si="35"/>
        <v>1</v>
      </c>
      <c r="G351" s="21">
        <v>240000</v>
      </c>
      <c r="H351" s="20">
        <f t="shared" si="36"/>
        <v>240000</v>
      </c>
      <c r="I351" s="2"/>
      <c r="J351" s="17"/>
      <c r="K351" s="17"/>
      <c r="L351" s="17"/>
    </row>
    <row r="352" spans="1:12" ht="17">
      <c r="A352" s="29"/>
      <c r="B352" s="18">
        <v>6</v>
      </c>
      <c r="C352" s="19" t="s">
        <v>108</v>
      </c>
      <c r="D352" s="20">
        <v>1</v>
      </c>
      <c r="E352" s="21">
        <v>1</v>
      </c>
      <c r="F352" s="20">
        <f t="shared" si="35"/>
        <v>1</v>
      </c>
      <c r="G352" s="21">
        <v>1000000</v>
      </c>
      <c r="H352" s="20">
        <f t="shared" si="36"/>
        <v>1000000</v>
      </c>
      <c r="I352" s="2"/>
      <c r="J352" s="17"/>
      <c r="K352" s="17"/>
      <c r="L352" s="17"/>
    </row>
    <row r="353" spans="1:12" ht="17">
      <c r="A353" s="29"/>
      <c r="B353" s="18">
        <v>7</v>
      </c>
      <c r="C353" s="19" t="s">
        <v>109</v>
      </c>
      <c r="D353" s="20">
        <v>0</v>
      </c>
      <c r="E353" s="21">
        <v>1</v>
      </c>
      <c r="F353" s="20">
        <f t="shared" si="35"/>
        <v>0</v>
      </c>
      <c r="G353" s="21">
        <v>108</v>
      </c>
      <c r="H353" s="20">
        <f t="shared" si="36"/>
        <v>0</v>
      </c>
      <c r="I353" s="2"/>
      <c r="J353" s="17"/>
      <c r="K353" s="17"/>
      <c r="L353" s="17"/>
    </row>
    <row r="354" spans="1:12" ht="17">
      <c r="A354" s="29"/>
      <c r="B354" s="18">
        <v>8</v>
      </c>
      <c r="C354" s="19"/>
      <c r="D354" s="20">
        <v>0</v>
      </c>
      <c r="E354" s="21">
        <v>1</v>
      </c>
      <c r="F354" s="20">
        <f t="shared" si="35"/>
        <v>0</v>
      </c>
      <c r="G354" s="21">
        <v>109</v>
      </c>
      <c r="H354" s="20">
        <f t="shared" si="36"/>
        <v>0</v>
      </c>
      <c r="I354" s="2"/>
      <c r="J354" s="17"/>
      <c r="K354" s="17"/>
      <c r="L354" s="17"/>
    </row>
    <row r="355" spans="1:12" ht="17">
      <c r="A355" s="29"/>
      <c r="B355" s="18">
        <v>9</v>
      </c>
      <c r="C355" s="19"/>
      <c r="D355" s="20">
        <v>0</v>
      </c>
      <c r="E355" s="21">
        <v>1</v>
      </c>
      <c r="F355" s="20">
        <f>D355*E355</f>
        <v>0</v>
      </c>
      <c r="G355" s="21">
        <v>102</v>
      </c>
      <c r="H355" s="20">
        <f>F355*G355</f>
        <v>0</v>
      </c>
      <c r="I355" s="2"/>
      <c r="J355" s="17"/>
      <c r="K355" s="17"/>
      <c r="L355" s="17"/>
    </row>
    <row r="356" spans="1:12" ht="17">
      <c r="A356" s="29"/>
      <c r="B356" s="18"/>
      <c r="C356" s="14" t="s">
        <v>183</v>
      </c>
      <c r="D356" s="20"/>
      <c r="E356" s="21"/>
      <c r="F356" s="20"/>
      <c r="G356" s="21"/>
      <c r="H356" s="25">
        <f>SUM(H347:H355)</f>
        <v>1643080</v>
      </c>
      <c r="I356" s="2"/>
      <c r="J356" s="17"/>
      <c r="K356" s="17"/>
      <c r="L356" s="17"/>
    </row>
    <row r="357" spans="1:12" ht="17">
      <c r="A357" s="29"/>
      <c r="B357" s="18"/>
      <c r="C357" s="14"/>
      <c r="D357" s="20"/>
      <c r="E357" s="21"/>
      <c r="F357" s="20"/>
      <c r="G357" s="21"/>
      <c r="H357" s="25"/>
      <c r="I357" s="2"/>
      <c r="J357" s="17"/>
      <c r="K357" s="17"/>
      <c r="L357" s="17"/>
    </row>
    <row r="358" spans="1:12" ht="17">
      <c r="A358" s="29"/>
      <c r="B358" s="26"/>
      <c r="C358" s="14" t="s">
        <v>184</v>
      </c>
      <c r="D358" s="20"/>
      <c r="E358" s="21"/>
      <c r="F358" s="20"/>
      <c r="G358" s="21"/>
      <c r="H358" s="25">
        <f>H306+H311+H316+H321+H326+H334+H344+H356</f>
        <v>1783136</v>
      </c>
      <c r="I358" s="2"/>
      <c r="J358" s="17"/>
      <c r="K358" s="17"/>
      <c r="L358" s="17"/>
    </row>
    <row r="359" spans="1:12" ht="17">
      <c r="A359" s="29"/>
      <c r="B359" s="26"/>
      <c r="C359" s="14"/>
      <c r="D359" s="20"/>
      <c r="E359" s="21"/>
      <c r="F359" s="20"/>
      <c r="G359" s="21"/>
      <c r="H359" s="20"/>
      <c r="I359" s="2"/>
      <c r="J359" s="17"/>
      <c r="K359" s="17"/>
      <c r="L359" s="17"/>
    </row>
    <row r="360" spans="1:12" ht="39">
      <c r="A360" s="29"/>
      <c r="B360" s="13" t="s">
        <v>185</v>
      </c>
      <c r="C360" s="14" t="s">
        <v>186</v>
      </c>
      <c r="D360" s="20"/>
      <c r="E360" s="21"/>
      <c r="F360" s="20"/>
      <c r="G360" s="21"/>
      <c r="H360" s="20"/>
      <c r="I360" s="2"/>
      <c r="J360" s="17"/>
      <c r="K360" s="17"/>
      <c r="L360" s="17"/>
    </row>
    <row r="361" spans="1:12" ht="17">
      <c r="A361" s="29"/>
      <c r="B361" s="18">
        <v>1</v>
      </c>
      <c r="C361" s="19"/>
      <c r="D361" s="20">
        <v>0</v>
      </c>
      <c r="E361" s="21">
        <v>1</v>
      </c>
      <c r="F361" s="20">
        <f>D361*E361</f>
        <v>0</v>
      </c>
      <c r="G361" s="21">
        <v>101</v>
      </c>
      <c r="H361" s="20">
        <f>F361*G361</f>
        <v>0</v>
      </c>
      <c r="I361" s="2"/>
      <c r="J361" s="17"/>
      <c r="K361" s="17"/>
      <c r="L361" s="17"/>
    </row>
    <row r="362" spans="1:12" ht="17">
      <c r="A362" s="29"/>
      <c r="B362" s="18">
        <v>2</v>
      </c>
      <c r="C362" s="19"/>
      <c r="D362" s="20">
        <v>0</v>
      </c>
      <c r="E362" s="21">
        <v>1</v>
      </c>
      <c r="F362" s="20">
        <f>D362*E362</f>
        <v>0</v>
      </c>
      <c r="G362" s="21">
        <v>102</v>
      </c>
      <c r="H362" s="20">
        <f>F362*G362</f>
        <v>0</v>
      </c>
      <c r="I362" s="2"/>
      <c r="J362" s="17"/>
      <c r="K362" s="17"/>
      <c r="L362" s="17"/>
    </row>
    <row r="363" spans="1:12" ht="17">
      <c r="A363" s="29"/>
      <c r="B363" s="18"/>
      <c r="C363" s="14" t="s">
        <v>187</v>
      </c>
      <c r="D363" s="20"/>
      <c r="E363" s="21"/>
      <c r="F363" s="20"/>
      <c r="G363" s="21"/>
      <c r="H363" s="25">
        <f>SUM(H361:H362)</f>
        <v>0</v>
      </c>
      <c r="I363" s="2"/>
      <c r="J363" s="17"/>
      <c r="K363" s="17"/>
      <c r="L363" s="17"/>
    </row>
    <row r="364" spans="1:12" ht="17">
      <c r="A364" s="29"/>
      <c r="B364" s="13"/>
      <c r="C364" s="14"/>
      <c r="D364" s="20"/>
      <c r="E364" s="21"/>
      <c r="F364" s="20"/>
      <c r="G364" s="21"/>
      <c r="H364" s="20"/>
      <c r="I364" s="2"/>
      <c r="J364" s="17"/>
      <c r="K364" s="17"/>
      <c r="L364" s="17"/>
    </row>
    <row r="365" spans="1:12" ht="17">
      <c r="A365" s="29"/>
      <c r="B365" s="26"/>
      <c r="C365" s="14" t="s">
        <v>188</v>
      </c>
      <c r="D365" s="20"/>
      <c r="E365" s="21"/>
      <c r="F365" s="20"/>
      <c r="G365" s="21"/>
      <c r="H365" s="20"/>
      <c r="I365" s="2"/>
      <c r="J365" s="17"/>
      <c r="K365" s="17"/>
      <c r="L365" s="17"/>
    </row>
    <row r="366" spans="1:12" ht="17">
      <c r="A366" s="29"/>
      <c r="B366" s="18">
        <v>1</v>
      </c>
      <c r="C366" s="19"/>
      <c r="D366" s="20">
        <v>0</v>
      </c>
      <c r="E366" s="21">
        <v>1</v>
      </c>
      <c r="F366" s="20">
        <f>D366*E366</f>
        <v>0</v>
      </c>
      <c r="G366" s="21">
        <v>101</v>
      </c>
      <c r="H366" s="20">
        <f>F366*G366</f>
        <v>0</v>
      </c>
      <c r="I366" s="2"/>
      <c r="J366" s="17"/>
      <c r="K366" s="17"/>
      <c r="L366" s="17"/>
    </row>
    <row r="367" spans="1:12" ht="17">
      <c r="A367" s="29"/>
      <c r="B367" s="18">
        <v>2</v>
      </c>
      <c r="C367" s="19"/>
      <c r="D367" s="20">
        <v>0</v>
      </c>
      <c r="E367" s="21">
        <v>1</v>
      </c>
      <c r="F367" s="20">
        <f>D367*E367</f>
        <v>0</v>
      </c>
      <c r="G367" s="21">
        <v>102</v>
      </c>
      <c r="H367" s="20">
        <f>F367*G367</f>
        <v>0</v>
      </c>
      <c r="I367" s="2"/>
      <c r="J367" s="17"/>
      <c r="K367" s="17"/>
      <c r="L367" s="17"/>
    </row>
    <row r="368" spans="1:12" ht="17">
      <c r="A368" s="29"/>
      <c r="B368" s="18"/>
      <c r="C368" s="14" t="s">
        <v>189</v>
      </c>
      <c r="D368" s="20"/>
      <c r="E368" s="21"/>
      <c r="F368" s="20"/>
      <c r="G368" s="21"/>
      <c r="H368" s="25">
        <f>SUM(H366:H367)</f>
        <v>0</v>
      </c>
      <c r="I368" s="2"/>
      <c r="J368" s="17"/>
      <c r="K368" s="17"/>
      <c r="L368" s="17"/>
    </row>
    <row r="369" spans="1:12" ht="17">
      <c r="A369" s="29"/>
      <c r="B369" s="26"/>
      <c r="C369" s="14"/>
      <c r="D369" s="20"/>
      <c r="E369" s="21"/>
      <c r="F369" s="20"/>
      <c r="G369" s="21"/>
      <c r="H369" s="20"/>
      <c r="I369" s="2"/>
      <c r="J369" s="17"/>
      <c r="K369" s="17"/>
      <c r="L369" s="17"/>
    </row>
    <row r="370" spans="1:12" ht="17">
      <c r="A370" s="29"/>
      <c r="B370" s="26"/>
      <c r="C370" s="14" t="s">
        <v>190</v>
      </c>
      <c r="D370" s="20"/>
      <c r="E370" s="21"/>
      <c r="F370" s="20"/>
      <c r="G370" s="21"/>
      <c r="H370" s="20"/>
      <c r="I370" s="2"/>
      <c r="J370" s="17"/>
      <c r="K370" s="17"/>
      <c r="L370" s="17"/>
    </row>
    <row r="371" spans="1:12" ht="17">
      <c r="A371" s="29"/>
      <c r="B371" s="18">
        <v>1</v>
      </c>
      <c r="C371" s="19"/>
      <c r="D371" s="20">
        <v>0</v>
      </c>
      <c r="E371" s="21">
        <v>1</v>
      </c>
      <c r="F371" s="20">
        <f>D371*E371</f>
        <v>0</v>
      </c>
      <c r="G371" s="21">
        <v>101</v>
      </c>
      <c r="H371" s="20">
        <f>F371*G371</f>
        <v>0</v>
      </c>
      <c r="I371" s="2"/>
      <c r="J371" s="17"/>
      <c r="K371" s="17"/>
      <c r="L371" s="17"/>
    </row>
    <row r="372" spans="1:12" ht="17">
      <c r="A372" s="29"/>
      <c r="B372" s="18">
        <v>2</v>
      </c>
      <c r="C372" s="19"/>
      <c r="D372" s="20">
        <v>0</v>
      </c>
      <c r="E372" s="21">
        <v>1</v>
      </c>
      <c r="F372" s="20">
        <f>D372*E372</f>
        <v>0</v>
      </c>
      <c r="G372" s="21">
        <v>102</v>
      </c>
      <c r="H372" s="20">
        <f>F372*G372</f>
        <v>0</v>
      </c>
      <c r="I372" s="2"/>
      <c r="J372" s="17"/>
      <c r="K372" s="17"/>
      <c r="L372" s="17"/>
    </row>
    <row r="373" spans="1:12" ht="17">
      <c r="A373" s="29"/>
      <c r="B373" s="18"/>
      <c r="C373" s="14" t="s">
        <v>191</v>
      </c>
      <c r="D373" s="20"/>
      <c r="E373" s="21"/>
      <c r="F373" s="20"/>
      <c r="G373" s="21"/>
      <c r="H373" s="25">
        <f>SUM(H371:H372)</f>
        <v>0</v>
      </c>
      <c r="I373" s="2"/>
      <c r="J373" s="17"/>
      <c r="K373" s="17"/>
      <c r="L373" s="17"/>
    </row>
    <row r="374" spans="1:12" ht="17">
      <c r="A374" s="29"/>
      <c r="B374" s="26"/>
      <c r="C374" s="14"/>
      <c r="D374" s="20"/>
      <c r="E374" s="21"/>
      <c r="F374" s="20"/>
      <c r="G374" s="21"/>
      <c r="H374" s="20"/>
      <c r="I374" s="2"/>
      <c r="J374" s="17"/>
      <c r="K374" s="17"/>
      <c r="L374" s="17"/>
    </row>
    <row r="375" spans="1:12" ht="17">
      <c r="A375" s="29"/>
      <c r="B375" s="26"/>
      <c r="C375" s="14" t="s">
        <v>192</v>
      </c>
      <c r="D375" s="20"/>
      <c r="E375" s="21"/>
      <c r="F375" s="20"/>
      <c r="G375" s="21"/>
      <c r="H375" s="20"/>
      <c r="I375" s="2"/>
      <c r="J375" s="17"/>
      <c r="K375" s="17"/>
      <c r="L375" s="17"/>
    </row>
    <row r="376" spans="1:12" ht="17">
      <c r="A376" s="29"/>
      <c r="B376" s="18">
        <v>1</v>
      </c>
      <c r="C376" s="19"/>
      <c r="D376" s="20">
        <v>0</v>
      </c>
      <c r="E376" s="21">
        <v>1</v>
      </c>
      <c r="F376" s="20">
        <f>D376*E376</f>
        <v>0</v>
      </c>
      <c r="G376" s="21">
        <v>101</v>
      </c>
      <c r="H376" s="20">
        <f>F376*G376</f>
        <v>0</v>
      </c>
      <c r="I376" s="2"/>
      <c r="J376" s="17"/>
      <c r="K376" s="17"/>
      <c r="L376" s="17"/>
    </row>
    <row r="377" spans="1:12" ht="17">
      <c r="A377" s="29"/>
      <c r="B377" s="18">
        <v>2</v>
      </c>
      <c r="C377" s="19"/>
      <c r="D377" s="20">
        <v>0</v>
      </c>
      <c r="E377" s="21">
        <v>1</v>
      </c>
      <c r="F377" s="20">
        <f>D377*E377</f>
        <v>0</v>
      </c>
      <c r="G377" s="21">
        <v>102</v>
      </c>
      <c r="H377" s="20">
        <f>F377*G377</f>
        <v>0</v>
      </c>
      <c r="I377" s="2"/>
      <c r="J377" s="17"/>
      <c r="K377" s="17"/>
      <c r="L377" s="17"/>
    </row>
    <row r="378" spans="1:12" ht="17">
      <c r="A378" s="29"/>
      <c r="B378" s="18"/>
      <c r="C378" s="14" t="s">
        <v>193</v>
      </c>
      <c r="D378" s="20"/>
      <c r="E378" s="21"/>
      <c r="F378" s="20"/>
      <c r="G378" s="21"/>
      <c r="H378" s="25">
        <f>SUM(H376:H377)</f>
        <v>0</v>
      </c>
      <c r="I378" s="2"/>
      <c r="J378" s="17"/>
      <c r="K378" s="17"/>
      <c r="L378" s="17"/>
    </row>
    <row r="379" spans="1:12" ht="17">
      <c r="A379" s="29"/>
      <c r="B379" s="26"/>
      <c r="C379" s="14"/>
      <c r="D379" s="20"/>
      <c r="E379" s="21"/>
      <c r="F379" s="20"/>
      <c r="G379" s="21"/>
      <c r="H379" s="20"/>
      <c r="I379" s="2"/>
      <c r="J379" s="17"/>
      <c r="K379" s="17"/>
      <c r="L379" s="17"/>
    </row>
    <row r="380" spans="1:12" ht="17">
      <c r="A380" s="29"/>
      <c r="B380" s="26"/>
      <c r="C380" s="14" t="s">
        <v>194</v>
      </c>
      <c r="D380" s="20"/>
      <c r="E380" s="21"/>
      <c r="F380" s="20"/>
      <c r="G380" s="21"/>
      <c r="H380" s="20"/>
      <c r="I380" s="2"/>
      <c r="J380" s="17"/>
      <c r="K380" s="17"/>
      <c r="L380" s="17"/>
    </row>
    <row r="381" spans="1:12" ht="17">
      <c r="A381" s="29"/>
      <c r="B381" s="18">
        <v>1</v>
      </c>
      <c r="C381" s="19"/>
      <c r="D381" s="20">
        <v>0</v>
      </c>
      <c r="E381" s="21">
        <v>1</v>
      </c>
      <c r="F381" s="20">
        <f>D381*E381</f>
        <v>0</v>
      </c>
      <c r="G381" s="21">
        <v>101</v>
      </c>
      <c r="H381" s="20">
        <f>F381*G381</f>
        <v>0</v>
      </c>
      <c r="I381" s="2"/>
      <c r="J381" s="17"/>
      <c r="K381" s="17"/>
      <c r="L381" s="17"/>
    </row>
    <row r="382" spans="1:12" ht="17">
      <c r="A382" s="29"/>
      <c r="B382" s="18">
        <v>2</v>
      </c>
      <c r="C382" s="19"/>
      <c r="D382" s="20">
        <v>0</v>
      </c>
      <c r="E382" s="21">
        <v>1</v>
      </c>
      <c r="F382" s="20">
        <f>D382*E382</f>
        <v>0</v>
      </c>
      <c r="G382" s="21">
        <v>102</v>
      </c>
      <c r="H382" s="20">
        <f>F382*G382</f>
        <v>0</v>
      </c>
      <c r="I382" s="2"/>
      <c r="J382" s="17"/>
      <c r="K382" s="17"/>
      <c r="L382" s="17"/>
    </row>
    <row r="383" spans="1:12" ht="17">
      <c r="A383" s="29"/>
      <c r="B383" s="18"/>
      <c r="C383" s="14" t="s">
        <v>195</v>
      </c>
      <c r="D383" s="20"/>
      <c r="E383" s="21"/>
      <c r="F383" s="20"/>
      <c r="G383" s="21"/>
      <c r="H383" s="25">
        <f>SUM(H381:H382)</f>
        <v>0</v>
      </c>
      <c r="I383" s="2"/>
      <c r="J383" s="17"/>
      <c r="K383" s="17"/>
      <c r="L383" s="17"/>
    </row>
    <row r="384" spans="1:12" ht="17">
      <c r="A384" s="29"/>
      <c r="B384" s="26"/>
      <c r="C384" s="14"/>
      <c r="D384" s="20"/>
      <c r="E384" s="21"/>
      <c r="F384" s="20"/>
      <c r="G384" s="21"/>
      <c r="H384" s="20"/>
      <c r="I384" s="2"/>
      <c r="J384" s="17"/>
      <c r="K384" s="17"/>
      <c r="L384" s="17"/>
    </row>
    <row r="385" spans="1:12" ht="17">
      <c r="A385" s="29"/>
      <c r="B385" s="26"/>
      <c r="C385" s="14" t="s">
        <v>196</v>
      </c>
      <c r="D385" s="20"/>
      <c r="E385" s="21"/>
      <c r="F385" s="20"/>
      <c r="G385" s="21"/>
      <c r="H385" s="20"/>
      <c r="I385" s="2"/>
      <c r="J385" s="17"/>
      <c r="K385" s="17"/>
      <c r="L385" s="17"/>
    </row>
    <row r="386" spans="1:12" ht="17">
      <c r="A386" s="29"/>
      <c r="B386" s="18">
        <v>1</v>
      </c>
      <c r="C386" s="19" t="s">
        <v>94</v>
      </c>
      <c r="D386" s="20">
        <v>0</v>
      </c>
      <c r="E386" s="21">
        <v>1</v>
      </c>
      <c r="F386" s="20">
        <f>D386*E386</f>
        <v>0</v>
      </c>
      <c r="G386" s="21">
        <v>25000</v>
      </c>
      <c r="H386" s="20">
        <f>F386*G386</f>
        <v>0</v>
      </c>
      <c r="I386" s="2"/>
      <c r="J386" s="17"/>
      <c r="K386" s="17"/>
      <c r="L386" s="17"/>
    </row>
    <row r="387" spans="1:12" ht="17">
      <c r="A387" s="29"/>
      <c r="B387" s="18">
        <v>2</v>
      </c>
      <c r="C387" s="19" t="s">
        <v>95</v>
      </c>
      <c r="D387" s="20">
        <v>1</v>
      </c>
      <c r="E387" s="21">
        <v>1</v>
      </c>
      <c r="F387" s="20">
        <f t="shared" ref="F387:F389" si="37">D387*E387</f>
        <v>1</v>
      </c>
      <c r="G387" s="21">
        <v>40000</v>
      </c>
      <c r="H387" s="20">
        <f t="shared" ref="H387:H389" si="38">F387*G387</f>
        <v>40000</v>
      </c>
      <c r="I387" s="2"/>
      <c r="J387" s="17"/>
      <c r="K387" s="17"/>
      <c r="L387" s="17"/>
    </row>
    <row r="388" spans="1:12" ht="17">
      <c r="A388" s="29"/>
      <c r="B388" s="18">
        <v>3</v>
      </c>
      <c r="C388" s="19"/>
      <c r="D388" s="20">
        <v>0</v>
      </c>
      <c r="E388" s="21">
        <v>1</v>
      </c>
      <c r="F388" s="20">
        <f t="shared" si="37"/>
        <v>0</v>
      </c>
      <c r="G388" s="21">
        <v>103</v>
      </c>
      <c r="H388" s="20">
        <f t="shared" si="38"/>
        <v>0</v>
      </c>
      <c r="I388" s="2"/>
      <c r="J388" s="17"/>
      <c r="K388" s="17"/>
      <c r="L388" s="17"/>
    </row>
    <row r="389" spans="1:12" ht="17">
      <c r="A389" s="29"/>
      <c r="B389" s="18">
        <v>4</v>
      </c>
      <c r="C389" s="19"/>
      <c r="D389" s="20">
        <v>0</v>
      </c>
      <c r="E389" s="21">
        <v>1</v>
      </c>
      <c r="F389" s="20">
        <f t="shared" si="37"/>
        <v>0</v>
      </c>
      <c r="G389" s="21">
        <v>104</v>
      </c>
      <c r="H389" s="20">
        <f t="shared" si="38"/>
        <v>0</v>
      </c>
      <c r="I389" s="2"/>
      <c r="J389" s="17"/>
      <c r="K389" s="17"/>
      <c r="L389" s="17"/>
    </row>
    <row r="390" spans="1:12" ht="17">
      <c r="A390" s="29"/>
      <c r="B390" s="18">
        <v>5</v>
      </c>
      <c r="C390" s="19"/>
      <c r="D390" s="20">
        <v>0</v>
      </c>
      <c r="E390" s="21">
        <v>1</v>
      </c>
      <c r="F390" s="20">
        <f>D390*E390</f>
        <v>0</v>
      </c>
      <c r="G390" s="21">
        <v>102</v>
      </c>
      <c r="H390" s="20">
        <f>F390*G390</f>
        <v>0</v>
      </c>
      <c r="I390" s="2"/>
      <c r="J390" s="17"/>
      <c r="K390" s="17"/>
      <c r="L390" s="17"/>
    </row>
    <row r="391" spans="1:12" ht="17">
      <c r="A391" s="29"/>
      <c r="B391" s="18"/>
      <c r="C391" s="14" t="s">
        <v>197</v>
      </c>
      <c r="D391" s="20"/>
      <c r="E391" s="21"/>
      <c r="F391" s="20"/>
      <c r="G391" s="21"/>
      <c r="H391" s="25">
        <f>SUM(H386:H390)</f>
        <v>40000</v>
      </c>
      <c r="I391" s="2"/>
      <c r="J391" s="2"/>
      <c r="K391" s="2"/>
      <c r="L391" s="2"/>
    </row>
    <row r="392" spans="1:12" ht="17">
      <c r="A392" s="29"/>
      <c r="B392" s="26"/>
      <c r="C392" s="14"/>
      <c r="D392" s="20"/>
      <c r="E392" s="21"/>
      <c r="F392" s="20"/>
      <c r="G392" s="21"/>
      <c r="H392" s="20"/>
      <c r="I392" s="2"/>
      <c r="J392" s="2"/>
      <c r="K392" s="2"/>
      <c r="L392" s="2"/>
    </row>
    <row r="393" spans="1:12" ht="17">
      <c r="A393" s="29"/>
      <c r="B393" s="26"/>
      <c r="C393" s="14" t="s">
        <v>198</v>
      </c>
      <c r="D393" s="20"/>
      <c r="E393" s="21"/>
      <c r="F393" s="20"/>
      <c r="G393" s="21"/>
      <c r="H393" s="20"/>
      <c r="I393" s="2"/>
      <c r="J393" s="2"/>
      <c r="K393" s="2"/>
      <c r="L393" s="2"/>
    </row>
    <row r="394" spans="1:12" ht="17">
      <c r="A394" s="29"/>
      <c r="B394" s="18">
        <v>1</v>
      </c>
      <c r="C394" s="19" t="s">
        <v>98</v>
      </c>
      <c r="D394" s="20">
        <v>2</v>
      </c>
      <c r="E394" s="21">
        <v>1</v>
      </c>
      <c r="F394" s="20">
        <f>D394*E394</f>
        <v>2</v>
      </c>
      <c r="G394" s="21">
        <v>12507</v>
      </c>
      <c r="H394" s="20">
        <f>F394*G394</f>
        <v>25014</v>
      </c>
      <c r="I394" s="2"/>
      <c r="J394" s="2"/>
      <c r="K394" s="2"/>
      <c r="L394" s="2"/>
    </row>
    <row r="395" spans="1:12" ht="17">
      <c r="A395" s="29"/>
      <c r="B395" s="18">
        <v>2</v>
      </c>
      <c r="C395" s="19" t="s">
        <v>99</v>
      </c>
      <c r="D395" s="20">
        <v>2</v>
      </c>
      <c r="E395" s="21">
        <v>1</v>
      </c>
      <c r="F395" s="20">
        <f t="shared" ref="F395:F399" si="39">D395*E395</f>
        <v>2</v>
      </c>
      <c r="G395" s="21">
        <v>12507</v>
      </c>
      <c r="H395" s="20">
        <f t="shared" ref="H395:H399" si="40">F395*G395</f>
        <v>25014</v>
      </c>
      <c r="I395" s="2"/>
      <c r="J395" s="2"/>
      <c r="K395" s="2"/>
      <c r="L395" s="2"/>
    </row>
    <row r="396" spans="1:12" ht="17">
      <c r="A396" s="29"/>
      <c r="B396" s="18">
        <v>3</v>
      </c>
      <c r="C396" s="19" t="s">
        <v>65</v>
      </c>
      <c r="D396" s="20">
        <v>2</v>
      </c>
      <c r="E396" s="21">
        <v>1</v>
      </c>
      <c r="F396" s="20">
        <f t="shared" si="39"/>
        <v>2</v>
      </c>
      <c r="G396" s="21">
        <v>12507</v>
      </c>
      <c r="H396" s="20">
        <f t="shared" si="40"/>
        <v>25014</v>
      </c>
      <c r="I396" s="2"/>
      <c r="J396" s="2"/>
      <c r="K396" s="2"/>
      <c r="L396" s="2"/>
    </row>
    <row r="397" spans="1:12" ht="17">
      <c r="A397" s="29"/>
      <c r="B397" s="18">
        <v>4</v>
      </c>
      <c r="C397" s="19" t="s">
        <v>100</v>
      </c>
      <c r="D397" s="20">
        <v>2</v>
      </c>
      <c r="E397" s="21">
        <v>1</v>
      </c>
      <c r="F397" s="20">
        <f t="shared" si="39"/>
        <v>2</v>
      </c>
      <c r="G397" s="21">
        <v>12507</v>
      </c>
      <c r="H397" s="20">
        <f t="shared" si="40"/>
        <v>25014</v>
      </c>
      <c r="I397" s="2"/>
      <c r="J397" s="2"/>
      <c r="K397" s="2"/>
      <c r="L397" s="2"/>
    </row>
    <row r="398" spans="1:12" ht="17">
      <c r="A398" s="29"/>
      <c r="B398" s="18">
        <v>5</v>
      </c>
      <c r="C398" s="19" t="s">
        <v>101</v>
      </c>
      <c r="D398" s="20">
        <v>0</v>
      </c>
      <c r="E398" s="21">
        <v>1</v>
      </c>
      <c r="F398" s="20">
        <f t="shared" si="39"/>
        <v>0</v>
      </c>
      <c r="G398" s="21">
        <v>53846.153846153844</v>
      </c>
      <c r="H398" s="20">
        <f t="shared" si="40"/>
        <v>0</v>
      </c>
      <c r="I398" s="2"/>
      <c r="J398" s="2"/>
      <c r="K398" s="2"/>
      <c r="L398" s="2"/>
    </row>
    <row r="399" spans="1:12" ht="17">
      <c r="A399" s="29"/>
      <c r="B399" s="18">
        <v>6</v>
      </c>
      <c r="C399" s="19"/>
      <c r="D399" s="20">
        <v>0</v>
      </c>
      <c r="E399" s="21">
        <v>1</v>
      </c>
      <c r="F399" s="20">
        <f t="shared" si="39"/>
        <v>0</v>
      </c>
      <c r="G399" s="21">
        <v>106</v>
      </c>
      <c r="H399" s="20">
        <f t="shared" si="40"/>
        <v>0</v>
      </c>
      <c r="I399" s="2"/>
      <c r="J399" s="2"/>
      <c r="K399" s="2"/>
      <c r="L399" s="2"/>
    </row>
    <row r="400" spans="1:12" ht="17">
      <c r="A400" s="29"/>
      <c r="B400" s="18">
        <v>7</v>
      </c>
      <c r="C400" s="19"/>
      <c r="D400" s="20">
        <v>0</v>
      </c>
      <c r="E400" s="21">
        <v>1</v>
      </c>
      <c r="F400" s="20">
        <f>D400*E400</f>
        <v>0</v>
      </c>
      <c r="G400" s="21">
        <v>102</v>
      </c>
      <c r="H400" s="20">
        <f>F400*G400</f>
        <v>0</v>
      </c>
      <c r="I400" s="2"/>
      <c r="J400" s="2"/>
      <c r="K400" s="2"/>
      <c r="L400" s="2"/>
    </row>
    <row r="401" spans="1:12" ht="17">
      <c r="A401" s="29"/>
      <c r="B401" s="18"/>
      <c r="C401" s="14" t="s">
        <v>199</v>
      </c>
      <c r="D401" s="20"/>
      <c r="E401" s="21"/>
      <c r="F401" s="20"/>
      <c r="G401" s="21"/>
      <c r="H401" s="25">
        <f>SUM(H394:H400)</f>
        <v>100056</v>
      </c>
      <c r="I401" s="2"/>
      <c r="J401" s="2"/>
      <c r="K401" s="2"/>
      <c r="L401" s="2"/>
    </row>
    <row r="402" spans="1:12" ht="17">
      <c r="A402" s="29"/>
      <c r="B402" s="18"/>
      <c r="C402" s="14"/>
      <c r="D402" s="20"/>
      <c r="E402" s="21"/>
      <c r="F402" s="20"/>
      <c r="G402" s="21"/>
      <c r="H402" s="25"/>
      <c r="I402" s="2"/>
      <c r="J402" s="2"/>
      <c r="K402" s="2"/>
      <c r="L402" s="2"/>
    </row>
    <row r="403" spans="1:12" ht="17">
      <c r="A403" s="29"/>
      <c r="B403" s="26"/>
      <c r="C403" s="14" t="s">
        <v>200</v>
      </c>
      <c r="D403" s="20"/>
      <c r="E403" s="21"/>
      <c r="F403" s="20"/>
      <c r="G403" s="21"/>
      <c r="H403" s="20"/>
      <c r="I403" s="2"/>
      <c r="J403" s="2"/>
      <c r="K403" s="2"/>
      <c r="L403" s="2"/>
    </row>
    <row r="404" spans="1:12" ht="17">
      <c r="A404" s="29"/>
      <c r="B404" s="18">
        <v>1</v>
      </c>
      <c r="C404" s="19" t="s">
        <v>104</v>
      </c>
      <c r="D404" s="20">
        <v>2</v>
      </c>
      <c r="E404" s="21">
        <v>1</v>
      </c>
      <c r="F404" s="20">
        <f>D404*E404</f>
        <v>2</v>
      </c>
      <c r="G404" s="21">
        <v>140000</v>
      </c>
      <c r="H404" s="20">
        <f>F404*G404</f>
        <v>280000</v>
      </c>
      <c r="I404" s="2"/>
      <c r="J404" s="2"/>
      <c r="K404" s="2"/>
      <c r="L404" s="2"/>
    </row>
    <row r="405" spans="1:12" ht="17">
      <c r="A405" s="29"/>
      <c r="B405" s="18">
        <v>2</v>
      </c>
      <c r="C405" s="19" t="s">
        <v>76</v>
      </c>
      <c r="D405" s="20">
        <v>2</v>
      </c>
      <c r="E405" s="21">
        <v>1</v>
      </c>
      <c r="F405" s="20">
        <f t="shared" ref="F405:F412" si="41">D405*E405</f>
        <v>2</v>
      </c>
      <c r="G405" s="21">
        <v>30770</v>
      </c>
      <c r="H405" s="20">
        <f t="shared" ref="H405:H412" si="42">F405*G405</f>
        <v>61540</v>
      </c>
      <c r="I405" s="2"/>
      <c r="J405" s="2"/>
      <c r="K405" s="2"/>
      <c r="L405" s="2"/>
    </row>
    <row r="406" spans="1:12" ht="17">
      <c r="A406" s="29"/>
      <c r="B406" s="18">
        <v>3</v>
      </c>
      <c r="C406" s="19" t="s">
        <v>105</v>
      </c>
      <c r="D406" s="20">
        <v>2</v>
      </c>
      <c r="E406" s="21">
        <v>1</v>
      </c>
      <c r="F406" s="20">
        <f t="shared" si="41"/>
        <v>2</v>
      </c>
      <c r="G406" s="21">
        <v>30770</v>
      </c>
      <c r="H406" s="20">
        <f t="shared" si="42"/>
        <v>61540</v>
      </c>
      <c r="I406" s="2"/>
      <c r="J406" s="2"/>
      <c r="K406" s="2"/>
      <c r="L406" s="2"/>
    </row>
    <row r="407" spans="1:12" ht="17">
      <c r="A407" s="29"/>
      <c r="B407" s="18">
        <v>4</v>
      </c>
      <c r="C407" s="19" t="s">
        <v>201</v>
      </c>
      <c r="D407" s="20">
        <v>2</v>
      </c>
      <c r="E407" s="21">
        <v>1</v>
      </c>
      <c r="F407" s="20">
        <f t="shared" si="41"/>
        <v>2</v>
      </c>
      <c r="G407" s="21">
        <v>30770</v>
      </c>
      <c r="H407" s="20">
        <f t="shared" si="42"/>
        <v>61540</v>
      </c>
      <c r="I407" s="2"/>
      <c r="J407" s="2"/>
      <c r="K407" s="2"/>
      <c r="L407" s="2"/>
    </row>
    <row r="408" spans="1:12" ht="17">
      <c r="A408" s="29"/>
      <c r="B408" s="18">
        <v>5</v>
      </c>
      <c r="C408" s="19" t="s">
        <v>106</v>
      </c>
      <c r="D408" s="20">
        <v>0</v>
      </c>
      <c r="E408" s="21">
        <v>1</v>
      </c>
      <c r="F408" s="20">
        <f t="shared" si="41"/>
        <v>0</v>
      </c>
      <c r="G408" s="21">
        <v>240000</v>
      </c>
      <c r="H408" s="20">
        <f t="shared" si="42"/>
        <v>0</v>
      </c>
      <c r="I408" s="2"/>
      <c r="J408" s="2"/>
      <c r="K408" s="2"/>
      <c r="L408" s="2"/>
    </row>
    <row r="409" spans="1:12" ht="17">
      <c r="A409" s="29"/>
      <c r="B409" s="18">
        <v>6</v>
      </c>
      <c r="C409" s="19" t="s">
        <v>107</v>
      </c>
      <c r="D409" s="20">
        <v>0</v>
      </c>
      <c r="E409" s="21">
        <v>1</v>
      </c>
      <c r="F409" s="20">
        <f t="shared" si="41"/>
        <v>0</v>
      </c>
      <c r="G409" s="21">
        <v>240000</v>
      </c>
      <c r="H409" s="20">
        <f t="shared" si="42"/>
        <v>0</v>
      </c>
      <c r="I409" s="2"/>
      <c r="J409" s="2"/>
      <c r="K409" s="2"/>
      <c r="L409" s="2"/>
    </row>
    <row r="410" spans="1:12" ht="17">
      <c r="A410" s="29"/>
      <c r="B410" s="18">
        <v>7</v>
      </c>
      <c r="C410" s="19" t="s">
        <v>108</v>
      </c>
      <c r="D410" s="20">
        <v>0</v>
      </c>
      <c r="E410" s="21">
        <v>1</v>
      </c>
      <c r="F410" s="20">
        <f t="shared" si="41"/>
        <v>0</v>
      </c>
      <c r="G410" s="21">
        <v>1000000</v>
      </c>
      <c r="H410" s="20">
        <f t="shared" si="42"/>
        <v>0</v>
      </c>
      <c r="I410" s="2"/>
      <c r="J410" s="2"/>
      <c r="K410" s="2"/>
      <c r="L410" s="2"/>
    </row>
    <row r="411" spans="1:12" ht="17">
      <c r="A411" s="29"/>
      <c r="B411" s="18">
        <v>8</v>
      </c>
      <c r="C411" s="19" t="s">
        <v>202</v>
      </c>
      <c r="D411" s="20">
        <v>1</v>
      </c>
      <c r="E411" s="21">
        <v>1</v>
      </c>
      <c r="F411" s="20">
        <f t="shared" si="41"/>
        <v>1</v>
      </c>
      <c r="G411" s="21">
        <v>1030000</v>
      </c>
      <c r="H411" s="20">
        <v>1030000</v>
      </c>
      <c r="I411" s="2"/>
      <c r="J411" s="2"/>
      <c r="K411" s="2"/>
      <c r="L411" s="2"/>
    </row>
    <row r="412" spans="1:12" ht="17">
      <c r="A412" s="29"/>
      <c r="B412" s="18">
        <v>9</v>
      </c>
      <c r="C412" s="19"/>
      <c r="D412" s="20">
        <v>0</v>
      </c>
      <c r="E412" s="21">
        <v>1</v>
      </c>
      <c r="F412" s="20">
        <f t="shared" si="41"/>
        <v>0</v>
      </c>
      <c r="G412" s="21">
        <v>109</v>
      </c>
      <c r="H412" s="20">
        <f t="shared" si="42"/>
        <v>0</v>
      </c>
      <c r="I412" s="2"/>
      <c r="J412" s="2"/>
      <c r="K412" s="2"/>
      <c r="L412" s="2"/>
    </row>
    <row r="413" spans="1:12" ht="17">
      <c r="A413" s="29"/>
      <c r="B413" s="18">
        <v>10</v>
      </c>
      <c r="C413" s="19"/>
      <c r="D413" s="20">
        <v>0</v>
      </c>
      <c r="E413" s="21">
        <v>1</v>
      </c>
      <c r="F413" s="20">
        <f>D413*E413</f>
        <v>0</v>
      </c>
      <c r="G413" s="21">
        <v>102</v>
      </c>
      <c r="H413" s="20">
        <f>F413*G413</f>
        <v>0</v>
      </c>
      <c r="I413" s="2"/>
      <c r="J413" s="2"/>
      <c r="K413" s="2"/>
      <c r="L413" s="2"/>
    </row>
    <row r="414" spans="1:12" ht="17">
      <c r="A414" s="29"/>
      <c r="B414" s="18"/>
      <c r="C414" s="14" t="s">
        <v>203</v>
      </c>
      <c r="D414" s="20"/>
      <c r="E414" s="21"/>
      <c r="F414" s="20"/>
      <c r="G414" s="21"/>
      <c r="H414" s="25">
        <f>SUM(H404:H413)</f>
        <v>1494620</v>
      </c>
      <c r="I414" s="2"/>
      <c r="J414" s="2"/>
      <c r="K414" s="2"/>
      <c r="L414" s="2"/>
    </row>
    <row r="415" spans="1:12" ht="17">
      <c r="A415" s="29"/>
      <c r="B415" s="18"/>
      <c r="C415" s="14"/>
      <c r="D415" s="20"/>
      <c r="E415" s="21"/>
      <c r="F415" s="20"/>
      <c r="G415" s="21"/>
      <c r="H415" s="25"/>
      <c r="I415" s="2"/>
      <c r="J415" s="2"/>
      <c r="K415" s="2"/>
      <c r="L415" s="2"/>
    </row>
    <row r="416" spans="1:12" ht="17">
      <c r="A416" s="29"/>
      <c r="B416" s="26"/>
      <c r="C416" s="14" t="s">
        <v>204</v>
      </c>
      <c r="D416" s="20"/>
      <c r="E416" s="21"/>
      <c r="F416" s="20"/>
      <c r="G416" s="21"/>
      <c r="H416" s="25">
        <f>H363+H368+H373+H378+H383+H391+H401+H414</f>
        <v>1634676</v>
      </c>
      <c r="I416" s="2"/>
      <c r="J416" s="2"/>
      <c r="K416" s="2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</sheetData>
  <mergeCells count="4">
    <mergeCell ref="B1:H1"/>
    <mergeCell ref="J1:L1"/>
    <mergeCell ref="A3:A4"/>
    <mergeCell ref="A188:A1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FB9B-FF0C-45B0-86A3-A70C0F9DE937}">
  <sheetPr>
    <tabColor theme="7" tint="0.39997558519241921"/>
  </sheetPr>
  <dimension ref="A1:O75"/>
  <sheetViews>
    <sheetView topLeftCell="A60" zoomScale="150" zoomScaleNormal="90" workbookViewId="0">
      <selection activeCell="J22" sqref="J22"/>
    </sheetView>
  </sheetViews>
  <sheetFormatPr baseColWidth="10" defaultColWidth="8.83203125" defaultRowHeight="15"/>
  <cols>
    <col min="1" max="2" width="20.83203125" customWidth="1"/>
    <col min="3" max="3" width="34.83203125" customWidth="1"/>
    <col min="4" max="6" width="12.83203125" customWidth="1"/>
    <col min="7" max="7" width="15.5" bestFit="1" customWidth="1"/>
    <col min="8" max="8" width="15.83203125" customWidth="1"/>
    <col min="10" max="10" width="42.83203125" customWidth="1"/>
    <col min="11" max="12" width="14.83203125" customWidth="1"/>
  </cols>
  <sheetData>
    <row r="1" spans="1:15" ht="16">
      <c r="B1" s="179" t="s">
        <v>205</v>
      </c>
      <c r="C1" s="179"/>
      <c r="D1" s="179"/>
      <c r="E1" s="179"/>
      <c r="F1" s="179"/>
      <c r="G1" s="179"/>
      <c r="H1" s="180"/>
      <c r="I1" s="1"/>
      <c r="J1" s="179" t="s">
        <v>206</v>
      </c>
      <c r="K1" s="179"/>
      <c r="L1" s="179"/>
      <c r="M1" s="2"/>
      <c r="N1" s="2"/>
      <c r="O1" s="2"/>
    </row>
    <row r="2" spans="1:15" ht="139">
      <c r="A2" s="3"/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3"/>
      <c r="J2" s="72" t="s">
        <v>9</v>
      </c>
      <c r="K2" s="73" t="s">
        <v>10</v>
      </c>
      <c r="L2" s="73" t="s">
        <v>11</v>
      </c>
      <c r="M2" s="2"/>
      <c r="N2" s="2"/>
      <c r="O2" s="2"/>
    </row>
    <row r="3" spans="1:15">
      <c r="A3" s="181" t="s">
        <v>207</v>
      </c>
      <c r="B3" s="13" t="s">
        <v>208</v>
      </c>
      <c r="C3" s="14" t="s">
        <v>14</v>
      </c>
      <c r="D3" s="15"/>
      <c r="E3" s="16"/>
      <c r="F3" s="15"/>
      <c r="G3" s="16"/>
      <c r="H3" s="15"/>
      <c r="I3" s="2"/>
      <c r="J3" s="17"/>
      <c r="K3" s="17"/>
      <c r="L3" s="17"/>
      <c r="M3" s="2"/>
      <c r="N3" s="2"/>
      <c r="O3" s="2"/>
    </row>
    <row r="4" spans="1:15">
      <c r="A4" s="181"/>
      <c r="B4" s="18">
        <v>1</v>
      </c>
      <c r="C4" s="19"/>
      <c r="D4" s="20">
        <v>0</v>
      </c>
      <c r="E4" s="21">
        <v>1</v>
      </c>
      <c r="F4" s="20">
        <f>D4*E4</f>
        <v>0</v>
      </c>
      <c r="G4" s="21">
        <v>101</v>
      </c>
      <c r="H4" s="20">
        <f>F4*G4</f>
        <v>0</v>
      </c>
      <c r="I4" s="2"/>
      <c r="J4" s="17" t="s">
        <v>209</v>
      </c>
      <c r="K4" s="22">
        <f>H6</f>
        <v>0</v>
      </c>
      <c r="L4" s="23">
        <f>K4/$K$19</f>
        <v>0</v>
      </c>
      <c r="M4" s="2"/>
      <c r="N4" s="2"/>
      <c r="O4" s="2"/>
    </row>
    <row r="5" spans="1:15" ht="17">
      <c r="A5" s="24"/>
      <c r="B5" s="18">
        <v>2</v>
      </c>
      <c r="C5" s="19"/>
      <c r="D5" s="20">
        <v>0</v>
      </c>
      <c r="E5" s="21">
        <v>1</v>
      </c>
      <c r="F5" s="20">
        <f>D5*E5</f>
        <v>0</v>
      </c>
      <c r="G5" s="21">
        <v>102</v>
      </c>
      <c r="H5" s="20">
        <f>F5*G5</f>
        <v>0</v>
      </c>
      <c r="I5" s="2"/>
      <c r="J5" s="17" t="s">
        <v>210</v>
      </c>
      <c r="K5" s="22">
        <f>H11</f>
        <v>0</v>
      </c>
      <c r="L5" s="23">
        <f t="shared" ref="L5:L18" si="0">K5/$K$19</f>
        <v>0</v>
      </c>
      <c r="M5" s="2"/>
      <c r="N5" s="2"/>
      <c r="O5" s="2"/>
    </row>
    <row r="6" spans="1:15" ht="17">
      <c r="A6" s="24"/>
      <c r="B6" s="18"/>
      <c r="C6" s="14" t="s">
        <v>17</v>
      </c>
      <c r="D6" s="20"/>
      <c r="E6" s="21"/>
      <c r="F6" s="20"/>
      <c r="G6" s="21"/>
      <c r="H6" s="25">
        <f>SUM(H4:H5)</f>
        <v>0</v>
      </c>
      <c r="I6" s="2"/>
      <c r="J6" s="17" t="s">
        <v>211</v>
      </c>
      <c r="K6" s="22">
        <f>H16</f>
        <v>0</v>
      </c>
      <c r="L6" s="23">
        <f t="shared" si="0"/>
        <v>0</v>
      </c>
      <c r="M6" s="2"/>
      <c r="N6" s="2"/>
      <c r="O6" s="2"/>
    </row>
    <row r="7" spans="1:15" ht="17">
      <c r="A7" s="24"/>
      <c r="B7" s="26"/>
      <c r="C7" s="14"/>
      <c r="D7" s="20"/>
      <c r="E7" s="21"/>
      <c r="F7" s="20"/>
      <c r="G7" s="21"/>
      <c r="H7" s="20"/>
      <c r="I7" s="2"/>
      <c r="J7" s="17" t="s">
        <v>212</v>
      </c>
      <c r="K7" s="22">
        <f>H21</f>
        <v>0</v>
      </c>
      <c r="L7" s="23">
        <f t="shared" si="0"/>
        <v>0</v>
      </c>
      <c r="M7" s="2"/>
      <c r="N7" s="2"/>
      <c r="O7" s="2"/>
    </row>
    <row r="8" spans="1:15" ht="17">
      <c r="A8" s="24"/>
      <c r="B8" s="26"/>
      <c r="C8" s="14" t="s">
        <v>20</v>
      </c>
      <c r="D8" s="20"/>
      <c r="E8" s="21"/>
      <c r="F8" s="20"/>
      <c r="G8" s="21"/>
      <c r="H8" s="20"/>
      <c r="I8" s="2"/>
      <c r="J8" s="17" t="s">
        <v>213</v>
      </c>
      <c r="K8" s="22">
        <f>H36</f>
        <v>2603.9230769230767</v>
      </c>
      <c r="L8" s="23">
        <f t="shared" si="0"/>
        <v>2.795714972454095E-3</v>
      </c>
      <c r="M8" s="2"/>
      <c r="N8" s="2"/>
      <c r="O8" s="2"/>
    </row>
    <row r="9" spans="1:15" ht="17">
      <c r="A9" s="24"/>
      <c r="B9" s="18">
        <v>1</v>
      </c>
      <c r="C9" s="19"/>
      <c r="D9" s="20">
        <v>0</v>
      </c>
      <c r="E9" s="21">
        <v>1</v>
      </c>
      <c r="F9" s="20">
        <f>D9*E9</f>
        <v>0</v>
      </c>
      <c r="G9" s="21">
        <v>101</v>
      </c>
      <c r="H9" s="20">
        <f>F9*G9</f>
        <v>0</v>
      </c>
      <c r="I9" s="2"/>
      <c r="J9" s="17" t="s">
        <v>214</v>
      </c>
      <c r="K9" s="22">
        <f>H43</f>
        <v>30250</v>
      </c>
      <c r="L9" s="23">
        <f t="shared" si="0"/>
        <v>3.2478063068079904E-2</v>
      </c>
      <c r="M9" s="2"/>
      <c r="N9" s="2"/>
      <c r="O9" s="2"/>
    </row>
    <row r="10" spans="1:15" ht="17">
      <c r="A10" s="24"/>
      <c r="B10" s="18">
        <v>2</v>
      </c>
      <c r="C10" s="19"/>
      <c r="D10" s="20">
        <v>0</v>
      </c>
      <c r="E10" s="21">
        <v>1</v>
      </c>
      <c r="F10" s="20">
        <f>D10*E10</f>
        <v>0</v>
      </c>
      <c r="G10" s="21">
        <v>102</v>
      </c>
      <c r="H10" s="20">
        <f>F10*G10</f>
        <v>0</v>
      </c>
      <c r="I10" s="2"/>
      <c r="J10" s="17" t="s">
        <v>215</v>
      </c>
      <c r="K10" s="22">
        <f>H55</f>
        <v>98743.985000000001</v>
      </c>
      <c r="L10" s="23">
        <f t="shared" si="0"/>
        <v>0.10601697098920781</v>
      </c>
      <c r="M10" s="2"/>
      <c r="N10" s="2"/>
      <c r="O10" s="2"/>
    </row>
    <row r="11" spans="1:15" ht="17">
      <c r="A11" s="24"/>
      <c r="B11" s="18"/>
      <c r="C11" s="14" t="s">
        <v>24</v>
      </c>
      <c r="D11" s="20"/>
      <c r="E11" s="21"/>
      <c r="F11" s="20"/>
      <c r="G11" s="21"/>
      <c r="H11" s="25">
        <f>SUM(H9:H10)</f>
        <v>0</v>
      </c>
      <c r="I11" s="2"/>
      <c r="J11" s="17" t="s">
        <v>216</v>
      </c>
      <c r="K11" s="22">
        <f>H68</f>
        <v>799800</v>
      </c>
      <c r="L11" s="23">
        <f t="shared" si="0"/>
        <v>0.85870925097025819</v>
      </c>
      <c r="M11" s="2"/>
      <c r="N11" s="2"/>
      <c r="O11" s="2"/>
    </row>
    <row r="12" spans="1:15" ht="17">
      <c r="A12" s="24"/>
      <c r="B12" s="26"/>
      <c r="C12" s="14"/>
      <c r="D12" s="20"/>
      <c r="E12" s="21"/>
      <c r="F12" s="20"/>
      <c r="G12" s="21"/>
      <c r="H12" s="20"/>
      <c r="I12" s="2"/>
      <c r="J12" s="27" t="s">
        <v>26</v>
      </c>
      <c r="K12" s="22">
        <f>H836</f>
        <v>0</v>
      </c>
      <c r="L12" s="23">
        <f t="shared" si="0"/>
        <v>0</v>
      </c>
      <c r="M12" s="2"/>
      <c r="N12" s="2"/>
      <c r="O12" s="2"/>
    </row>
    <row r="13" spans="1:15" ht="17">
      <c r="A13" s="24"/>
      <c r="B13" s="26"/>
      <c r="C13" s="14" t="s">
        <v>27</v>
      </c>
      <c r="D13" s="20"/>
      <c r="E13" s="21"/>
      <c r="F13" s="20"/>
      <c r="G13" s="21"/>
      <c r="H13" s="20"/>
      <c r="I13" s="2"/>
      <c r="J13" s="27" t="s">
        <v>28</v>
      </c>
      <c r="K13" s="22">
        <f>H841</f>
        <v>0</v>
      </c>
      <c r="L13" s="23">
        <f t="shared" si="0"/>
        <v>0</v>
      </c>
      <c r="M13" s="2"/>
      <c r="N13" s="2"/>
      <c r="O13" s="2"/>
    </row>
    <row r="14" spans="1:15" ht="17">
      <c r="A14" s="24"/>
      <c r="B14" s="18">
        <v>1</v>
      </c>
      <c r="C14" s="19"/>
      <c r="D14" s="20">
        <v>0</v>
      </c>
      <c r="E14" s="21">
        <v>1</v>
      </c>
      <c r="F14" s="20">
        <f>D14*E14</f>
        <v>0</v>
      </c>
      <c r="G14" s="21">
        <v>101</v>
      </c>
      <c r="H14" s="20">
        <f>F14*G14</f>
        <v>0</v>
      </c>
      <c r="I14" s="2"/>
      <c r="J14" s="27" t="s">
        <v>29</v>
      </c>
      <c r="K14" s="22">
        <f>H846</f>
        <v>0</v>
      </c>
      <c r="L14" s="23">
        <f t="shared" si="0"/>
        <v>0</v>
      </c>
      <c r="M14" s="2"/>
      <c r="N14" s="2"/>
      <c r="O14" s="2"/>
    </row>
    <row r="15" spans="1:15" ht="17">
      <c r="A15" s="24"/>
      <c r="B15" s="18">
        <v>2</v>
      </c>
      <c r="C15" s="19"/>
      <c r="D15" s="20">
        <v>0</v>
      </c>
      <c r="E15" s="21">
        <v>1</v>
      </c>
      <c r="F15" s="20">
        <f>D15*E15</f>
        <v>0</v>
      </c>
      <c r="G15" s="21">
        <v>102</v>
      </c>
      <c r="H15" s="20">
        <f>F15*G15</f>
        <v>0</v>
      </c>
      <c r="I15" s="2"/>
      <c r="J15" s="27" t="s">
        <v>30</v>
      </c>
      <c r="K15" s="22">
        <f>H851</f>
        <v>0</v>
      </c>
      <c r="L15" s="23">
        <f t="shared" si="0"/>
        <v>0</v>
      </c>
      <c r="M15" s="2"/>
      <c r="N15" s="2"/>
      <c r="O15" s="2"/>
    </row>
    <row r="16" spans="1:15" ht="17">
      <c r="A16" s="24"/>
      <c r="B16" s="18"/>
      <c r="C16" s="14" t="s">
        <v>31</v>
      </c>
      <c r="D16" s="20"/>
      <c r="E16" s="21"/>
      <c r="F16" s="20"/>
      <c r="G16" s="21"/>
      <c r="H16" s="25">
        <f>SUM(H14:H15)</f>
        <v>0</v>
      </c>
      <c r="I16" s="2"/>
      <c r="J16" s="27" t="s">
        <v>32</v>
      </c>
      <c r="K16" s="22">
        <f>H856</f>
        <v>0</v>
      </c>
      <c r="L16" s="23">
        <f t="shared" si="0"/>
        <v>0</v>
      </c>
      <c r="M16" s="2"/>
      <c r="N16" s="2"/>
      <c r="O16" s="2"/>
    </row>
    <row r="17" spans="1:15" ht="17">
      <c r="A17" s="24"/>
      <c r="B17" s="26"/>
      <c r="C17" s="14"/>
      <c r="D17" s="20"/>
      <c r="E17" s="21"/>
      <c r="F17" s="20"/>
      <c r="G17" s="21"/>
      <c r="H17" s="20"/>
      <c r="I17" s="2"/>
      <c r="J17" s="27" t="s">
        <v>33</v>
      </c>
      <c r="K17" s="22">
        <f>H861</f>
        <v>0</v>
      </c>
      <c r="L17" s="23">
        <f t="shared" si="0"/>
        <v>0</v>
      </c>
      <c r="M17" s="2"/>
      <c r="N17" s="2"/>
      <c r="O17" s="2"/>
    </row>
    <row r="18" spans="1:15" ht="17">
      <c r="A18" s="24"/>
      <c r="B18" s="26"/>
      <c r="C18" s="14" t="s">
        <v>34</v>
      </c>
      <c r="D18" s="20"/>
      <c r="E18" s="21"/>
      <c r="F18" s="20"/>
      <c r="G18" s="21"/>
      <c r="H18" s="20"/>
      <c r="I18" s="2"/>
      <c r="J18" s="27" t="s">
        <v>35</v>
      </c>
      <c r="K18" s="22">
        <f>H866</f>
        <v>0</v>
      </c>
      <c r="L18" s="23">
        <f t="shared" si="0"/>
        <v>0</v>
      </c>
      <c r="M18" s="2"/>
      <c r="N18" s="2"/>
      <c r="O18" s="2"/>
    </row>
    <row r="19" spans="1:15" ht="17">
      <c r="A19" s="24"/>
      <c r="B19" s="18">
        <v>1</v>
      </c>
      <c r="C19" s="19"/>
      <c r="D19" s="20">
        <v>0</v>
      </c>
      <c r="E19" s="21">
        <v>1</v>
      </c>
      <c r="F19" s="20">
        <f>D19*E19</f>
        <v>0</v>
      </c>
      <c r="G19" s="21">
        <v>101</v>
      </c>
      <c r="H19" s="20">
        <f>F19*G19</f>
        <v>0</v>
      </c>
      <c r="I19" s="2"/>
      <c r="J19" s="28" t="s">
        <v>36</v>
      </c>
      <c r="K19" s="74">
        <f>SUM(K4:K18)</f>
        <v>931397.90807692311</v>
      </c>
      <c r="L19" s="75">
        <f>SUM(L4:L18)</f>
        <v>1</v>
      </c>
      <c r="M19" s="2"/>
      <c r="N19" s="2"/>
      <c r="O19" s="2"/>
    </row>
    <row r="20" spans="1:15" ht="17">
      <c r="A20" s="24"/>
      <c r="B20" s="18">
        <v>2</v>
      </c>
      <c r="C20" s="19"/>
      <c r="D20" s="20">
        <v>0</v>
      </c>
      <c r="E20" s="21">
        <v>1</v>
      </c>
      <c r="F20" s="20">
        <f>D20*E20</f>
        <v>0</v>
      </c>
      <c r="G20" s="21">
        <v>102</v>
      </c>
      <c r="H20" s="20">
        <f>F20*G20</f>
        <v>0</v>
      </c>
      <c r="I20" s="2"/>
      <c r="J20" s="17"/>
      <c r="K20" s="17"/>
      <c r="L20" s="17"/>
      <c r="M20" s="2"/>
      <c r="N20" s="2"/>
      <c r="O20" s="2"/>
    </row>
    <row r="21" spans="1:15" ht="17">
      <c r="A21" s="24"/>
      <c r="B21" s="18"/>
      <c r="C21" s="14" t="s">
        <v>37</v>
      </c>
      <c r="D21" s="20"/>
      <c r="E21" s="21"/>
      <c r="F21" s="20"/>
      <c r="G21" s="21"/>
      <c r="H21" s="25">
        <f>SUM(H19:H20)</f>
        <v>0</v>
      </c>
      <c r="I21" s="2"/>
      <c r="J21" s="17"/>
      <c r="K21" s="17"/>
      <c r="L21" s="17"/>
      <c r="M21" s="2"/>
      <c r="N21" s="2"/>
      <c r="O21" s="2"/>
    </row>
    <row r="22" spans="1:15" ht="17">
      <c r="A22" s="24"/>
      <c r="B22" s="26"/>
      <c r="C22" s="14"/>
      <c r="D22" s="20"/>
      <c r="E22" s="21"/>
      <c r="F22" s="20"/>
      <c r="G22" s="21"/>
      <c r="H22" s="20"/>
      <c r="I22" s="2"/>
      <c r="J22" s="17"/>
      <c r="K22" s="17"/>
      <c r="L22" s="17"/>
      <c r="M22" s="2"/>
      <c r="N22" s="2"/>
      <c r="O22" s="2"/>
    </row>
    <row r="23" spans="1:15" ht="17">
      <c r="A23" s="24"/>
      <c r="B23" s="26"/>
      <c r="C23" s="14" t="s">
        <v>41</v>
      </c>
      <c r="D23" s="20"/>
      <c r="E23" s="21"/>
      <c r="F23" s="20"/>
      <c r="G23" s="21"/>
      <c r="H23" s="20"/>
      <c r="I23" s="2"/>
      <c r="J23" s="17"/>
      <c r="K23" s="17"/>
      <c r="L23" s="17"/>
      <c r="M23" s="2"/>
      <c r="N23" s="2"/>
      <c r="O23" s="2"/>
    </row>
    <row r="24" spans="1:15" ht="17">
      <c r="A24" s="24"/>
      <c r="B24" s="18">
        <v>1</v>
      </c>
      <c r="C24" s="19" t="s">
        <v>43</v>
      </c>
      <c r="D24" s="20">
        <v>1</v>
      </c>
      <c r="E24" s="21">
        <v>0.15</v>
      </c>
      <c r="F24" s="20">
        <f>D24*E24</f>
        <v>0.15</v>
      </c>
      <c r="G24" s="21">
        <v>177.69230769230768</v>
      </c>
      <c r="H24" s="20">
        <f>F24*G24</f>
        <v>26.65384615384615</v>
      </c>
      <c r="I24" s="2"/>
      <c r="J24" s="17"/>
      <c r="K24" s="17"/>
      <c r="L24" s="17"/>
      <c r="M24" s="2"/>
      <c r="N24" s="2"/>
      <c r="O24" s="2"/>
    </row>
    <row r="25" spans="1:15" ht="17">
      <c r="A25" s="24"/>
      <c r="B25" s="18">
        <v>2</v>
      </c>
      <c r="C25" s="19" t="s">
        <v>45</v>
      </c>
      <c r="D25" s="20">
        <v>6</v>
      </c>
      <c r="E25" s="21">
        <v>0.68</v>
      </c>
      <c r="F25" s="20">
        <f t="shared" ref="F25:F35" si="1">D25*E25</f>
        <v>4.08</v>
      </c>
      <c r="G25" s="21">
        <v>77.692307692307693</v>
      </c>
      <c r="H25" s="20">
        <f t="shared" ref="H25:H35" si="2">F25*G25</f>
        <v>316.98461538461538</v>
      </c>
      <c r="I25" s="2"/>
      <c r="J25" s="17"/>
      <c r="K25" s="17"/>
      <c r="L25" s="17"/>
      <c r="M25" s="2"/>
      <c r="N25" s="2"/>
      <c r="O25" s="2"/>
    </row>
    <row r="26" spans="1:15" ht="17">
      <c r="A26" s="24"/>
      <c r="B26" s="18">
        <v>3</v>
      </c>
      <c r="C26" s="19" t="s">
        <v>47</v>
      </c>
      <c r="D26" s="20">
        <v>6</v>
      </c>
      <c r="E26" s="21">
        <v>0.56999999999999995</v>
      </c>
      <c r="F26" s="20">
        <f t="shared" si="1"/>
        <v>3.42</v>
      </c>
      <c r="G26" s="21">
        <v>264.61538461538458</v>
      </c>
      <c r="H26" s="20">
        <f t="shared" si="2"/>
        <v>904.98461538461527</v>
      </c>
      <c r="I26" s="2"/>
      <c r="J26" s="17"/>
      <c r="K26" s="17"/>
      <c r="L26" s="17"/>
      <c r="M26" s="2"/>
      <c r="N26" s="2"/>
      <c r="O26" s="2"/>
    </row>
    <row r="27" spans="1:15" ht="17">
      <c r="A27" s="24"/>
      <c r="B27" s="18">
        <v>4</v>
      </c>
      <c r="C27" s="19" t="s">
        <v>49</v>
      </c>
      <c r="D27" s="20">
        <v>1</v>
      </c>
      <c r="E27" s="21">
        <v>0.04</v>
      </c>
      <c r="F27" s="20">
        <f t="shared" si="1"/>
        <v>0.04</v>
      </c>
      <c r="G27" s="69">
        <v>120</v>
      </c>
      <c r="H27" s="20">
        <f t="shared" si="2"/>
        <v>4.8</v>
      </c>
      <c r="I27" s="2"/>
      <c r="J27" s="17"/>
      <c r="K27" s="17"/>
      <c r="L27" s="17"/>
      <c r="M27" s="2"/>
      <c r="N27" s="2"/>
      <c r="O27" s="2"/>
    </row>
    <row r="28" spans="1:15" ht="17">
      <c r="A28" s="24"/>
      <c r="B28" s="18">
        <v>5</v>
      </c>
      <c r="C28" s="19" t="s">
        <v>51</v>
      </c>
      <c r="D28" s="20">
        <v>4</v>
      </c>
      <c r="E28" s="21">
        <v>0.28000000000000003</v>
      </c>
      <c r="F28" s="20">
        <f t="shared" si="1"/>
        <v>1.1200000000000001</v>
      </c>
      <c r="G28" s="69">
        <v>150</v>
      </c>
      <c r="H28" s="20">
        <f t="shared" si="2"/>
        <v>168.00000000000003</v>
      </c>
      <c r="I28" s="2"/>
      <c r="J28" s="17"/>
      <c r="K28" s="17"/>
      <c r="L28" s="17"/>
      <c r="M28" s="2"/>
      <c r="N28" s="2"/>
      <c r="O28" s="2"/>
    </row>
    <row r="29" spans="1:15" ht="17">
      <c r="A29" s="24"/>
      <c r="B29" s="18">
        <v>6</v>
      </c>
      <c r="C29" s="19" t="s">
        <v>52</v>
      </c>
      <c r="D29" s="20">
        <v>0.03</v>
      </c>
      <c r="E29" s="21">
        <v>0.52</v>
      </c>
      <c r="F29" s="20">
        <f t="shared" si="1"/>
        <v>1.5599999999999999E-2</v>
      </c>
      <c r="G29" s="69">
        <v>9000</v>
      </c>
      <c r="H29" s="20">
        <f t="shared" si="2"/>
        <v>140.4</v>
      </c>
      <c r="I29" s="2"/>
      <c r="J29" s="17"/>
      <c r="K29" s="17"/>
      <c r="L29" s="17"/>
      <c r="M29" s="2"/>
      <c r="N29" s="2"/>
      <c r="O29" s="2"/>
    </row>
    <row r="30" spans="1:15" ht="17">
      <c r="A30" s="24"/>
      <c r="B30" s="18">
        <v>7</v>
      </c>
      <c r="C30" s="19" t="s">
        <v>55</v>
      </c>
      <c r="D30" s="20">
        <v>3</v>
      </c>
      <c r="E30" s="21">
        <v>0.2</v>
      </c>
      <c r="F30" s="20">
        <f t="shared" si="1"/>
        <v>0.60000000000000009</v>
      </c>
      <c r="G30" s="69">
        <v>850</v>
      </c>
      <c r="H30" s="20">
        <f t="shared" si="2"/>
        <v>510.00000000000006</v>
      </c>
      <c r="I30" s="2"/>
      <c r="J30" s="17"/>
      <c r="K30" s="17"/>
      <c r="L30" s="17"/>
      <c r="M30" s="2"/>
      <c r="N30" s="2"/>
      <c r="O30" s="2"/>
    </row>
    <row r="31" spans="1:15" ht="17">
      <c r="A31" s="24"/>
      <c r="B31" s="18">
        <v>8</v>
      </c>
      <c r="C31" s="19" t="s">
        <v>56</v>
      </c>
      <c r="D31" s="20">
        <v>1</v>
      </c>
      <c r="E31" s="21">
        <v>7.0000000000000007E-2</v>
      </c>
      <c r="F31" s="20">
        <f t="shared" si="1"/>
        <v>7.0000000000000007E-2</v>
      </c>
      <c r="G31" s="69">
        <v>30</v>
      </c>
      <c r="H31" s="20">
        <f t="shared" si="2"/>
        <v>2.1</v>
      </c>
      <c r="I31" s="2"/>
      <c r="J31" s="17"/>
      <c r="K31" s="17"/>
      <c r="L31" s="17"/>
      <c r="M31" s="2"/>
      <c r="N31" s="2"/>
      <c r="O31" s="2"/>
    </row>
    <row r="32" spans="1:15" ht="17">
      <c r="A32" s="24"/>
      <c r="B32" s="18">
        <v>9</v>
      </c>
      <c r="C32" s="19" t="s">
        <v>57</v>
      </c>
      <c r="D32" s="20">
        <v>1</v>
      </c>
      <c r="E32" s="21">
        <v>0.8</v>
      </c>
      <c r="F32" s="20">
        <f t="shared" si="1"/>
        <v>0.8</v>
      </c>
      <c r="G32" s="69">
        <v>160</v>
      </c>
      <c r="H32" s="20">
        <f t="shared" si="2"/>
        <v>128</v>
      </c>
      <c r="I32" s="2"/>
      <c r="J32" s="17"/>
      <c r="K32" s="17"/>
      <c r="L32" s="17"/>
      <c r="M32" s="2"/>
      <c r="N32" s="2"/>
      <c r="O32" s="2"/>
    </row>
    <row r="33" spans="1:15" ht="17">
      <c r="A33" s="24"/>
      <c r="B33" s="18">
        <v>10</v>
      </c>
      <c r="C33" s="19" t="s">
        <v>217</v>
      </c>
      <c r="D33" s="20">
        <v>1</v>
      </c>
      <c r="E33" s="21">
        <v>0.67</v>
      </c>
      <c r="F33" s="20">
        <f t="shared" si="1"/>
        <v>0.67</v>
      </c>
      <c r="G33" s="69">
        <v>600</v>
      </c>
      <c r="H33" s="20">
        <f t="shared" si="2"/>
        <v>402</v>
      </c>
      <c r="I33" s="2"/>
      <c r="J33" s="17"/>
      <c r="K33" s="17"/>
      <c r="L33" s="17"/>
      <c r="M33" s="2"/>
      <c r="N33" s="2"/>
      <c r="O33" s="2"/>
    </row>
    <row r="34" spans="1:15" ht="17">
      <c r="A34" s="24"/>
      <c r="B34" s="18">
        <v>11</v>
      </c>
      <c r="C34" s="19"/>
      <c r="D34" s="20">
        <v>1</v>
      </c>
      <c r="E34" s="21">
        <v>1</v>
      </c>
      <c r="F34" s="20">
        <f t="shared" si="1"/>
        <v>1</v>
      </c>
      <c r="G34" s="69">
        <v>0</v>
      </c>
      <c r="H34" s="20">
        <f t="shared" si="2"/>
        <v>0</v>
      </c>
      <c r="I34" s="2"/>
      <c r="J34" s="17"/>
      <c r="K34" s="17"/>
      <c r="L34" s="17"/>
      <c r="M34" s="2"/>
      <c r="N34" s="2"/>
      <c r="O34" s="2"/>
    </row>
    <row r="35" spans="1:15" ht="17">
      <c r="A35" s="24"/>
      <c r="B35" s="18">
        <v>12</v>
      </c>
      <c r="C35" s="19"/>
      <c r="D35" s="20">
        <v>1</v>
      </c>
      <c r="E35" s="21">
        <v>1</v>
      </c>
      <c r="F35" s="20">
        <f t="shared" si="1"/>
        <v>1</v>
      </c>
      <c r="G35" s="69">
        <v>0</v>
      </c>
      <c r="H35" s="20">
        <f t="shared" si="2"/>
        <v>0</v>
      </c>
      <c r="I35" s="2"/>
      <c r="J35" s="17"/>
      <c r="K35" s="17"/>
      <c r="L35" s="17"/>
      <c r="M35" s="2"/>
      <c r="N35" s="2"/>
      <c r="O35" s="2"/>
    </row>
    <row r="36" spans="1:15" ht="17">
      <c r="A36" s="24"/>
      <c r="B36" s="18"/>
      <c r="C36" s="14" t="s">
        <v>59</v>
      </c>
      <c r="D36" s="20"/>
      <c r="E36" s="21"/>
      <c r="F36" s="20"/>
      <c r="G36" s="21"/>
      <c r="H36" s="25">
        <f>SUM(H24:H35)</f>
        <v>2603.9230769230767</v>
      </c>
      <c r="I36" s="2"/>
      <c r="J36" s="17"/>
      <c r="K36" s="17"/>
      <c r="L36" s="17"/>
      <c r="M36" s="2"/>
      <c r="N36" s="2"/>
      <c r="O36" s="2"/>
    </row>
    <row r="37" spans="1:15" ht="17">
      <c r="A37" s="24"/>
      <c r="B37" s="26"/>
      <c r="C37" s="14"/>
      <c r="D37" s="20"/>
      <c r="E37" s="21"/>
      <c r="F37" s="20"/>
      <c r="G37" s="21"/>
      <c r="H37" s="20"/>
      <c r="I37" s="2"/>
      <c r="J37" s="17"/>
      <c r="K37" s="17"/>
      <c r="L37" s="17"/>
      <c r="M37" s="2"/>
      <c r="N37" s="2"/>
      <c r="O37" s="2"/>
    </row>
    <row r="38" spans="1:15" ht="17">
      <c r="A38" s="24"/>
      <c r="B38" s="26"/>
      <c r="C38" s="14" t="s">
        <v>60</v>
      </c>
      <c r="D38" s="20"/>
      <c r="E38" s="21"/>
      <c r="F38" s="20"/>
      <c r="G38" s="21"/>
      <c r="H38" s="20"/>
      <c r="I38" s="2"/>
      <c r="J38" s="17"/>
      <c r="K38" s="17"/>
      <c r="L38" s="17"/>
      <c r="M38" s="2"/>
      <c r="N38" s="2"/>
      <c r="O38" s="2"/>
    </row>
    <row r="39" spans="1:15" ht="17">
      <c r="A39" s="24"/>
      <c r="B39" s="18">
        <v>1</v>
      </c>
      <c r="C39" s="19" t="s">
        <v>218</v>
      </c>
      <c r="D39" s="20">
        <v>1</v>
      </c>
      <c r="E39" s="21">
        <v>0.35</v>
      </c>
      <c r="F39" s="20">
        <f>D39*E39</f>
        <v>0.35</v>
      </c>
      <c r="G39" s="21">
        <v>40000</v>
      </c>
      <c r="H39" s="20">
        <f>F39*G39</f>
        <v>14000</v>
      </c>
      <c r="I39" s="2"/>
      <c r="J39" s="17"/>
      <c r="K39" s="17"/>
      <c r="L39" s="17"/>
      <c r="M39" s="2"/>
      <c r="N39" s="2"/>
      <c r="O39" s="2"/>
    </row>
    <row r="40" spans="1:15" ht="17">
      <c r="A40" s="24"/>
      <c r="B40" s="18">
        <v>2</v>
      </c>
      <c r="C40" s="19" t="s">
        <v>94</v>
      </c>
      <c r="D40" s="20">
        <v>1</v>
      </c>
      <c r="E40" s="21">
        <v>0.65</v>
      </c>
      <c r="F40" s="20">
        <f t="shared" ref="F40:F41" si="3">D40*E40</f>
        <v>0.65</v>
      </c>
      <c r="G40" s="21">
        <v>25000</v>
      </c>
      <c r="H40" s="20">
        <f t="shared" ref="H40:H41" si="4">F40*G40</f>
        <v>16250</v>
      </c>
      <c r="I40" s="2"/>
      <c r="J40" s="17"/>
      <c r="K40" s="17"/>
      <c r="L40" s="17"/>
      <c r="M40" s="2"/>
      <c r="N40" s="2"/>
      <c r="O40" s="2"/>
    </row>
    <row r="41" spans="1:15" ht="17">
      <c r="A41" s="24"/>
      <c r="B41" s="18">
        <v>3</v>
      </c>
      <c r="C41" s="19"/>
      <c r="D41" s="20">
        <v>0</v>
      </c>
      <c r="E41" s="21">
        <v>1</v>
      </c>
      <c r="F41" s="20">
        <f t="shared" si="3"/>
        <v>0</v>
      </c>
      <c r="G41" s="21">
        <v>103</v>
      </c>
      <c r="H41" s="20">
        <f t="shared" si="4"/>
        <v>0</v>
      </c>
      <c r="I41" s="2"/>
      <c r="J41" s="17"/>
      <c r="K41" s="17"/>
      <c r="L41" s="17"/>
      <c r="M41" s="2"/>
      <c r="N41" s="2"/>
      <c r="O41" s="2"/>
    </row>
    <row r="42" spans="1:15" ht="17">
      <c r="A42" s="24"/>
      <c r="B42" s="18">
        <v>4</v>
      </c>
      <c r="C42" s="19"/>
      <c r="D42" s="20">
        <v>0</v>
      </c>
      <c r="E42" s="21">
        <v>1</v>
      </c>
      <c r="F42" s="20">
        <f>D42*E42</f>
        <v>0</v>
      </c>
      <c r="G42" s="21">
        <v>102</v>
      </c>
      <c r="H42" s="20">
        <f>F42*G42</f>
        <v>0</v>
      </c>
      <c r="I42" s="2"/>
      <c r="J42" s="17"/>
      <c r="K42" s="17"/>
      <c r="L42" s="17"/>
      <c r="M42" s="2"/>
      <c r="N42" s="2"/>
      <c r="O42" s="2"/>
    </row>
    <row r="43" spans="1:15" ht="17">
      <c r="A43" s="24"/>
      <c r="B43" s="18"/>
      <c r="C43" s="14" t="s">
        <v>61</v>
      </c>
      <c r="D43" s="20"/>
      <c r="E43" s="21"/>
      <c r="F43" s="20"/>
      <c r="G43" s="21"/>
      <c r="H43" s="25">
        <f>SUM(H39:H42)</f>
        <v>30250</v>
      </c>
      <c r="I43" s="2"/>
      <c r="J43" s="17"/>
      <c r="K43" s="17"/>
      <c r="L43" s="17"/>
      <c r="M43" s="2"/>
      <c r="N43" s="2"/>
      <c r="O43" s="2"/>
    </row>
    <row r="44" spans="1:15" ht="17">
      <c r="A44" s="24"/>
      <c r="B44" s="26"/>
      <c r="C44" s="14"/>
      <c r="D44" s="20"/>
      <c r="E44" s="21"/>
      <c r="F44" s="20"/>
      <c r="G44" s="21"/>
      <c r="H44" s="20"/>
      <c r="I44" s="2"/>
      <c r="J44" s="17"/>
      <c r="K44" s="17"/>
      <c r="L44" s="17"/>
      <c r="M44" s="2"/>
      <c r="N44" s="2"/>
      <c r="O44" s="2"/>
    </row>
    <row r="45" spans="1:15" ht="17">
      <c r="A45" s="24"/>
      <c r="B45" s="26"/>
      <c r="C45" s="14" t="s">
        <v>62</v>
      </c>
      <c r="D45" s="20"/>
      <c r="E45" s="21"/>
      <c r="F45" s="20"/>
      <c r="G45" s="21"/>
      <c r="H45" s="20"/>
      <c r="I45" s="2"/>
      <c r="J45" s="17"/>
      <c r="K45" s="17"/>
      <c r="L45" s="17"/>
      <c r="M45" s="2"/>
      <c r="N45" s="2"/>
      <c r="O45" s="2"/>
    </row>
    <row r="46" spans="1:15" ht="17">
      <c r="A46" s="24"/>
      <c r="B46" s="18">
        <v>1</v>
      </c>
      <c r="C46" s="19" t="s">
        <v>219</v>
      </c>
      <c r="D46" s="20">
        <v>1</v>
      </c>
      <c r="E46" s="21">
        <v>1</v>
      </c>
      <c r="F46" s="20">
        <f>D46*E46</f>
        <v>1</v>
      </c>
      <c r="G46" s="21">
        <v>12507</v>
      </c>
      <c r="H46" s="20">
        <f>F46*G46</f>
        <v>12507</v>
      </c>
      <c r="I46" s="2"/>
      <c r="J46" s="17"/>
      <c r="K46" s="17"/>
      <c r="L46" s="17"/>
      <c r="M46" s="2"/>
      <c r="N46" s="2"/>
      <c r="O46" s="2"/>
    </row>
    <row r="47" spans="1:15" ht="17">
      <c r="A47" s="24"/>
      <c r="B47" s="18">
        <v>2</v>
      </c>
      <c r="C47" s="19" t="s">
        <v>64</v>
      </c>
      <c r="D47" s="20">
        <v>1</v>
      </c>
      <c r="E47" s="21">
        <v>1</v>
      </c>
      <c r="F47" s="20">
        <f t="shared" ref="F47:F54" si="5">D47*E47</f>
        <v>1</v>
      </c>
      <c r="G47" s="21">
        <v>12507</v>
      </c>
      <c r="H47" s="20">
        <f t="shared" ref="H47:H54" si="6">F47*G47</f>
        <v>12507</v>
      </c>
      <c r="I47" s="2"/>
      <c r="J47" s="17"/>
      <c r="K47" s="17"/>
      <c r="L47" s="17"/>
      <c r="M47" s="2"/>
      <c r="N47" s="2"/>
      <c r="O47" s="2"/>
    </row>
    <row r="48" spans="1:15" ht="17">
      <c r="A48" s="24"/>
      <c r="B48" s="18">
        <v>3</v>
      </c>
      <c r="C48" s="19" t="s">
        <v>65</v>
      </c>
      <c r="D48" s="20">
        <v>1</v>
      </c>
      <c r="E48" s="21">
        <v>1</v>
      </c>
      <c r="F48" s="20">
        <f t="shared" si="5"/>
        <v>1</v>
      </c>
      <c r="G48" s="21">
        <v>12507</v>
      </c>
      <c r="H48" s="20">
        <f t="shared" si="6"/>
        <v>12507</v>
      </c>
      <c r="I48" s="2"/>
      <c r="J48" s="17"/>
      <c r="K48" s="17"/>
      <c r="L48" s="17"/>
      <c r="M48" s="2"/>
      <c r="N48" s="2"/>
      <c r="O48" s="2"/>
    </row>
    <row r="49" spans="1:15" ht="17">
      <c r="A49" s="24"/>
      <c r="B49" s="18">
        <v>4</v>
      </c>
      <c r="C49" s="19" t="s">
        <v>220</v>
      </c>
      <c r="D49" s="20">
        <v>1</v>
      </c>
      <c r="E49" s="21">
        <v>1</v>
      </c>
      <c r="F49" s="20">
        <f t="shared" si="5"/>
        <v>1</v>
      </c>
      <c r="G49" s="21">
        <v>12507</v>
      </c>
      <c r="H49" s="20">
        <f t="shared" si="6"/>
        <v>12507</v>
      </c>
      <c r="I49" s="2"/>
      <c r="J49" s="17"/>
      <c r="K49" s="17"/>
      <c r="L49" s="17"/>
      <c r="M49" s="2"/>
      <c r="N49" s="2"/>
      <c r="O49" s="2"/>
    </row>
    <row r="50" spans="1:15" ht="17">
      <c r="A50" s="24"/>
      <c r="B50" s="18">
        <v>5</v>
      </c>
      <c r="C50" s="19" t="s">
        <v>221</v>
      </c>
      <c r="D50" s="20">
        <v>1</v>
      </c>
      <c r="E50" s="21">
        <v>1</v>
      </c>
      <c r="F50" s="20">
        <f t="shared" si="5"/>
        <v>1</v>
      </c>
      <c r="G50" s="21">
        <v>12507</v>
      </c>
      <c r="H50" s="20">
        <f t="shared" si="6"/>
        <v>12507</v>
      </c>
      <c r="I50" s="2"/>
      <c r="J50" s="17"/>
      <c r="K50" s="17"/>
      <c r="L50" s="17"/>
      <c r="M50" s="2"/>
      <c r="N50" s="2"/>
      <c r="O50" s="2"/>
    </row>
    <row r="51" spans="1:15" ht="17">
      <c r="A51" s="24"/>
      <c r="B51" s="18">
        <v>6</v>
      </c>
      <c r="C51" s="19" t="s">
        <v>222</v>
      </c>
      <c r="D51" s="20">
        <v>1</v>
      </c>
      <c r="E51" s="21">
        <v>0.35499999999999998</v>
      </c>
      <c r="F51" s="20">
        <f t="shared" si="5"/>
        <v>0.35499999999999998</v>
      </c>
      <c r="G51" s="21">
        <v>12507</v>
      </c>
      <c r="H51" s="20">
        <f t="shared" si="6"/>
        <v>4439.9849999999997</v>
      </c>
      <c r="I51" s="2"/>
      <c r="J51" s="17"/>
      <c r="K51" s="17"/>
      <c r="L51" s="17"/>
      <c r="M51" s="2"/>
      <c r="N51" s="2"/>
      <c r="O51" s="2"/>
    </row>
    <row r="52" spans="1:15" ht="17">
      <c r="A52" s="24"/>
      <c r="B52" s="18">
        <v>7</v>
      </c>
      <c r="C52" s="19" t="s">
        <v>223</v>
      </c>
      <c r="D52" s="20">
        <v>1</v>
      </c>
      <c r="E52" s="21">
        <v>1</v>
      </c>
      <c r="F52" s="20">
        <f t="shared" si="5"/>
        <v>1</v>
      </c>
      <c r="G52" s="21">
        <v>31769</v>
      </c>
      <c r="H52" s="20">
        <f t="shared" si="6"/>
        <v>31769</v>
      </c>
      <c r="I52" s="2"/>
      <c r="J52" s="17"/>
      <c r="K52" s="17"/>
      <c r="L52" s="17"/>
      <c r="M52" s="2"/>
      <c r="N52" s="2"/>
      <c r="O52" s="2"/>
    </row>
    <row r="53" spans="1:15" ht="17">
      <c r="A53" s="24"/>
      <c r="B53" s="18">
        <v>8</v>
      </c>
      <c r="C53" s="19"/>
      <c r="D53" s="20">
        <v>0</v>
      </c>
      <c r="E53" s="21">
        <v>1</v>
      </c>
      <c r="F53" s="20">
        <f t="shared" si="5"/>
        <v>0</v>
      </c>
      <c r="G53" s="21">
        <v>108</v>
      </c>
      <c r="H53" s="20">
        <f t="shared" si="6"/>
        <v>0</v>
      </c>
      <c r="I53" s="2"/>
      <c r="J53" s="17"/>
      <c r="K53" s="17"/>
      <c r="L53" s="17"/>
      <c r="M53" s="2"/>
      <c r="N53" s="2"/>
      <c r="O53" s="2"/>
    </row>
    <row r="54" spans="1:15" ht="17">
      <c r="A54" s="24"/>
      <c r="B54" s="18">
        <v>9</v>
      </c>
      <c r="C54" s="19"/>
      <c r="D54" s="20">
        <v>0</v>
      </c>
      <c r="E54" s="21">
        <v>1</v>
      </c>
      <c r="F54" s="20">
        <f t="shared" si="5"/>
        <v>0</v>
      </c>
      <c r="G54" s="21">
        <v>109</v>
      </c>
      <c r="H54" s="20">
        <f t="shared" si="6"/>
        <v>0</v>
      </c>
      <c r="I54" s="2"/>
      <c r="J54" s="17"/>
      <c r="K54" s="17"/>
      <c r="L54" s="17"/>
      <c r="M54" s="2"/>
      <c r="N54" s="2"/>
      <c r="O54" s="2"/>
    </row>
    <row r="55" spans="1:15" ht="17">
      <c r="A55" s="24"/>
      <c r="B55" s="18"/>
      <c r="C55" s="14" t="s">
        <v>74</v>
      </c>
      <c r="D55" s="20"/>
      <c r="E55" s="21"/>
      <c r="F55" s="20"/>
      <c r="G55" s="21"/>
      <c r="H55" s="25">
        <f>SUM(H46:H54)</f>
        <v>98743.985000000001</v>
      </c>
      <c r="I55" s="2"/>
      <c r="J55" s="17"/>
      <c r="K55" s="17"/>
      <c r="L55" s="17"/>
      <c r="M55" s="2"/>
      <c r="N55" s="2"/>
      <c r="O55" s="2"/>
    </row>
    <row r="56" spans="1:15" ht="17">
      <c r="A56" s="24"/>
      <c r="B56" s="18"/>
      <c r="C56" s="14"/>
      <c r="D56" s="20"/>
      <c r="E56" s="21"/>
      <c r="F56" s="20"/>
      <c r="G56" s="21"/>
      <c r="H56" s="25"/>
      <c r="I56" s="2"/>
      <c r="J56" s="17"/>
      <c r="K56" s="17"/>
      <c r="L56" s="17"/>
      <c r="M56" s="2"/>
      <c r="N56" s="2"/>
      <c r="O56" s="2"/>
    </row>
    <row r="57" spans="1:15" ht="17">
      <c r="A57" s="24"/>
      <c r="B57" s="26"/>
      <c r="C57" s="14" t="s">
        <v>75</v>
      </c>
      <c r="D57" s="20"/>
      <c r="E57" s="21"/>
      <c r="F57" s="20"/>
      <c r="G57" s="21"/>
      <c r="H57" s="20"/>
      <c r="I57" s="2"/>
      <c r="J57" s="17"/>
      <c r="K57" s="17"/>
      <c r="L57" s="17"/>
      <c r="M57" s="2"/>
      <c r="N57" s="2"/>
      <c r="O57" s="2"/>
    </row>
    <row r="58" spans="1:15" ht="17">
      <c r="A58" s="24"/>
      <c r="B58" s="18">
        <v>1</v>
      </c>
      <c r="C58" s="19" t="s">
        <v>224</v>
      </c>
      <c r="D58" s="20">
        <v>1</v>
      </c>
      <c r="E58" s="21">
        <v>1</v>
      </c>
      <c r="F58" s="20">
        <f>D58*E58</f>
        <v>1</v>
      </c>
      <c r="G58" s="21">
        <v>23079</v>
      </c>
      <c r="H58" s="20">
        <f>F58*G58</f>
        <v>23079</v>
      </c>
      <c r="I58" s="2"/>
      <c r="J58" s="17"/>
      <c r="K58" s="17"/>
      <c r="L58" s="17"/>
      <c r="M58" s="2"/>
      <c r="N58" s="2"/>
      <c r="O58" s="2"/>
    </row>
    <row r="59" spans="1:15" ht="17">
      <c r="A59" s="24"/>
      <c r="B59" s="18">
        <v>2</v>
      </c>
      <c r="C59" s="19" t="s">
        <v>225</v>
      </c>
      <c r="D59" s="20">
        <v>1</v>
      </c>
      <c r="E59" s="21">
        <v>1</v>
      </c>
      <c r="F59" s="20">
        <f t="shared" ref="F59:F65" si="7">D59*E59</f>
        <v>1</v>
      </c>
      <c r="G59" s="21">
        <v>23079</v>
      </c>
      <c r="H59" s="20">
        <f t="shared" ref="H59:H67" si="8">F59*G59</f>
        <v>23079</v>
      </c>
      <c r="I59" s="2"/>
      <c r="J59" s="17"/>
      <c r="K59" s="17"/>
      <c r="L59" s="17"/>
      <c r="M59" s="2"/>
      <c r="N59" s="2"/>
      <c r="O59" s="2"/>
    </row>
    <row r="60" spans="1:15" ht="17">
      <c r="A60" s="24"/>
      <c r="B60" s="18">
        <v>3</v>
      </c>
      <c r="C60" s="19" t="s">
        <v>226</v>
      </c>
      <c r="D60" s="20">
        <v>1</v>
      </c>
      <c r="E60" s="21">
        <v>1</v>
      </c>
      <c r="F60" s="20">
        <f t="shared" si="7"/>
        <v>1</v>
      </c>
      <c r="G60" s="21">
        <v>30770</v>
      </c>
      <c r="H60" s="20">
        <f t="shared" si="8"/>
        <v>30770</v>
      </c>
      <c r="I60" s="2"/>
      <c r="J60" s="17"/>
      <c r="K60" s="17"/>
      <c r="L60" s="17"/>
      <c r="M60" s="2"/>
      <c r="N60" s="2"/>
      <c r="O60" s="2"/>
    </row>
    <row r="61" spans="1:15" ht="17">
      <c r="A61" s="24"/>
      <c r="B61" s="18">
        <v>4</v>
      </c>
      <c r="C61" s="19" t="s">
        <v>227</v>
      </c>
      <c r="D61" s="20">
        <v>1</v>
      </c>
      <c r="E61" s="21">
        <v>1</v>
      </c>
      <c r="F61" s="20">
        <f t="shared" si="7"/>
        <v>1</v>
      </c>
      <c r="G61" s="21">
        <v>30770</v>
      </c>
      <c r="H61" s="20">
        <f t="shared" si="8"/>
        <v>30770</v>
      </c>
      <c r="I61" s="2"/>
      <c r="J61" s="17"/>
      <c r="K61" s="17"/>
      <c r="L61" s="17"/>
      <c r="M61" s="2"/>
      <c r="N61" s="2"/>
      <c r="O61" s="2"/>
    </row>
    <row r="62" spans="1:15" ht="17">
      <c r="A62" s="24"/>
      <c r="B62" s="18">
        <v>5</v>
      </c>
      <c r="C62" s="19" t="s">
        <v>228</v>
      </c>
      <c r="D62" s="20">
        <v>1</v>
      </c>
      <c r="E62" s="80">
        <v>0.35</v>
      </c>
      <c r="F62" s="20">
        <f t="shared" si="7"/>
        <v>0.35</v>
      </c>
      <c r="G62" s="21">
        <v>1000000</v>
      </c>
      <c r="H62" s="20">
        <f t="shared" si="8"/>
        <v>350000</v>
      </c>
      <c r="I62" s="2"/>
      <c r="J62" s="17"/>
      <c r="K62" s="17"/>
      <c r="L62" s="17"/>
      <c r="M62" s="2"/>
      <c r="N62" s="2"/>
      <c r="O62" s="2"/>
    </row>
    <row r="63" spans="1:15" ht="17">
      <c r="A63" s="24"/>
      <c r="B63" s="18">
        <v>6</v>
      </c>
      <c r="C63" s="19" t="s">
        <v>229</v>
      </c>
      <c r="D63" s="20">
        <v>1</v>
      </c>
      <c r="E63" s="80">
        <v>0.39500000000000002</v>
      </c>
      <c r="F63" s="20">
        <f t="shared" si="7"/>
        <v>0.39500000000000002</v>
      </c>
      <c r="G63" s="21">
        <v>350000</v>
      </c>
      <c r="H63" s="20">
        <f t="shared" si="8"/>
        <v>138250</v>
      </c>
      <c r="I63" s="2"/>
      <c r="J63" s="17"/>
      <c r="K63" s="17"/>
      <c r="L63" s="17"/>
      <c r="M63" s="2"/>
      <c r="N63" s="2"/>
      <c r="O63" s="2"/>
    </row>
    <row r="64" spans="1:15" ht="17">
      <c r="A64" s="24"/>
      <c r="B64" s="18">
        <v>7</v>
      </c>
      <c r="C64" s="19" t="s">
        <v>230</v>
      </c>
      <c r="D64" s="20">
        <v>1</v>
      </c>
      <c r="E64" s="80">
        <v>0.255</v>
      </c>
      <c r="F64" s="20">
        <f t="shared" si="7"/>
        <v>0.255</v>
      </c>
      <c r="G64" s="21">
        <v>250000</v>
      </c>
      <c r="H64" s="20">
        <f t="shared" si="8"/>
        <v>63750</v>
      </c>
      <c r="I64" s="2"/>
      <c r="J64" s="17"/>
      <c r="K64" s="17"/>
      <c r="L64" s="17"/>
      <c r="M64" s="2"/>
      <c r="N64" s="2"/>
      <c r="O64" s="2"/>
    </row>
    <row r="65" spans="1:15" ht="17">
      <c r="A65" s="24"/>
      <c r="B65" s="18">
        <v>8</v>
      </c>
      <c r="C65" s="19" t="s">
        <v>104</v>
      </c>
      <c r="D65" s="20">
        <v>1</v>
      </c>
      <c r="E65" s="21">
        <v>1</v>
      </c>
      <c r="F65" s="20">
        <f t="shared" si="7"/>
        <v>1</v>
      </c>
      <c r="G65" s="21">
        <v>140000</v>
      </c>
      <c r="H65" s="20">
        <f t="shared" si="8"/>
        <v>140000</v>
      </c>
      <c r="I65" s="2"/>
      <c r="J65" s="17"/>
      <c r="K65" s="17"/>
      <c r="L65" s="17"/>
      <c r="M65" s="2"/>
      <c r="N65" s="2"/>
      <c r="O65" s="2"/>
    </row>
    <row r="66" spans="1:15" ht="17">
      <c r="A66" s="24"/>
      <c r="B66" s="18">
        <v>9</v>
      </c>
      <c r="C66" s="19"/>
      <c r="D66" s="20"/>
      <c r="E66" s="21"/>
      <c r="F66" s="20"/>
      <c r="G66" s="21"/>
      <c r="H66" s="20">
        <f t="shared" si="8"/>
        <v>0</v>
      </c>
      <c r="I66" s="2"/>
      <c r="J66" s="17"/>
      <c r="K66" s="17"/>
      <c r="L66" s="17"/>
      <c r="M66" s="2"/>
      <c r="N66" s="2"/>
      <c r="O66" s="2"/>
    </row>
    <row r="67" spans="1:15" ht="17">
      <c r="A67" s="24"/>
      <c r="B67" s="18">
        <v>10</v>
      </c>
      <c r="C67" s="19"/>
      <c r="D67" s="20">
        <v>1</v>
      </c>
      <c r="E67" s="21">
        <v>1</v>
      </c>
      <c r="F67" s="20">
        <f>D67*E67</f>
        <v>1</v>
      </c>
      <c r="G67" s="21">
        <v>102</v>
      </c>
      <c r="H67" s="20">
        <f t="shared" si="8"/>
        <v>102</v>
      </c>
      <c r="I67" s="2"/>
      <c r="J67" s="17"/>
      <c r="K67" s="17"/>
      <c r="L67" s="17"/>
      <c r="M67" s="2"/>
      <c r="N67" s="2"/>
      <c r="O67" s="2"/>
    </row>
    <row r="68" spans="1:15" ht="17">
      <c r="A68" s="24"/>
      <c r="B68" s="18"/>
      <c r="C68" s="14" t="s">
        <v>79</v>
      </c>
      <c r="D68" s="20"/>
      <c r="E68" s="21"/>
      <c r="F68" s="20"/>
      <c r="G68" s="21"/>
      <c r="H68" s="25">
        <f>SUM(H58:H67)</f>
        <v>799800</v>
      </c>
      <c r="I68" s="2"/>
      <c r="J68" s="17"/>
      <c r="K68" s="17"/>
      <c r="L68" s="17"/>
      <c r="M68" s="2"/>
      <c r="N68" s="2"/>
      <c r="O68" s="2"/>
    </row>
    <row r="69" spans="1:15" ht="17">
      <c r="A69" s="24"/>
      <c r="B69" s="18"/>
      <c r="C69" s="14"/>
      <c r="D69" s="20"/>
      <c r="E69" s="21"/>
      <c r="F69" s="20"/>
      <c r="G69" s="21"/>
      <c r="H69" s="25"/>
      <c r="I69" s="2"/>
      <c r="J69" s="17"/>
      <c r="K69" s="17"/>
      <c r="L69" s="17"/>
      <c r="M69" s="2"/>
      <c r="N69" s="2"/>
      <c r="O69" s="2"/>
    </row>
    <row r="70" spans="1:15" ht="17">
      <c r="A70" s="24"/>
      <c r="B70" s="18"/>
      <c r="C70" s="14" t="s">
        <v>80</v>
      </c>
      <c r="D70" s="20"/>
      <c r="E70" s="21"/>
      <c r="F70" s="20"/>
      <c r="G70" s="21"/>
      <c r="H70" s="25">
        <f>H6+H11+H16+H21+H36+H43+H55+H68</f>
        <v>931397.90807692311</v>
      </c>
      <c r="I70" s="2"/>
      <c r="J70" s="17"/>
      <c r="K70" s="17"/>
      <c r="L70" s="17"/>
      <c r="M70" s="2"/>
      <c r="N70" s="2"/>
      <c r="O70" s="2"/>
    </row>
    <row r="71" spans="1:15" ht="17">
      <c r="A71" s="24"/>
      <c r="B71" s="26"/>
      <c r="C71" s="14"/>
      <c r="D71" s="20"/>
      <c r="E71" s="21"/>
      <c r="F71" s="20"/>
      <c r="G71" s="21"/>
      <c r="H71" s="20"/>
      <c r="I71" s="2"/>
      <c r="J71" s="17"/>
      <c r="K71" s="17"/>
      <c r="L71" s="17"/>
      <c r="M71" s="2"/>
      <c r="N71" s="2"/>
      <c r="O71" s="2"/>
    </row>
    <row r="72" spans="1:15" ht="17">
      <c r="A72" s="29"/>
      <c r="B72" s="13"/>
      <c r="C72" s="14"/>
      <c r="D72" s="20"/>
      <c r="E72" s="21"/>
      <c r="F72" s="20"/>
      <c r="G72" s="21"/>
      <c r="H72" s="20"/>
      <c r="I72" s="2"/>
      <c r="J72" s="17"/>
      <c r="K72" s="17"/>
      <c r="L72" s="17"/>
      <c r="M72" s="2"/>
      <c r="N72" s="2"/>
      <c r="O72" s="2"/>
    </row>
    <row r="73" spans="1:15" ht="17">
      <c r="A73" s="29"/>
      <c r="B73" s="18"/>
      <c r="C73" s="19"/>
      <c r="D73" s="20"/>
      <c r="E73" s="21"/>
      <c r="F73" s="20"/>
      <c r="G73" s="21"/>
      <c r="H73" s="20"/>
      <c r="I73" s="2"/>
      <c r="J73" s="17"/>
      <c r="K73" s="17"/>
      <c r="L73" s="17"/>
      <c r="M73" s="2"/>
      <c r="N73" s="2"/>
      <c r="O73" s="2"/>
    </row>
    <row r="74" spans="1:15" ht="17">
      <c r="A74" s="29"/>
      <c r="B74" s="18"/>
      <c r="C74" s="19"/>
      <c r="D74" s="20"/>
      <c r="E74" s="21"/>
      <c r="F74" s="20"/>
      <c r="G74" s="21"/>
      <c r="H74" s="20"/>
      <c r="I74" s="2"/>
      <c r="J74" s="17"/>
      <c r="K74" s="17"/>
      <c r="L74" s="17"/>
      <c r="M74" s="2"/>
      <c r="N74" s="2"/>
      <c r="O74" s="2"/>
    </row>
    <row r="75" spans="1:15" ht="17">
      <c r="A75" s="53"/>
      <c r="B75" s="76"/>
      <c r="C75" s="77"/>
      <c r="D75" s="78"/>
      <c r="E75" s="78"/>
      <c r="F75" s="78"/>
      <c r="G75" s="78"/>
      <c r="H75" s="79"/>
      <c r="J75" s="60"/>
      <c r="K75" s="60"/>
      <c r="L75" s="60"/>
    </row>
  </sheetData>
  <mergeCells count="3">
    <mergeCell ref="B1:H1"/>
    <mergeCell ref="J1:L1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09CA-F132-458E-80AC-B22F2E64A38C}">
  <sheetPr>
    <tabColor theme="9" tint="0.39997558519241921"/>
  </sheetPr>
  <dimension ref="A1:AE1789"/>
  <sheetViews>
    <sheetView tabSelected="1" topLeftCell="F1" zoomScale="180" zoomScaleNormal="90" workbookViewId="0">
      <pane ySplit="3" topLeftCell="A25" activePane="bottomLeft" state="frozen"/>
      <selection pane="bottomLeft" activeCell="K52" sqref="K52"/>
    </sheetView>
  </sheetViews>
  <sheetFormatPr baseColWidth="10" defaultColWidth="8.83203125" defaultRowHeight="17"/>
  <cols>
    <col min="1" max="1" width="20.83203125" style="53" customWidth="1"/>
    <col min="2" max="2" width="29.83203125" style="59" customWidth="1"/>
    <col min="3" max="3" width="36.33203125" style="39" bestFit="1" customWidth="1"/>
    <col min="4" max="4" width="12.83203125" style="41" customWidth="1"/>
    <col min="5" max="5" width="12.83203125" style="21" customWidth="1"/>
    <col min="6" max="6" width="12.83203125" style="41" customWidth="1"/>
    <col min="7" max="7" width="14.1640625" style="21" bestFit="1" customWidth="1"/>
    <col min="8" max="8" width="17.83203125" style="41" bestFit="1" customWidth="1"/>
    <col min="9" max="9" width="11.33203125" bestFit="1" customWidth="1"/>
    <col min="10" max="10" width="43.83203125" style="60" customWidth="1"/>
    <col min="11" max="11" width="18.33203125" style="60" bestFit="1" customWidth="1"/>
    <col min="12" max="12" width="14.83203125" style="60" customWidth="1"/>
    <col min="13" max="13" width="16.1640625" style="2" bestFit="1" customWidth="1"/>
    <col min="14" max="14" width="12.83203125" style="2" bestFit="1" customWidth="1"/>
    <col min="15" max="15" width="16.1640625" style="2" bestFit="1" customWidth="1"/>
    <col min="16" max="18" width="15.83203125" style="2" bestFit="1" customWidth="1"/>
    <col min="19" max="31" width="8.83203125" style="2"/>
  </cols>
  <sheetData>
    <row r="1" spans="1:12" ht="20" customHeight="1">
      <c r="A1"/>
      <c r="B1" s="179" t="s">
        <v>231</v>
      </c>
      <c r="C1" s="179"/>
      <c r="D1" s="179"/>
      <c r="E1" s="179"/>
      <c r="F1" s="179"/>
      <c r="G1" s="179"/>
      <c r="H1" s="180"/>
      <c r="I1" s="1"/>
      <c r="J1" s="179" t="s">
        <v>232</v>
      </c>
      <c r="K1" s="179"/>
      <c r="L1" s="179"/>
    </row>
    <row r="2" spans="1:12" ht="76.75" customHeight="1">
      <c r="A2" s="3"/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3"/>
      <c r="J2" s="11" t="s">
        <v>9</v>
      </c>
      <c r="K2" s="12" t="s">
        <v>10</v>
      </c>
      <c r="L2" s="12" t="s">
        <v>11</v>
      </c>
    </row>
    <row r="3" spans="1:12" ht="26">
      <c r="A3" s="181" t="s">
        <v>233</v>
      </c>
      <c r="B3" s="13" t="s">
        <v>234</v>
      </c>
      <c r="C3" s="14" t="s">
        <v>14</v>
      </c>
      <c r="D3" s="15"/>
      <c r="E3" s="16"/>
      <c r="F3" s="15"/>
      <c r="G3" s="16"/>
      <c r="H3" s="15"/>
      <c r="I3" s="2"/>
      <c r="J3" s="17"/>
      <c r="K3" s="17"/>
      <c r="L3" s="17"/>
    </row>
    <row r="4" spans="1:12" ht="17.5" customHeight="1">
      <c r="A4" s="181"/>
      <c r="B4" s="18">
        <v>1</v>
      </c>
      <c r="C4" s="19"/>
      <c r="D4" s="20">
        <v>0</v>
      </c>
      <c r="E4" s="21">
        <v>1</v>
      </c>
      <c r="F4" s="20">
        <f>D4*E4</f>
        <v>0</v>
      </c>
      <c r="G4" s="21">
        <v>101</v>
      </c>
      <c r="H4" s="20">
        <f>F4*G4</f>
        <v>0</v>
      </c>
      <c r="I4" s="2"/>
      <c r="J4" s="17" t="s">
        <v>235</v>
      </c>
      <c r="K4" s="22">
        <f>H6+H55+H174+H217+H304+H499+(H593*K22)+(H676*K23)+H761+H810+H907+H965+(H1058*K25)+(H1144*K26)+H1224+H1274+H1367+(H1424*K28)+(H1506*K29)+(H1591*K31)+(H1672*K32)</f>
        <v>1836933.125</v>
      </c>
      <c r="L4" s="23">
        <f>K4/$K$19</f>
        <v>2.6537918427437444E-2</v>
      </c>
    </row>
    <row r="5" spans="1:12" ht="17.5" customHeight="1">
      <c r="A5" s="24"/>
      <c r="B5" s="18">
        <v>2</v>
      </c>
      <c r="C5" s="19"/>
      <c r="D5" s="20">
        <v>0</v>
      </c>
      <c r="E5" s="21">
        <v>1</v>
      </c>
      <c r="F5" s="20">
        <f>D5*E5</f>
        <v>0</v>
      </c>
      <c r="G5" s="21">
        <v>102</v>
      </c>
      <c r="H5" s="20">
        <f>F5*G5</f>
        <v>0</v>
      </c>
      <c r="I5" s="2"/>
      <c r="J5" s="17" t="s">
        <v>236</v>
      </c>
      <c r="K5" s="22">
        <f>H11+H60+H179+H222+H320+H504+(H602*K22)+(H685*K23)+H766+H815+H912+H973+(H1066*K25)+(H1152*K26)+H1229+H1279+H1372+(H1432*K28)+(H1514*K29)+(H1599*K31)+(H1680*K32)</f>
        <v>15204.679614275417</v>
      </c>
      <c r="L5" s="23">
        <f t="shared" ref="L5:L18" si="0">K5/$K$19</f>
        <v>2.1965990042177613E-4</v>
      </c>
    </row>
    <row r="6" spans="1:12" ht="17.5" customHeight="1">
      <c r="A6" s="24"/>
      <c r="B6" s="18"/>
      <c r="C6" s="14" t="s">
        <v>17</v>
      </c>
      <c r="D6" s="20"/>
      <c r="F6" s="20"/>
      <c r="H6" s="25">
        <f>SUM(H4:H5)</f>
        <v>0</v>
      </c>
      <c r="I6" s="2"/>
      <c r="J6" s="17" t="s">
        <v>237</v>
      </c>
      <c r="K6" s="22">
        <f>H16+H65+H184+H227+H347+H509+(H607*K22)+(H694*K23)+H771+H820+H917+H982+(H1074*K25)+(H1160*K26)+H1234+H1284+H1377+(H1440*K28)+(H1522*K29)+(H1607*K31)+(H1688*K32)</f>
        <v>7299.7233237202581</v>
      </c>
      <c r="L6" s="23">
        <f t="shared" si="0"/>
        <v>1.0545809178967838E-4</v>
      </c>
    </row>
    <row r="7" spans="1:12" ht="17.5" customHeight="1">
      <c r="A7" s="24"/>
      <c r="B7" s="26"/>
      <c r="C7" s="14"/>
      <c r="D7" s="20"/>
      <c r="F7" s="20"/>
      <c r="H7" s="20"/>
      <c r="I7" s="2"/>
      <c r="J7" s="17" t="s">
        <v>238</v>
      </c>
      <c r="K7" s="22">
        <f>H21+H70+H189+H232+H427+H520+(H616*K22)+(H704*K23)+H776+H825+H922+H997+(H1082*K25)+(H1169*K26)+H1239+H1289+H1382+(H1448*K28)+(H1530*K29)+(H1616*K31)+(H1697*K32)</f>
        <v>1842586.2100000002</v>
      </c>
      <c r="L7" s="23">
        <f t="shared" si="0"/>
        <v>2.6619587763436474E-2</v>
      </c>
    </row>
    <row r="8" spans="1:12" ht="14.5" customHeight="1">
      <c r="A8" s="24"/>
      <c r="B8" s="26"/>
      <c r="C8" s="14" t="s">
        <v>20</v>
      </c>
      <c r="D8" s="20"/>
      <c r="F8" s="20"/>
      <c r="H8" s="20"/>
      <c r="I8" s="2"/>
      <c r="J8" s="17" t="s">
        <v>239</v>
      </c>
      <c r="K8" s="22">
        <f>H26+H75+H194+H245+H460+H544+(H632*K22)+(H720*K23)+H781+H830+H939+H1012+(H1101*K25)+(H1187*K26)+H1244+H1294+H1399+(H1465*K28)+(H1547*K29)+(H1634*K31)+(H1715*K32)</f>
        <v>47736718.333924286</v>
      </c>
      <c r="L8" s="23">
        <f t="shared" si="0"/>
        <v>0.68964575786570359</v>
      </c>
    </row>
    <row r="9" spans="1:12" ht="14.5" customHeight="1">
      <c r="A9" s="24"/>
      <c r="B9" s="18">
        <v>1</v>
      </c>
      <c r="C9" s="19"/>
      <c r="D9" s="20">
        <v>0</v>
      </c>
      <c r="E9" s="21">
        <v>1</v>
      </c>
      <c r="F9" s="20">
        <f>D9*E9</f>
        <v>0</v>
      </c>
      <c r="G9" s="21">
        <v>101</v>
      </c>
      <c r="H9" s="20">
        <f>F9*G9</f>
        <v>0</v>
      </c>
      <c r="I9" s="2"/>
      <c r="J9" s="17" t="s">
        <v>240</v>
      </c>
      <c r="K9" s="22">
        <f>H31+H86+H199+H253+H468+H552+(H640*K22)+(H730*K23)+H786+H847+H944+H1020+(H1109*K25)+(H1195*K26)+H1249+H1308+H1404+(H1473*K28)+(H1555*K29)+(H1642*K31)+(H1723*K32)</f>
        <v>889020</v>
      </c>
      <c r="L9" s="23">
        <f t="shared" si="0"/>
        <v>1.2843548803857754E-2</v>
      </c>
    </row>
    <row r="10" spans="1:12" ht="14.5" customHeight="1">
      <c r="A10" s="24"/>
      <c r="B10" s="18">
        <v>2</v>
      </c>
      <c r="C10" s="19"/>
      <c r="D10" s="20">
        <v>0</v>
      </c>
      <c r="E10" s="21">
        <v>1</v>
      </c>
      <c r="F10" s="20">
        <f>D10*E10</f>
        <v>0</v>
      </c>
      <c r="G10" s="21">
        <v>102</v>
      </c>
      <c r="H10" s="20">
        <f>F10*G10</f>
        <v>0</v>
      </c>
      <c r="I10" s="2"/>
      <c r="J10" s="17" t="s">
        <v>241</v>
      </c>
      <c r="K10" s="22">
        <f>H36+H135+H204+H268+H484+H570+(H653*K22)+(H742*K23)+H791+H895+H949+H1032+(H1120*K25)+(H1206*K26)+H1254+H1355+H1409+(H1483*K28)+(H1568*K29)+(H1653*K31)+(H1734*K32)</f>
        <v>6213921.5099999998</v>
      </c>
      <c r="L10" s="23">
        <f t="shared" si="0"/>
        <v>8.9771663378806404E-2</v>
      </c>
    </row>
    <row r="11" spans="1:12" ht="14.5" customHeight="1">
      <c r="A11" s="24"/>
      <c r="B11" s="18"/>
      <c r="C11" s="14" t="s">
        <v>24</v>
      </c>
      <c r="D11" s="20"/>
      <c r="F11" s="20"/>
      <c r="H11" s="25">
        <f>SUM(H9:H10)</f>
        <v>0</v>
      </c>
      <c r="I11" s="2"/>
      <c r="J11" s="17" t="s">
        <v>242</v>
      </c>
      <c r="K11" s="22">
        <f>H48+H148+H209+H281+H492+H583+(H666*K22)+(H753*K23)+H803+H900+H954+H1045+(H1134*K25)+(H1216*K26)+H1267+H1360+H1414+(H1495*K28)+(H1581*K29)+(H1662*K31)+(H1743*K32)</f>
        <v>10677502.919999998</v>
      </c>
      <c r="L11" s="23">
        <f t="shared" si="0"/>
        <v>0.15425640576854699</v>
      </c>
    </row>
    <row r="12" spans="1:12" ht="14.5" customHeight="1">
      <c r="A12" s="24"/>
      <c r="B12" s="26"/>
      <c r="C12" s="14"/>
      <c r="D12" s="20"/>
      <c r="F12" s="20"/>
      <c r="H12" s="20"/>
      <c r="I12" s="2"/>
      <c r="J12" s="27" t="s">
        <v>26</v>
      </c>
      <c r="K12" s="22">
        <f>H1750</f>
        <v>0</v>
      </c>
      <c r="L12" s="23">
        <f t="shared" si="0"/>
        <v>0</v>
      </c>
    </row>
    <row r="13" spans="1:12" ht="14.5" customHeight="1">
      <c r="A13" s="24"/>
      <c r="B13" s="26"/>
      <c r="C13" s="14" t="s">
        <v>27</v>
      </c>
      <c r="D13" s="20"/>
      <c r="F13" s="20"/>
      <c r="H13" s="20"/>
      <c r="I13" s="2"/>
      <c r="J13" s="27" t="s">
        <v>28</v>
      </c>
      <c r="K13" s="22">
        <f>H1755</f>
        <v>0</v>
      </c>
      <c r="L13" s="23">
        <f t="shared" si="0"/>
        <v>0</v>
      </c>
    </row>
    <row r="14" spans="1:12" ht="14.5" customHeight="1">
      <c r="A14" s="24"/>
      <c r="B14" s="18">
        <v>1</v>
      </c>
      <c r="C14" s="19"/>
      <c r="D14" s="20">
        <v>0</v>
      </c>
      <c r="E14" s="21">
        <v>1</v>
      </c>
      <c r="F14" s="20">
        <f>D14*E14</f>
        <v>0</v>
      </c>
      <c r="G14" s="21">
        <v>101</v>
      </c>
      <c r="H14" s="20">
        <f>F14*G14</f>
        <v>0</v>
      </c>
      <c r="I14" s="2"/>
      <c r="J14" s="27" t="s">
        <v>29</v>
      </c>
      <c r="K14" s="22">
        <f>H1760</f>
        <v>0</v>
      </c>
      <c r="L14" s="23">
        <f t="shared" si="0"/>
        <v>0</v>
      </c>
    </row>
    <row r="15" spans="1:12" ht="14.5" customHeight="1">
      <c r="A15" s="24"/>
      <c r="B15" s="18">
        <v>2</v>
      </c>
      <c r="C15" s="19"/>
      <c r="D15" s="20">
        <v>0</v>
      </c>
      <c r="E15" s="21">
        <v>1</v>
      </c>
      <c r="F15" s="20">
        <f>D15*E15</f>
        <v>0</v>
      </c>
      <c r="G15" s="21">
        <v>102</v>
      </c>
      <c r="H15" s="20">
        <f>F15*G15</f>
        <v>0</v>
      </c>
      <c r="I15" s="2"/>
      <c r="J15" s="27" t="s">
        <v>30</v>
      </c>
      <c r="K15" s="22">
        <f>H1765</f>
        <v>0</v>
      </c>
      <c r="L15" s="23">
        <f t="shared" si="0"/>
        <v>0</v>
      </c>
    </row>
    <row r="16" spans="1:12" ht="14.5" customHeight="1">
      <c r="A16" s="24"/>
      <c r="B16" s="18"/>
      <c r="C16" s="14" t="s">
        <v>31</v>
      </c>
      <c r="D16" s="20"/>
      <c r="F16" s="20"/>
      <c r="H16" s="25">
        <f>SUM(H14:H15)</f>
        <v>0</v>
      </c>
      <c r="I16" s="2"/>
      <c r="J16" s="27" t="s">
        <v>32</v>
      </c>
      <c r="K16" s="22">
        <f>H1770</f>
        <v>0</v>
      </c>
      <c r="L16" s="23">
        <f t="shared" si="0"/>
        <v>0</v>
      </c>
    </row>
    <row r="17" spans="1:12" ht="14.5" customHeight="1">
      <c r="A17" s="24"/>
      <c r="B17" s="26"/>
      <c r="C17" s="14"/>
      <c r="D17" s="20"/>
      <c r="F17" s="20"/>
      <c r="H17" s="20"/>
      <c r="I17" s="2"/>
      <c r="J17" s="27" t="s">
        <v>33</v>
      </c>
      <c r="K17" s="22">
        <f>H1775</f>
        <v>0</v>
      </c>
      <c r="L17" s="23">
        <f t="shared" si="0"/>
        <v>0</v>
      </c>
    </row>
    <row r="18" spans="1:12" ht="14.5" customHeight="1">
      <c r="A18" s="24"/>
      <c r="B18" s="26"/>
      <c r="C18" s="14" t="s">
        <v>34</v>
      </c>
      <c r="D18" s="20"/>
      <c r="F18" s="20"/>
      <c r="H18" s="20"/>
      <c r="I18" s="2"/>
      <c r="J18" s="27" t="s">
        <v>35</v>
      </c>
      <c r="K18" s="22">
        <f>H1780</f>
        <v>0</v>
      </c>
      <c r="L18" s="23">
        <f t="shared" si="0"/>
        <v>0</v>
      </c>
    </row>
    <row r="19" spans="1:12" ht="14.5" customHeight="1">
      <c r="A19" s="24"/>
      <c r="B19" s="18">
        <v>1</v>
      </c>
      <c r="C19" s="19"/>
      <c r="D19" s="20">
        <v>0</v>
      </c>
      <c r="E19" s="21">
        <v>1</v>
      </c>
      <c r="F19" s="20">
        <f>D19*E19</f>
        <v>0</v>
      </c>
      <c r="G19" s="21">
        <v>101</v>
      </c>
      <c r="H19" s="20">
        <f>F19*G19</f>
        <v>0</v>
      </c>
      <c r="I19" s="2"/>
      <c r="J19" s="28" t="s">
        <v>36</v>
      </c>
      <c r="K19" s="74">
        <f>SUM(K4:K18)</f>
        <v>69219186.501862273</v>
      </c>
      <c r="L19" s="75">
        <f>SUM(L4:L18)</f>
        <v>1</v>
      </c>
    </row>
    <row r="20" spans="1:12" ht="14.5" customHeight="1">
      <c r="A20" s="24"/>
      <c r="B20" s="18">
        <v>2</v>
      </c>
      <c r="C20" s="19"/>
      <c r="D20" s="20">
        <v>0</v>
      </c>
      <c r="E20" s="21">
        <v>1</v>
      </c>
      <c r="F20" s="20">
        <f>D20*E20</f>
        <v>0</v>
      </c>
      <c r="G20" s="21">
        <v>102</v>
      </c>
      <c r="H20" s="20">
        <f>F20*G20</f>
        <v>0</v>
      </c>
      <c r="I20" s="2"/>
      <c r="J20" s="17"/>
      <c r="K20" s="17"/>
      <c r="L20" s="17"/>
    </row>
    <row r="21" spans="1:12" ht="14.5" customHeight="1">
      <c r="A21" s="24"/>
      <c r="B21" s="18"/>
      <c r="C21" s="14" t="s">
        <v>37</v>
      </c>
      <c r="D21" s="20"/>
      <c r="F21" s="20"/>
      <c r="H21" s="25">
        <f>SUM(H19:H20)</f>
        <v>0</v>
      </c>
      <c r="I21" s="2"/>
      <c r="J21" s="17" t="s">
        <v>243</v>
      </c>
      <c r="K21" s="17" t="s">
        <v>244</v>
      </c>
      <c r="L21" s="17"/>
    </row>
    <row r="22" spans="1:12" ht="14.5" customHeight="1">
      <c r="A22" s="24"/>
      <c r="B22" s="26"/>
      <c r="C22" s="14"/>
      <c r="D22" s="20"/>
      <c r="F22" s="20"/>
      <c r="H22" s="20"/>
      <c r="I22" s="2"/>
      <c r="J22" s="61" t="s">
        <v>245</v>
      </c>
      <c r="K22" s="62">
        <v>5.8000000000000003E-2</v>
      </c>
      <c r="L22" s="17"/>
    </row>
    <row r="23" spans="1:12" ht="14.5" customHeight="1">
      <c r="A23" s="24"/>
      <c r="B23" s="26"/>
      <c r="C23" s="14" t="s">
        <v>41</v>
      </c>
      <c r="D23" s="20"/>
      <c r="F23" s="20"/>
      <c r="H23" s="20"/>
      <c r="I23" s="2"/>
      <c r="J23" s="61" t="s">
        <v>246</v>
      </c>
      <c r="K23" s="62">
        <v>5.8000000000000003E-2</v>
      </c>
      <c r="L23" s="17"/>
    </row>
    <row r="24" spans="1:12" ht="14.5" customHeight="1">
      <c r="A24" s="24"/>
      <c r="B24" s="18">
        <v>1</v>
      </c>
      <c r="C24" s="19"/>
      <c r="D24" s="20">
        <v>0</v>
      </c>
      <c r="E24" s="21">
        <v>1</v>
      </c>
      <c r="F24" s="20">
        <f>D24*E24</f>
        <v>0</v>
      </c>
      <c r="G24" s="21">
        <v>101</v>
      </c>
      <c r="H24" s="20">
        <f>F24*G24</f>
        <v>0</v>
      </c>
      <c r="I24" s="2"/>
      <c r="J24" s="17"/>
      <c r="K24" s="63"/>
      <c r="L24" s="17"/>
    </row>
    <row r="25" spans="1:12" ht="14.5" customHeight="1">
      <c r="A25" s="24"/>
      <c r="B25" s="18">
        <v>2</v>
      </c>
      <c r="C25" s="19"/>
      <c r="D25" s="20">
        <v>0</v>
      </c>
      <c r="E25" s="21">
        <v>1</v>
      </c>
      <c r="F25" s="20">
        <f>D25*E25</f>
        <v>0</v>
      </c>
      <c r="G25" s="21">
        <v>102</v>
      </c>
      <c r="H25" s="20">
        <f>F25*G25</f>
        <v>0</v>
      </c>
      <c r="I25" s="2"/>
      <c r="J25" s="64" t="s">
        <v>247</v>
      </c>
      <c r="K25" s="65">
        <v>0.02</v>
      </c>
      <c r="L25" s="17"/>
    </row>
    <row r="26" spans="1:12" ht="14.5" customHeight="1">
      <c r="A26" s="24"/>
      <c r="B26" s="18"/>
      <c r="C26" s="14" t="s">
        <v>59</v>
      </c>
      <c r="D26" s="20"/>
      <c r="F26" s="20"/>
      <c r="H26" s="25">
        <f>SUM(H24:H25)</f>
        <v>0</v>
      </c>
      <c r="I26" s="2"/>
      <c r="J26" s="64" t="s">
        <v>248</v>
      </c>
      <c r="K26" s="65">
        <v>0.03</v>
      </c>
      <c r="L26" s="17"/>
    </row>
    <row r="27" spans="1:12" ht="14.5" customHeight="1">
      <c r="A27" s="24"/>
      <c r="B27" s="26"/>
      <c r="C27" s="14"/>
      <c r="D27" s="20"/>
      <c r="F27" s="20"/>
      <c r="H27" s="20"/>
      <c r="I27" s="2"/>
      <c r="J27" s="17"/>
      <c r="K27" s="63"/>
      <c r="L27" s="17"/>
    </row>
    <row r="28" spans="1:12" ht="14.5" customHeight="1">
      <c r="A28" s="24"/>
      <c r="B28" s="26"/>
      <c r="C28" s="14" t="s">
        <v>60</v>
      </c>
      <c r="D28" s="20"/>
      <c r="F28" s="20"/>
      <c r="H28" s="20"/>
      <c r="I28" s="2"/>
      <c r="J28" s="66" t="s">
        <v>249</v>
      </c>
      <c r="K28" s="67">
        <v>0.02</v>
      </c>
      <c r="L28" s="17"/>
    </row>
    <row r="29" spans="1:12" ht="14.5" customHeight="1">
      <c r="A29" s="24"/>
      <c r="B29" s="18">
        <v>1</v>
      </c>
      <c r="C29" s="19"/>
      <c r="D29" s="20">
        <v>0</v>
      </c>
      <c r="E29" s="21">
        <v>1</v>
      </c>
      <c r="F29" s="20">
        <f>D29*E29</f>
        <v>0</v>
      </c>
      <c r="G29" s="21">
        <v>101</v>
      </c>
      <c r="H29" s="20">
        <f>F29*G29</f>
        <v>0</v>
      </c>
      <c r="I29" s="2"/>
      <c r="J29" s="66" t="s">
        <v>250</v>
      </c>
      <c r="K29" s="67">
        <v>0.03</v>
      </c>
      <c r="L29" s="17"/>
    </row>
    <row r="30" spans="1:12" ht="14.5" customHeight="1">
      <c r="A30" s="24"/>
      <c r="B30" s="18">
        <v>2</v>
      </c>
      <c r="C30" s="19"/>
      <c r="D30" s="20">
        <v>0</v>
      </c>
      <c r="E30" s="21">
        <v>1</v>
      </c>
      <c r="F30" s="20">
        <f>D30*E30</f>
        <v>0</v>
      </c>
      <c r="G30" s="21">
        <v>102</v>
      </c>
      <c r="H30" s="20">
        <f>F30*G30</f>
        <v>0</v>
      </c>
      <c r="I30" s="2"/>
      <c r="J30" s="17"/>
      <c r="K30" s="17"/>
      <c r="L30" s="17"/>
    </row>
    <row r="31" spans="1:12" ht="14.5" customHeight="1">
      <c r="A31" s="24"/>
      <c r="B31" s="18"/>
      <c r="C31" s="14" t="s">
        <v>61</v>
      </c>
      <c r="D31" s="20"/>
      <c r="F31" s="20"/>
      <c r="H31" s="25">
        <f>SUM(H29:H30)</f>
        <v>0</v>
      </c>
      <c r="I31" s="2"/>
      <c r="J31" s="64" t="s">
        <v>251</v>
      </c>
      <c r="K31" s="65">
        <v>2.9000000000000001E-2</v>
      </c>
      <c r="L31" s="17"/>
    </row>
    <row r="32" spans="1:12" ht="14.5" customHeight="1">
      <c r="A32" s="24"/>
      <c r="B32" s="26"/>
      <c r="C32" s="14"/>
      <c r="D32" s="20"/>
      <c r="F32" s="20"/>
      <c r="H32" s="20"/>
      <c r="I32" s="2"/>
      <c r="J32" s="66" t="s">
        <v>252</v>
      </c>
      <c r="K32" s="67">
        <v>2.9000000000000001E-2</v>
      </c>
      <c r="L32" s="17"/>
    </row>
    <row r="33" spans="1:18" ht="14.5" customHeight="1">
      <c r="A33" s="24"/>
      <c r="B33" s="26"/>
      <c r="C33" s="14" t="s">
        <v>62</v>
      </c>
      <c r="D33" s="20"/>
      <c r="F33" s="20"/>
      <c r="H33" s="20"/>
      <c r="I33" s="2"/>
      <c r="J33" s="17"/>
      <c r="K33" s="17"/>
      <c r="L33" s="17"/>
    </row>
    <row r="34" spans="1:18" ht="14.5" customHeight="1">
      <c r="A34" s="24"/>
      <c r="B34" s="18">
        <v>1</v>
      </c>
      <c r="C34" s="19"/>
      <c r="D34" s="20">
        <v>0</v>
      </c>
      <c r="E34" s="21">
        <v>1</v>
      </c>
      <c r="F34" s="20">
        <f>D34*E34</f>
        <v>0</v>
      </c>
      <c r="G34" s="21">
        <v>101</v>
      </c>
      <c r="H34" s="20">
        <f>F34*G34</f>
        <v>0</v>
      </c>
      <c r="I34" s="2"/>
      <c r="J34" s="107" t="s">
        <v>253</v>
      </c>
      <c r="K34" s="107" t="s">
        <v>254</v>
      </c>
      <c r="L34" s="107" t="s">
        <v>255</v>
      </c>
      <c r="M34" s="107" t="s">
        <v>256</v>
      </c>
      <c r="N34" s="107" t="s">
        <v>257</v>
      </c>
      <c r="O34" s="107" t="s">
        <v>258</v>
      </c>
      <c r="P34" s="107" t="s">
        <v>259</v>
      </c>
      <c r="Q34" s="107" t="s">
        <v>260</v>
      </c>
      <c r="R34" s="107" t="s">
        <v>261</v>
      </c>
    </row>
    <row r="35" spans="1:18" ht="14.5" customHeight="1">
      <c r="A35" s="24"/>
      <c r="B35" s="18">
        <v>2</v>
      </c>
      <c r="C35" s="19"/>
      <c r="D35" s="20">
        <v>0</v>
      </c>
      <c r="E35" s="21">
        <v>1</v>
      </c>
      <c r="F35" s="20">
        <f>D35*E35</f>
        <v>0</v>
      </c>
      <c r="G35" s="21">
        <v>102</v>
      </c>
      <c r="H35" s="20">
        <f>F35*G35</f>
        <v>0</v>
      </c>
      <c r="I35" s="2"/>
      <c r="J35" s="17" t="s">
        <v>262</v>
      </c>
      <c r="K35" s="171">
        <f>$H$50+$H$150+$H$211</f>
        <v>3099411.0780000002</v>
      </c>
      <c r="L35" s="171">
        <v>3099411.0780000002</v>
      </c>
      <c r="M35" s="171">
        <v>3099411.0780000002</v>
      </c>
      <c r="N35" s="171">
        <v>3099411.0780000002</v>
      </c>
      <c r="O35" s="171">
        <v>3099411.0780000002</v>
      </c>
      <c r="P35" s="171">
        <v>3099411.0780000002</v>
      </c>
      <c r="Q35" s="171">
        <v>3099411.0780000002</v>
      </c>
      <c r="R35" s="171">
        <v>3099411.0780000002</v>
      </c>
    </row>
    <row r="36" spans="1:18" ht="14.5" customHeight="1">
      <c r="A36" s="24"/>
      <c r="B36" s="18"/>
      <c r="C36" s="14" t="s">
        <v>74</v>
      </c>
      <c r="D36" s="20"/>
      <c r="F36" s="20"/>
      <c r="H36" s="25">
        <f>SUM(H34:H35)</f>
        <v>0</v>
      </c>
      <c r="I36" s="2"/>
      <c r="J36" s="17" t="s">
        <v>263</v>
      </c>
      <c r="K36" s="171">
        <f>$H$283+$H$494+$H$585+$H$668*$K$22+$H$755*$K$23</f>
        <v>19055620.670440763</v>
      </c>
      <c r="L36" s="171">
        <v>18901803.747363839</v>
      </c>
      <c r="M36" s="171">
        <v>18824895.285825379</v>
      </c>
      <c r="N36" s="171">
        <v>18778750.208902303</v>
      </c>
      <c r="O36" s="171">
        <v>18751899.747363839</v>
      </c>
      <c r="P36" s="171">
        <v>18600039.285825379</v>
      </c>
      <c r="Q36" s="171">
        <v>18508923.008902304</v>
      </c>
      <c r="R36" s="171">
        <v>16845780.470440764</v>
      </c>
    </row>
    <row r="37" spans="1:18" ht="14.5" customHeight="1">
      <c r="A37" s="24"/>
      <c r="B37" s="18"/>
      <c r="C37" s="14"/>
      <c r="D37" s="20"/>
      <c r="F37" s="20"/>
      <c r="H37" s="25"/>
      <c r="I37" s="2"/>
      <c r="J37" s="17" t="s">
        <v>264</v>
      </c>
      <c r="K37" s="171">
        <f>$H$805+$H$902+$H$956+$H$1047+$H$1136*$K$25+$H$1218*$K$26+$H$1664*$K$31</f>
        <v>27523755.132913843</v>
      </c>
      <c r="L37" s="171">
        <v>21724524.363683082</v>
      </c>
      <c r="M37" s="171">
        <v>18824908.979067694</v>
      </c>
      <c r="N37" s="171">
        <v>17085139.748298462</v>
      </c>
      <c r="O37" s="171">
        <v>16590370.517529229</v>
      </c>
      <c r="P37" s="171">
        <v>11123678.209836923</v>
      </c>
      <c r="Q37" s="171">
        <v>7843662.8252215404</v>
      </c>
      <c r="R37" s="171">
        <v>27523755.132913843</v>
      </c>
    </row>
    <row r="38" spans="1:18" ht="14.5" customHeight="1">
      <c r="A38" s="24"/>
      <c r="B38" s="26"/>
      <c r="C38" s="14" t="s">
        <v>75</v>
      </c>
      <c r="D38" s="20"/>
      <c r="F38" s="20"/>
      <c r="H38" s="20"/>
      <c r="I38" s="2"/>
      <c r="J38" s="17" t="s">
        <v>265</v>
      </c>
      <c r="K38" s="171">
        <f>$H$1269+$H$1362+$H$1416+$H$1497*$K$28+$H$1583*$K$29+$H$1745*$K$32</f>
        <v>19540399.620507684</v>
      </c>
      <c r="L38" s="171">
        <v>13644245.7743538</v>
      </c>
      <c r="M38" s="171">
        <v>10696168.851276925</v>
      </c>
      <c r="N38" s="171">
        <v>8927322.6974307708</v>
      </c>
      <c r="O38" s="171">
        <v>10611938.082046101</v>
      </c>
      <c r="P38" s="171">
        <v>6147707.3128153821</v>
      </c>
      <c r="Q38" s="171">
        <v>3469168.8512769225</v>
      </c>
      <c r="R38" s="171">
        <v>19540399.620507684</v>
      </c>
    </row>
    <row r="39" spans="1:18" ht="14.5" customHeight="1">
      <c r="A39" s="24"/>
      <c r="B39" s="18">
        <v>1</v>
      </c>
      <c r="C39" s="19" t="s">
        <v>76</v>
      </c>
      <c r="D39" s="20">
        <v>4</v>
      </c>
      <c r="E39" s="21">
        <v>1</v>
      </c>
      <c r="F39" s="20">
        <f>D39*E39</f>
        <v>4</v>
      </c>
      <c r="G39" s="21">
        <v>23079</v>
      </c>
      <c r="H39" s="20">
        <f>F39*G39</f>
        <v>92316</v>
      </c>
      <c r="I39" s="2"/>
      <c r="J39" s="17" t="s">
        <v>266</v>
      </c>
      <c r="K39" s="171">
        <f>K37-K38</f>
        <v>7983355.5124061592</v>
      </c>
      <c r="L39" s="171">
        <v>8080278.5893292371</v>
      </c>
      <c r="M39" s="171">
        <v>8128740.1277907696</v>
      </c>
      <c r="N39" s="171">
        <v>8157817.0508676916</v>
      </c>
      <c r="O39" s="171">
        <v>5978432.4354830794</v>
      </c>
      <c r="P39" s="171">
        <v>4975970.8970215404</v>
      </c>
      <c r="Q39" s="171">
        <v>4374493.9739446156</v>
      </c>
      <c r="R39" s="171">
        <v>7983355.5124061592</v>
      </c>
    </row>
    <row r="40" spans="1:18" ht="14.5" customHeight="1">
      <c r="A40" s="24"/>
      <c r="B40" s="18">
        <v>2</v>
      </c>
      <c r="C40" s="19" t="s">
        <v>267</v>
      </c>
      <c r="D40" s="20">
        <v>1</v>
      </c>
      <c r="E40" s="21">
        <v>1</v>
      </c>
      <c r="F40" s="20">
        <f t="shared" ref="F40:F47" si="1">D40*E40</f>
        <v>1</v>
      </c>
      <c r="G40" s="21">
        <v>23079</v>
      </c>
      <c r="H40" s="20">
        <f t="shared" ref="H40:H47" si="2">F40*G40</f>
        <v>23079</v>
      </c>
      <c r="I40" s="2"/>
      <c r="J40" s="17"/>
      <c r="K40" s="17"/>
      <c r="L40" s="17"/>
    </row>
    <row r="41" spans="1:18" ht="14.5" customHeight="1">
      <c r="A41" s="24"/>
      <c r="B41" s="18">
        <v>3</v>
      </c>
      <c r="C41" s="19" t="s">
        <v>268</v>
      </c>
      <c r="D41" s="20">
        <v>1</v>
      </c>
      <c r="E41" s="21">
        <v>1</v>
      </c>
      <c r="F41" s="20">
        <f t="shared" si="1"/>
        <v>1</v>
      </c>
      <c r="G41" s="21">
        <v>23079</v>
      </c>
      <c r="H41" s="20">
        <f t="shared" si="2"/>
        <v>23079</v>
      </c>
      <c r="I41" s="2"/>
      <c r="J41" s="17"/>
      <c r="K41" s="17"/>
      <c r="L41" s="17"/>
    </row>
    <row r="42" spans="1:18" ht="14.5" customHeight="1">
      <c r="A42" s="24"/>
      <c r="B42" s="18">
        <v>4</v>
      </c>
      <c r="C42" s="19" t="s">
        <v>269</v>
      </c>
      <c r="D42" s="20">
        <v>1</v>
      </c>
      <c r="E42" s="21">
        <v>1</v>
      </c>
      <c r="F42" s="20">
        <f t="shared" si="1"/>
        <v>1</v>
      </c>
      <c r="G42" s="21">
        <v>23079</v>
      </c>
      <c r="H42" s="20">
        <f t="shared" si="2"/>
        <v>23079</v>
      </c>
      <c r="I42" s="2"/>
      <c r="J42" s="107" t="s">
        <v>270</v>
      </c>
      <c r="K42" s="108" t="s">
        <v>271</v>
      </c>
      <c r="L42" s="172">
        <v>1</v>
      </c>
      <c r="M42" s="173">
        <v>0.5</v>
      </c>
      <c r="N42" s="173">
        <v>0.25</v>
      </c>
      <c r="O42" s="173">
        <v>0.1</v>
      </c>
    </row>
    <row r="43" spans="1:18" ht="14.5" customHeight="1">
      <c r="A43" s="24"/>
      <c r="B43" s="18">
        <v>5</v>
      </c>
      <c r="C43" s="19" t="s">
        <v>272</v>
      </c>
      <c r="D43" s="20">
        <v>1</v>
      </c>
      <c r="E43" s="21">
        <v>1</v>
      </c>
      <c r="F43" s="20">
        <f t="shared" si="1"/>
        <v>1</v>
      </c>
      <c r="G43" s="21">
        <v>23079</v>
      </c>
      <c r="H43" s="20">
        <f t="shared" si="2"/>
        <v>23079</v>
      </c>
      <c r="I43" s="2"/>
      <c r="J43" s="17" t="s">
        <v>273</v>
      </c>
      <c r="K43" s="174">
        <f>L43</f>
        <v>5384.6153846153802</v>
      </c>
      <c r="L43" s="174">
        <v>5384.6153846153802</v>
      </c>
      <c r="M43" s="174">
        <f>$L43*M$42</f>
        <v>2692.3076923076901</v>
      </c>
      <c r="N43" s="174">
        <f t="shared" ref="N43:O44" si="3">$L43*N$42</f>
        <v>1346.1538461538451</v>
      </c>
      <c r="O43" s="174">
        <f t="shared" si="3"/>
        <v>538.461538461538</v>
      </c>
    </row>
    <row r="44" spans="1:18" ht="14.5" customHeight="1">
      <c r="A44" s="24"/>
      <c r="B44" s="18">
        <v>6</v>
      </c>
      <c r="C44" s="19" t="s">
        <v>274</v>
      </c>
      <c r="D44" s="20">
        <v>1</v>
      </c>
      <c r="E44" s="21">
        <v>1</v>
      </c>
      <c r="F44" s="20">
        <f t="shared" si="1"/>
        <v>1</v>
      </c>
      <c r="G44" s="21">
        <v>23079</v>
      </c>
      <c r="H44" s="20">
        <f t="shared" si="2"/>
        <v>23079</v>
      </c>
      <c r="I44" s="2"/>
      <c r="J44" s="17" t="s">
        <v>275</v>
      </c>
      <c r="K44" s="174">
        <f>L44</f>
        <v>8307.6923076923104</v>
      </c>
      <c r="L44" s="174">
        <v>8307.6923076923104</v>
      </c>
      <c r="M44" s="174">
        <f>$L44*M$42</f>
        <v>4153.8461538461552</v>
      </c>
      <c r="N44" s="174">
        <f t="shared" si="3"/>
        <v>2076.9230769230776</v>
      </c>
      <c r="O44" s="174">
        <f t="shared" si="3"/>
        <v>830.76923076923106</v>
      </c>
    </row>
    <row r="45" spans="1:18" ht="14.5" customHeight="1">
      <c r="A45" s="24"/>
      <c r="B45" s="18">
        <v>7</v>
      </c>
      <c r="C45" s="19" t="s">
        <v>77</v>
      </c>
      <c r="D45" s="20">
        <v>4</v>
      </c>
      <c r="E45" s="21">
        <v>1</v>
      </c>
      <c r="F45" s="20">
        <f t="shared" si="1"/>
        <v>4</v>
      </c>
      <c r="G45" s="21">
        <v>23079</v>
      </c>
      <c r="H45" s="20">
        <f t="shared" si="2"/>
        <v>92316</v>
      </c>
      <c r="I45" s="2"/>
      <c r="K45" s="17"/>
      <c r="L45" s="17"/>
    </row>
    <row r="46" spans="1:18" ht="14.5" customHeight="1">
      <c r="A46" s="24"/>
      <c r="B46" s="18">
        <v>8</v>
      </c>
      <c r="C46" s="19" t="s">
        <v>276</v>
      </c>
      <c r="D46" s="20">
        <v>0.4</v>
      </c>
      <c r="E46" s="21">
        <v>1</v>
      </c>
      <c r="F46" s="20">
        <f t="shared" si="1"/>
        <v>0.4</v>
      </c>
      <c r="G46" s="21">
        <v>23079</v>
      </c>
      <c r="H46" s="20">
        <f t="shared" si="2"/>
        <v>9231.6</v>
      </c>
      <c r="I46" s="2"/>
      <c r="J46" s="17"/>
      <c r="K46" s="108" t="s">
        <v>271</v>
      </c>
      <c r="L46" s="108" t="s">
        <v>277</v>
      </c>
      <c r="M46" s="108" t="s">
        <v>278</v>
      </c>
    </row>
    <row r="47" spans="1:18" ht="17.5" customHeight="1">
      <c r="A47" s="24"/>
      <c r="B47" s="18"/>
      <c r="C47" s="19"/>
      <c r="D47" s="20">
        <v>0</v>
      </c>
      <c r="E47" s="21">
        <v>1</v>
      </c>
      <c r="F47" s="20">
        <f t="shared" si="1"/>
        <v>0</v>
      </c>
      <c r="G47" s="21">
        <v>0</v>
      </c>
      <c r="H47" s="20">
        <f t="shared" si="2"/>
        <v>0</v>
      </c>
      <c r="I47" s="2"/>
      <c r="J47" s="17" t="s">
        <v>279</v>
      </c>
      <c r="K47" s="94">
        <f>L47</f>
        <v>576900</v>
      </c>
      <c r="L47" s="94">
        <v>576900</v>
      </c>
      <c r="M47" s="175">
        <v>140000</v>
      </c>
    </row>
    <row r="48" spans="1:18" ht="14.5" customHeight="1">
      <c r="A48" s="24"/>
      <c r="B48" s="18"/>
      <c r="C48" s="14" t="s">
        <v>79</v>
      </c>
      <c r="D48" s="20"/>
      <c r="F48" s="20"/>
      <c r="H48" s="25">
        <f>SUM(H39:H47)</f>
        <v>309258.59999999998</v>
      </c>
      <c r="I48" s="2"/>
      <c r="J48" s="17"/>
      <c r="K48" s="17"/>
      <c r="L48" s="17"/>
    </row>
    <row r="49" spans="1:17" ht="14.5" customHeight="1">
      <c r="A49" s="24"/>
      <c r="B49" s="18"/>
      <c r="C49" s="14"/>
      <c r="D49" s="20"/>
      <c r="F49" s="20"/>
      <c r="H49" s="25"/>
      <c r="I49" s="2"/>
      <c r="J49" s="17"/>
      <c r="L49" s="17"/>
      <c r="M49" s="17"/>
    </row>
    <row r="50" spans="1:17" ht="14.5" customHeight="1">
      <c r="A50" s="24"/>
      <c r="B50" s="18"/>
      <c r="C50" s="14" t="s">
        <v>80</v>
      </c>
      <c r="D50" s="20"/>
      <c r="F50" s="20"/>
      <c r="H50" s="25">
        <f>H6+H11+H16+H21+H26+H31+H36+H48</f>
        <v>309258.59999999998</v>
      </c>
      <c r="I50" s="2"/>
      <c r="J50" s="17"/>
      <c r="L50" s="17"/>
      <c r="M50" s="171"/>
      <c r="N50" s="177"/>
      <c r="Q50" s="177"/>
    </row>
    <row r="51" spans="1:17" ht="14.5" customHeight="1">
      <c r="A51" s="24"/>
      <c r="B51" s="26"/>
      <c r="C51" s="14"/>
      <c r="D51" s="20"/>
      <c r="F51" s="20"/>
      <c r="H51" s="20"/>
      <c r="I51" s="2"/>
      <c r="J51" s="17"/>
      <c r="K51" s="17"/>
      <c r="L51" s="17"/>
    </row>
    <row r="52" spans="1:17">
      <c r="A52" s="29"/>
      <c r="B52" s="13" t="s">
        <v>280</v>
      </c>
      <c r="C52" s="14" t="s">
        <v>82</v>
      </c>
      <c r="D52" s="20"/>
      <c r="F52" s="20"/>
      <c r="H52" s="20"/>
      <c r="I52" s="2"/>
      <c r="J52" s="17"/>
      <c r="K52" s="17"/>
      <c r="L52" s="17"/>
    </row>
    <row r="53" spans="1:17">
      <c r="A53" s="29"/>
      <c r="B53" s="18">
        <v>1</v>
      </c>
      <c r="C53" s="19"/>
      <c r="D53" s="20">
        <v>0</v>
      </c>
      <c r="E53" s="21">
        <v>1</v>
      </c>
      <c r="F53" s="20">
        <f>D53*E53</f>
        <v>0</v>
      </c>
      <c r="G53" s="21">
        <v>101</v>
      </c>
      <c r="H53" s="20">
        <f>F53*G53</f>
        <v>0</v>
      </c>
      <c r="I53" s="2"/>
      <c r="J53" s="17"/>
      <c r="K53" s="17"/>
      <c r="L53" s="17"/>
    </row>
    <row r="54" spans="1:17">
      <c r="A54" s="29"/>
      <c r="B54" s="18">
        <v>2</v>
      </c>
      <c r="C54" s="19"/>
      <c r="D54" s="20">
        <v>0</v>
      </c>
      <c r="E54" s="21">
        <v>1</v>
      </c>
      <c r="F54" s="20">
        <f>D54*E54</f>
        <v>0</v>
      </c>
      <c r="G54" s="21">
        <v>102</v>
      </c>
      <c r="H54" s="20">
        <f>F54*G54</f>
        <v>0</v>
      </c>
      <c r="I54" s="2"/>
      <c r="J54" s="17"/>
      <c r="K54" s="17"/>
      <c r="L54" s="17"/>
    </row>
    <row r="55" spans="1:17">
      <c r="A55" s="29"/>
      <c r="B55" s="18"/>
      <c r="C55" s="14" t="s">
        <v>83</v>
      </c>
      <c r="D55" s="20"/>
      <c r="F55" s="20"/>
      <c r="H55" s="25">
        <f>SUM(H53:H54)</f>
        <v>0</v>
      </c>
      <c r="I55" s="2"/>
      <c r="J55" s="17"/>
      <c r="K55" s="17"/>
      <c r="L55" s="17"/>
    </row>
    <row r="56" spans="1:17">
      <c r="A56" s="29"/>
      <c r="B56" s="18"/>
      <c r="C56" s="14"/>
      <c r="D56" s="20"/>
      <c r="F56" s="20"/>
      <c r="H56" s="20"/>
      <c r="I56" s="2"/>
      <c r="J56" s="17"/>
      <c r="K56" s="17"/>
      <c r="L56" s="17"/>
    </row>
    <row r="57" spans="1:17">
      <c r="A57" s="29"/>
      <c r="B57" s="26"/>
      <c r="C57" s="14" t="s">
        <v>84</v>
      </c>
      <c r="D57" s="20"/>
      <c r="F57" s="20"/>
      <c r="H57" s="20"/>
      <c r="I57" s="2"/>
      <c r="J57" s="17"/>
      <c r="K57" s="17"/>
      <c r="L57" s="17"/>
    </row>
    <row r="58" spans="1:17">
      <c r="A58" s="29"/>
      <c r="B58" s="18">
        <v>1</v>
      </c>
      <c r="C58" s="19"/>
      <c r="D58" s="20">
        <v>0</v>
      </c>
      <c r="E58" s="21">
        <v>1</v>
      </c>
      <c r="F58" s="20">
        <f>D58*E58</f>
        <v>0</v>
      </c>
      <c r="G58" s="21">
        <v>101</v>
      </c>
      <c r="H58" s="20">
        <f>F58*G58</f>
        <v>0</v>
      </c>
      <c r="I58" s="2"/>
      <c r="J58" s="17"/>
      <c r="K58" s="17"/>
      <c r="L58" s="17"/>
    </row>
    <row r="59" spans="1:17">
      <c r="A59" s="29"/>
      <c r="B59" s="18">
        <v>2</v>
      </c>
      <c r="C59" s="19"/>
      <c r="D59" s="20">
        <v>0</v>
      </c>
      <c r="E59" s="21">
        <v>1</v>
      </c>
      <c r="F59" s="20">
        <f>D59*E59</f>
        <v>0</v>
      </c>
      <c r="G59" s="21">
        <v>102</v>
      </c>
      <c r="H59" s="20">
        <f>F59*G59</f>
        <v>0</v>
      </c>
      <c r="I59" s="2"/>
      <c r="J59" s="17"/>
      <c r="K59" s="17"/>
      <c r="L59" s="17"/>
    </row>
    <row r="60" spans="1:17">
      <c r="A60" s="29"/>
      <c r="B60" s="18"/>
      <c r="C60" s="14" t="s">
        <v>85</v>
      </c>
      <c r="D60" s="20"/>
      <c r="F60" s="20"/>
      <c r="H60" s="25">
        <f>SUM(H58:H59)</f>
        <v>0</v>
      </c>
      <c r="I60" s="2"/>
      <c r="J60" s="17"/>
      <c r="K60" s="17"/>
      <c r="L60" s="17"/>
    </row>
    <row r="61" spans="1:17">
      <c r="A61" s="29"/>
      <c r="B61" s="18"/>
      <c r="C61" s="14"/>
      <c r="D61" s="20"/>
      <c r="F61" s="20"/>
      <c r="H61" s="20"/>
      <c r="I61" s="2"/>
      <c r="J61" s="17"/>
      <c r="K61" s="17"/>
      <c r="L61" s="17"/>
    </row>
    <row r="62" spans="1:17">
      <c r="A62" s="29"/>
      <c r="B62" s="26"/>
      <c r="C62" s="14" t="s">
        <v>86</v>
      </c>
      <c r="D62" s="20"/>
      <c r="F62" s="20"/>
      <c r="H62" s="20"/>
      <c r="I62" s="2"/>
      <c r="J62" s="17"/>
      <c r="K62" s="17"/>
      <c r="L62" s="17"/>
    </row>
    <row r="63" spans="1:17">
      <c r="A63" s="29"/>
      <c r="B63" s="18">
        <v>1</v>
      </c>
      <c r="C63" s="19"/>
      <c r="D63" s="20">
        <v>0</v>
      </c>
      <c r="E63" s="21">
        <v>1</v>
      </c>
      <c r="F63" s="20">
        <f>D63*E63</f>
        <v>0</v>
      </c>
      <c r="G63" s="21">
        <v>101</v>
      </c>
      <c r="H63" s="20">
        <f>F63*G63</f>
        <v>0</v>
      </c>
      <c r="I63" s="2"/>
      <c r="J63" s="17"/>
      <c r="K63" s="17"/>
      <c r="L63" s="17"/>
    </row>
    <row r="64" spans="1:17">
      <c r="A64" s="29"/>
      <c r="B64" s="18">
        <v>2</v>
      </c>
      <c r="C64" s="19"/>
      <c r="D64" s="20">
        <v>0</v>
      </c>
      <c r="E64" s="21">
        <v>1</v>
      </c>
      <c r="F64" s="20">
        <f>D64*E64</f>
        <v>0</v>
      </c>
      <c r="G64" s="21">
        <v>102</v>
      </c>
      <c r="H64" s="20">
        <f>F64*G64</f>
        <v>0</v>
      </c>
      <c r="I64" s="2"/>
      <c r="J64" s="17"/>
      <c r="K64" s="17"/>
      <c r="L64" s="17"/>
    </row>
    <row r="65" spans="1:12">
      <c r="A65" s="29"/>
      <c r="B65" s="18"/>
      <c r="C65" s="14" t="s">
        <v>87</v>
      </c>
      <c r="D65" s="20"/>
      <c r="F65" s="20"/>
      <c r="H65" s="25">
        <f>SUM(H63:H64)</f>
        <v>0</v>
      </c>
      <c r="I65" s="2"/>
      <c r="J65" s="17"/>
      <c r="K65" s="17"/>
      <c r="L65" s="17"/>
    </row>
    <row r="66" spans="1:12">
      <c r="A66" s="29"/>
      <c r="B66" s="26"/>
      <c r="C66" s="14"/>
      <c r="D66" s="20"/>
      <c r="F66" s="20"/>
      <c r="H66" s="20"/>
      <c r="I66" s="2"/>
      <c r="J66" s="17"/>
      <c r="K66" s="17"/>
      <c r="L66" s="17"/>
    </row>
    <row r="67" spans="1:12">
      <c r="A67" s="29"/>
      <c r="B67" s="26"/>
      <c r="C67" s="14" t="s">
        <v>88</v>
      </c>
      <c r="D67" s="20"/>
      <c r="F67" s="20"/>
      <c r="H67" s="20"/>
      <c r="I67" s="2"/>
      <c r="J67" s="17"/>
      <c r="K67" s="17"/>
      <c r="L67" s="17"/>
    </row>
    <row r="68" spans="1:12">
      <c r="A68" s="29"/>
      <c r="B68" s="18">
        <v>1</v>
      </c>
      <c r="C68" s="19"/>
      <c r="D68" s="20">
        <v>0</v>
      </c>
      <c r="E68" s="21">
        <v>1</v>
      </c>
      <c r="F68" s="20">
        <f>D68*E68</f>
        <v>0</v>
      </c>
      <c r="G68" s="21">
        <v>101</v>
      </c>
      <c r="H68" s="20">
        <f>F68*G68</f>
        <v>0</v>
      </c>
      <c r="I68" s="2"/>
      <c r="J68" s="17"/>
      <c r="K68" s="17"/>
      <c r="L68" s="17"/>
    </row>
    <row r="69" spans="1:12">
      <c r="A69" s="29"/>
      <c r="B69" s="18">
        <v>2</v>
      </c>
      <c r="C69" s="19"/>
      <c r="D69" s="20">
        <v>0</v>
      </c>
      <c r="E69" s="21">
        <v>1</v>
      </c>
      <c r="F69" s="20">
        <f>D69*E69</f>
        <v>0</v>
      </c>
      <c r="G69" s="21">
        <v>102</v>
      </c>
      <c r="H69" s="20">
        <f>F69*G69</f>
        <v>0</v>
      </c>
      <c r="I69" s="2"/>
      <c r="J69" s="17"/>
      <c r="K69" s="17"/>
      <c r="L69" s="17"/>
    </row>
    <row r="70" spans="1:12">
      <c r="A70" s="29"/>
      <c r="B70" s="18"/>
      <c r="C70" s="14" t="s">
        <v>90</v>
      </c>
      <c r="D70" s="20"/>
      <c r="F70" s="20"/>
      <c r="H70" s="25">
        <f>SUM(H68:H69)</f>
        <v>0</v>
      </c>
      <c r="I70" s="2"/>
      <c r="J70" s="17"/>
      <c r="K70" s="17"/>
      <c r="L70" s="17"/>
    </row>
    <row r="71" spans="1:12">
      <c r="A71" s="29"/>
      <c r="B71" s="26"/>
      <c r="C71" s="14"/>
      <c r="D71" s="20"/>
      <c r="F71" s="20"/>
      <c r="H71" s="20"/>
      <c r="I71" s="2"/>
      <c r="J71" s="17"/>
      <c r="K71" s="17"/>
      <c r="L71" s="17"/>
    </row>
    <row r="72" spans="1:12">
      <c r="A72" s="29"/>
      <c r="B72" s="26"/>
      <c r="C72" s="14" t="s">
        <v>91</v>
      </c>
      <c r="D72" s="20"/>
      <c r="F72" s="20"/>
      <c r="H72" s="20"/>
      <c r="I72" s="2"/>
      <c r="J72" s="17"/>
      <c r="K72" s="17"/>
      <c r="L72" s="17"/>
    </row>
    <row r="73" spans="1:12">
      <c r="A73" s="29"/>
      <c r="B73" s="18">
        <v>1</v>
      </c>
      <c r="C73" s="19"/>
      <c r="D73" s="20">
        <v>0</v>
      </c>
      <c r="E73" s="21">
        <v>1</v>
      </c>
      <c r="F73" s="20">
        <f>D73*E73</f>
        <v>0</v>
      </c>
      <c r="G73" s="21">
        <v>101</v>
      </c>
      <c r="H73" s="20">
        <f>F73*G73</f>
        <v>0</v>
      </c>
      <c r="I73" s="2"/>
      <c r="J73" s="17"/>
      <c r="K73" s="17"/>
      <c r="L73" s="17"/>
    </row>
    <row r="74" spans="1:12">
      <c r="A74" s="29"/>
      <c r="B74" s="18">
        <v>2</v>
      </c>
      <c r="C74" s="19"/>
      <c r="D74" s="20">
        <v>0</v>
      </c>
      <c r="E74" s="21">
        <v>1</v>
      </c>
      <c r="F74" s="20">
        <f>D74*E74</f>
        <v>0</v>
      </c>
      <c r="G74" s="21">
        <v>102</v>
      </c>
      <c r="H74" s="20">
        <f>F74*G74</f>
        <v>0</v>
      </c>
      <c r="I74" s="2"/>
      <c r="J74" s="17"/>
      <c r="K74" s="17"/>
      <c r="L74" s="17"/>
    </row>
    <row r="75" spans="1:12">
      <c r="A75" s="29"/>
      <c r="B75" s="18"/>
      <c r="C75" s="14" t="s">
        <v>92</v>
      </c>
      <c r="D75" s="20"/>
      <c r="F75" s="20"/>
      <c r="H75" s="25">
        <f>SUM(H73:H74)</f>
        <v>0</v>
      </c>
      <c r="I75" s="2"/>
      <c r="J75" s="17"/>
      <c r="K75" s="17"/>
      <c r="L75" s="17"/>
    </row>
    <row r="76" spans="1:12">
      <c r="A76" s="29"/>
      <c r="B76" s="26"/>
      <c r="C76" s="14"/>
      <c r="D76" s="20"/>
      <c r="F76" s="20"/>
      <c r="H76" s="20"/>
      <c r="I76" s="2"/>
      <c r="J76" s="17"/>
      <c r="K76" s="17"/>
      <c r="L76" s="17"/>
    </row>
    <row r="77" spans="1:12">
      <c r="A77" s="29"/>
      <c r="B77" s="26"/>
      <c r="C77" s="14" t="s">
        <v>93</v>
      </c>
      <c r="D77" s="20"/>
      <c r="F77" s="20"/>
      <c r="H77" s="20"/>
      <c r="I77" s="2"/>
      <c r="J77" s="17"/>
      <c r="K77" s="17"/>
      <c r="L77" s="17"/>
    </row>
    <row r="78" spans="1:12">
      <c r="A78" s="29"/>
      <c r="B78" s="18">
        <v>1</v>
      </c>
      <c r="C78" s="19" t="s">
        <v>281</v>
      </c>
      <c r="D78" s="20">
        <v>1</v>
      </c>
      <c r="E78" s="21">
        <v>1</v>
      </c>
      <c r="F78" s="20">
        <f>D78*E78</f>
        <v>1</v>
      </c>
      <c r="G78" s="21">
        <v>25000</v>
      </c>
      <c r="H78" s="20">
        <f>F78*G78</f>
        <v>25000</v>
      </c>
      <c r="I78" s="2"/>
      <c r="J78" s="17"/>
      <c r="K78" s="17"/>
      <c r="L78" s="17"/>
    </row>
    <row r="79" spans="1:12">
      <c r="A79" s="29"/>
      <c r="B79" s="18">
        <v>2</v>
      </c>
      <c r="C79" s="19" t="s">
        <v>282</v>
      </c>
      <c r="D79" s="20">
        <v>1</v>
      </c>
      <c r="E79" s="21">
        <v>1</v>
      </c>
      <c r="F79" s="20">
        <f t="shared" ref="F79:F82" si="4">D79*E79</f>
        <v>1</v>
      </c>
      <c r="G79" s="21">
        <v>25000</v>
      </c>
      <c r="H79" s="20">
        <f t="shared" ref="H79:H82" si="5">F79*G79</f>
        <v>25000</v>
      </c>
      <c r="I79" s="2"/>
      <c r="J79" s="17"/>
      <c r="K79" s="17"/>
      <c r="L79" s="17"/>
    </row>
    <row r="80" spans="1:12">
      <c r="A80" s="29"/>
      <c r="B80" s="18">
        <v>3</v>
      </c>
      <c r="C80" s="19" t="s">
        <v>283</v>
      </c>
      <c r="D80" s="20">
        <v>1</v>
      </c>
      <c r="E80" s="21">
        <v>1</v>
      </c>
      <c r="F80" s="20">
        <f t="shared" si="4"/>
        <v>1</v>
      </c>
      <c r="G80" s="21">
        <v>50000</v>
      </c>
      <c r="H80" s="20">
        <f t="shared" si="5"/>
        <v>50000</v>
      </c>
      <c r="I80" s="2"/>
      <c r="J80" s="17"/>
      <c r="K80" s="17"/>
      <c r="L80" s="17"/>
    </row>
    <row r="81" spans="1:12">
      <c r="A81" s="29"/>
      <c r="B81" s="18">
        <v>4</v>
      </c>
      <c r="C81" s="19" t="s">
        <v>284</v>
      </c>
      <c r="D81" s="20">
        <v>1</v>
      </c>
      <c r="E81" s="21">
        <v>1</v>
      </c>
      <c r="F81" s="20">
        <f t="shared" si="4"/>
        <v>1</v>
      </c>
      <c r="G81" s="21">
        <v>40000</v>
      </c>
      <c r="H81" s="20">
        <f t="shared" si="5"/>
        <v>40000</v>
      </c>
      <c r="I81" s="2"/>
      <c r="J81" s="17"/>
      <c r="K81" s="17"/>
      <c r="L81" s="17"/>
    </row>
    <row r="82" spans="1:12">
      <c r="A82" s="29"/>
      <c r="B82" s="18">
        <v>5</v>
      </c>
      <c r="C82" s="40" t="s">
        <v>285</v>
      </c>
      <c r="D82" s="68">
        <v>1</v>
      </c>
      <c r="E82" s="69">
        <v>1</v>
      </c>
      <c r="F82" s="68">
        <f t="shared" si="4"/>
        <v>1</v>
      </c>
      <c r="G82" s="69">
        <v>290000</v>
      </c>
      <c r="H82" s="68">
        <f t="shared" si="5"/>
        <v>290000</v>
      </c>
      <c r="I82" s="2"/>
      <c r="J82" s="17"/>
      <c r="K82" s="17"/>
      <c r="L82" s="17"/>
    </row>
    <row r="83" spans="1:12">
      <c r="A83" s="29"/>
      <c r="B83" s="18">
        <v>6</v>
      </c>
      <c r="C83" s="40" t="s">
        <v>286</v>
      </c>
      <c r="D83" s="68">
        <v>1</v>
      </c>
      <c r="E83" s="69">
        <v>1</v>
      </c>
      <c r="F83" s="68">
        <f>D83*E83</f>
        <v>1</v>
      </c>
      <c r="G83" s="69">
        <v>250000</v>
      </c>
      <c r="H83" s="68">
        <f>F83*G83</f>
        <v>250000</v>
      </c>
      <c r="I83" s="2"/>
      <c r="J83" s="17"/>
      <c r="K83" s="17"/>
      <c r="L83" s="17"/>
    </row>
    <row r="84" spans="1:12">
      <c r="A84" s="29"/>
      <c r="B84" s="18">
        <v>7</v>
      </c>
      <c r="C84" s="19"/>
      <c r="D84" s="20">
        <v>0</v>
      </c>
      <c r="E84" s="21">
        <v>1</v>
      </c>
      <c r="F84" s="20">
        <f t="shared" ref="F84" si="6">D84*E84</f>
        <v>0</v>
      </c>
      <c r="G84" s="21">
        <v>107</v>
      </c>
      <c r="H84" s="20">
        <f t="shared" ref="H84" si="7">F84*G84</f>
        <v>0</v>
      </c>
      <c r="I84" s="2"/>
      <c r="J84" s="17"/>
      <c r="K84" s="17"/>
      <c r="L84" s="17"/>
    </row>
    <row r="85" spans="1:12">
      <c r="A85" s="29"/>
      <c r="B85" s="18">
        <v>8</v>
      </c>
      <c r="C85" s="19"/>
      <c r="D85" s="20">
        <v>0</v>
      </c>
      <c r="E85" s="21">
        <v>1</v>
      </c>
      <c r="F85" s="20">
        <f>D85*E85</f>
        <v>0</v>
      </c>
      <c r="G85" s="21">
        <v>102</v>
      </c>
      <c r="H85" s="20">
        <f>F85*G85</f>
        <v>0</v>
      </c>
      <c r="I85" s="2"/>
      <c r="J85" s="17"/>
      <c r="K85" s="17"/>
      <c r="L85" s="17"/>
    </row>
    <row r="86" spans="1:12">
      <c r="A86" s="29"/>
      <c r="B86" s="18"/>
      <c r="C86" s="14" t="s">
        <v>96</v>
      </c>
      <c r="D86" s="20"/>
      <c r="F86" s="20"/>
      <c r="H86" s="25">
        <f>SUM(H78:H85)</f>
        <v>680000</v>
      </c>
      <c r="I86" s="2"/>
      <c r="J86" s="17"/>
      <c r="K86" s="17"/>
      <c r="L86" s="17"/>
    </row>
    <row r="87" spans="1:12">
      <c r="A87" s="29"/>
      <c r="B87" s="26"/>
      <c r="C87" s="14"/>
      <c r="D87" s="20"/>
      <c r="F87" s="20"/>
      <c r="H87" s="20"/>
      <c r="I87" s="2"/>
      <c r="J87" s="17"/>
      <c r="K87" s="17"/>
      <c r="L87" s="17"/>
    </row>
    <row r="88" spans="1:12">
      <c r="A88" s="29"/>
      <c r="B88" s="26"/>
      <c r="C88" s="14" t="s">
        <v>97</v>
      </c>
      <c r="D88" s="20"/>
      <c r="F88" s="20"/>
      <c r="H88" s="20"/>
      <c r="I88" s="2"/>
      <c r="J88" s="17"/>
      <c r="K88" s="17"/>
      <c r="L88" s="17"/>
    </row>
    <row r="89" spans="1:12">
      <c r="A89" s="29"/>
      <c r="B89" s="18">
        <v>1</v>
      </c>
      <c r="C89" s="19" t="s">
        <v>287</v>
      </c>
      <c r="D89" s="20">
        <v>1</v>
      </c>
      <c r="E89" s="21">
        <v>1</v>
      </c>
      <c r="F89" s="20">
        <f>D89*E89</f>
        <v>1</v>
      </c>
      <c r="G89" s="69">
        <v>22076</v>
      </c>
      <c r="H89" s="20">
        <f>F89*G89</f>
        <v>22076</v>
      </c>
      <c r="I89" s="2"/>
      <c r="J89" s="17"/>
      <c r="K89" s="17"/>
      <c r="L89" s="17"/>
    </row>
    <row r="90" spans="1:12">
      <c r="A90" s="29"/>
      <c r="B90" s="18">
        <v>2</v>
      </c>
      <c r="C90" s="19" t="s">
        <v>219</v>
      </c>
      <c r="D90" s="20">
        <v>1</v>
      </c>
      <c r="E90" s="21">
        <v>1</v>
      </c>
      <c r="F90" s="20">
        <f t="shared" ref="F90:F134" si="8">D90*E90</f>
        <v>1</v>
      </c>
      <c r="G90" s="69">
        <v>12507</v>
      </c>
      <c r="H90" s="20">
        <f t="shared" ref="H90:H134" si="9">F90*G90</f>
        <v>12507</v>
      </c>
      <c r="I90" s="2"/>
      <c r="J90" s="17"/>
      <c r="K90" s="17"/>
      <c r="L90" s="17"/>
    </row>
    <row r="91" spans="1:12">
      <c r="A91" s="29"/>
      <c r="B91" s="18">
        <v>3</v>
      </c>
      <c r="C91" s="19" t="s">
        <v>223</v>
      </c>
      <c r="D91" s="20">
        <v>1</v>
      </c>
      <c r="E91" s="21">
        <v>1</v>
      </c>
      <c r="F91" s="20">
        <f t="shared" si="8"/>
        <v>1</v>
      </c>
      <c r="G91" s="69">
        <v>31769</v>
      </c>
      <c r="H91" s="20">
        <f t="shared" si="9"/>
        <v>31769</v>
      </c>
      <c r="I91" s="2"/>
      <c r="J91" s="17"/>
      <c r="K91" s="17"/>
      <c r="L91" s="17"/>
    </row>
    <row r="92" spans="1:12">
      <c r="A92" s="29"/>
      <c r="B92" s="18">
        <v>4</v>
      </c>
      <c r="C92" s="19" t="s">
        <v>288</v>
      </c>
      <c r="D92" s="20">
        <v>1</v>
      </c>
      <c r="E92" s="21">
        <v>1</v>
      </c>
      <c r="F92" s="20">
        <f t="shared" si="8"/>
        <v>1</v>
      </c>
      <c r="G92" s="69">
        <v>11538</v>
      </c>
      <c r="H92" s="20">
        <f t="shared" si="9"/>
        <v>11538</v>
      </c>
      <c r="I92" s="2"/>
      <c r="J92" s="17"/>
      <c r="K92" s="17"/>
      <c r="L92" s="17"/>
    </row>
    <row r="93" spans="1:12">
      <c r="A93" s="29"/>
      <c r="B93" s="18">
        <v>5</v>
      </c>
      <c r="C93" s="19" t="s">
        <v>220</v>
      </c>
      <c r="D93" s="20">
        <v>1</v>
      </c>
      <c r="E93" s="21">
        <v>1</v>
      </c>
      <c r="F93" s="20">
        <f t="shared" si="8"/>
        <v>1</v>
      </c>
      <c r="G93" s="69">
        <v>12507</v>
      </c>
      <c r="H93" s="20">
        <f t="shared" si="9"/>
        <v>12507</v>
      </c>
      <c r="I93" s="2"/>
      <c r="J93" s="17"/>
      <c r="K93" s="17"/>
      <c r="L93" s="17"/>
    </row>
    <row r="94" spans="1:12">
      <c r="A94" s="29"/>
      <c r="B94" s="18">
        <v>6</v>
      </c>
      <c r="C94" s="19" t="s">
        <v>221</v>
      </c>
      <c r="D94" s="20">
        <v>1</v>
      </c>
      <c r="E94" s="21">
        <v>1</v>
      </c>
      <c r="F94" s="20">
        <f t="shared" si="8"/>
        <v>1</v>
      </c>
      <c r="G94" s="69">
        <v>12507</v>
      </c>
      <c r="H94" s="20">
        <f t="shared" si="9"/>
        <v>12507</v>
      </c>
      <c r="I94" s="2"/>
      <c r="J94" s="17"/>
      <c r="K94" s="17"/>
      <c r="L94" s="17"/>
    </row>
    <row r="95" spans="1:12">
      <c r="A95" s="29"/>
      <c r="B95" s="18">
        <v>7</v>
      </c>
      <c r="C95" s="19" t="s">
        <v>289</v>
      </c>
      <c r="D95" s="20">
        <v>1</v>
      </c>
      <c r="E95" s="21">
        <v>1</v>
      </c>
      <c r="F95" s="20">
        <f t="shared" si="8"/>
        <v>1</v>
      </c>
      <c r="G95" s="69">
        <v>12507</v>
      </c>
      <c r="H95" s="20">
        <f t="shared" si="9"/>
        <v>12507</v>
      </c>
      <c r="I95" s="2"/>
      <c r="J95" s="17"/>
      <c r="K95" s="17"/>
      <c r="L95" s="17"/>
    </row>
    <row r="96" spans="1:12">
      <c r="A96" s="29"/>
      <c r="B96" s="18">
        <v>8</v>
      </c>
      <c r="C96" s="19" t="s">
        <v>290</v>
      </c>
      <c r="D96" s="20">
        <v>1</v>
      </c>
      <c r="E96" s="21">
        <v>1</v>
      </c>
      <c r="F96" s="20">
        <f t="shared" si="8"/>
        <v>1</v>
      </c>
      <c r="G96" s="69">
        <v>12507</v>
      </c>
      <c r="H96" s="20">
        <f t="shared" si="9"/>
        <v>12507</v>
      </c>
      <c r="I96" s="2"/>
      <c r="J96" s="17"/>
      <c r="K96" s="17"/>
      <c r="L96" s="17"/>
    </row>
    <row r="97" spans="1:12">
      <c r="A97" s="29"/>
      <c r="B97" s="18">
        <v>9</v>
      </c>
      <c r="C97" s="19" t="s">
        <v>291</v>
      </c>
      <c r="D97" s="20">
        <v>1</v>
      </c>
      <c r="E97" s="21">
        <v>1</v>
      </c>
      <c r="F97" s="20">
        <f t="shared" si="8"/>
        <v>1</v>
      </c>
      <c r="G97" s="69">
        <v>12507</v>
      </c>
      <c r="H97" s="20">
        <f t="shared" si="9"/>
        <v>12507</v>
      </c>
      <c r="I97" s="2"/>
      <c r="J97" s="17"/>
      <c r="K97" s="17"/>
      <c r="L97" s="17"/>
    </row>
    <row r="98" spans="1:12">
      <c r="A98" s="29"/>
      <c r="B98" s="18">
        <v>10</v>
      </c>
      <c r="C98" s="19" t="s">
        <v>292</v>
      </c>
      <c r="D98" s="20">
        <v>1</v>
      </c>
      <c r="E98" s="21">
        <v>1</v>
      </c>
      <c r="F98" s="20">
        <f t="shared" si="8"/>
        <v>1</v>
      </c>
      <c r="G98" s="69">
        <v>12507</v>
      </c>
      <c r="H98" s="20">
        <f t="shared" si="9"/>
        <v>12507</v>
      </c>
      <c r="I98" s="2"/>
      <c r="J98" s="17"/>
      <c r="K98" s="17"/>
      <c r="L98" s="17"/>
    </row>
    <row r="99" spans="1:12">
      <c r="A99" s="29"/>
      <c r="B99" s="18">
        <v>11</v>
      </c>
      <c r="C99" s="19" t="s">
        <v>293</v>
      </c>
      <c r="D99" s="20">
        <v>1</v>
      </c>
      <c r="E99" s="21">
        <v>1</v>
      </c>
      <c r="F99" s="20">
        <f t="shared" si="8"/>
        <v>1</v>
      </c>
      <c r="G99" s="69">
        <v>12507</v>
      </c>
      <c r="H99" s="20">
        <f t="shared" si="9"/>
        <v>12507</v>
      </c>
      <c r="I99" s="2"/>
      <c r="J99" s="17"/>
      <c r="K99" s="17"/>
      <c r="L99" s="17"/>
    </row>
    <row r="100" spans="1:12">
      <c r="A100" s="29"/>
      <c r="B100" s="18">
        <v>12</v>
      </c>
      <c r="C100" s="19" t="s">
        <v>294</v>
      </c>
      <c r="D100" s="20">
        <v>1</v>
      </c>
      <c r="E100" s="21">
        <v>1</v>
      </c>
      <c r="F100" s="20">
        <f t="shared" si="8"/>
        <v>1</v>
      </c>
      <c r="G100" s="69">
        <v>12507</v>
      </c>
      <c r="H100" s="20">
        <f t="shared" si="9"/>
        <v>12507</v>
      </c>
      <c r="I100" s="2"/>
      <c r="J100" s="17"/>
      <c r="K100" s="17"/>
      <c r="L100" s="17"/>
    </row>
    <row r="101" spans="1:12">
      <c r="A101" s="29"/>
      <c r="B101" s="18">
        <v>13</v>
      </c>
      <c r="C101" s="19" t="s">
        <v>295</v>
      </c>
      <c r="D101" s="20">
        <v>1</v>
      </c>
      <c r="E101" s="21">
        <v>1</v>
      </c>
      <c r="F101" s="20">
        <f t="shared" si="8"/>
        <v>1</v>
      </c>
      <c r="G101" s="69">
        <v>12507</v>
      </c>
      <c r="H101" s="20">
        <f t="shared" si="9"/>
        <v>12507</v>
      </c>
      <c r="I101" s="2"/>
      <c r="J101" s="17"/>
      <c r="K101" s="17"/>
      <c r="L101" s="17"/>
    </row>
    <row r="102" spans="1:12">
      <c r="A102" s="29"/>
      <c r="B102" s="18">
        <v>14</v>
      </c>
      <c r="C102" s="19" t="s">
        <v>296</v>
      </c>
      <c r="D102" s="20">
        <v>1</v>
      </c>
      <c r="E102" s="21">
        <v>1</v>
      </c>
      <c r="F102" s="20">
        <f t="shared" si="8"/>
        <v>1</v>
      </c>
      <c r="G102" s="69">
        <v>12507</v>
      </c>
      <c r="H102" s="20">
        <f t="shared" si="9"/>
        <v>12507</v>
      </c>
      <c r="I102" s="2"/>
      <c r="J102" s="17"/>
      <c r="K102" s="17"/>
      <c r="L102" s="17"/>
    </row>
    <row r="103" spans="1:12">
      <c r="A103" s="29"/>
      <c r="B103" s="18">
        <v>15</v>
      </c>
      <c r="C103" s="19" t="s">
        <v>297</v>
      </c>
      <c r="D103" s="20">
        <v>1</v>
      </c>
      <c r="E103" s="21">
        <v>1</v>
      </c>
      <c r="F103" s="20">
        <f t="shared" si="8"/>
        <v>1</v>
      </c>
      <c r="G103" s="69">
        <v>12507</v>
      </c>
      <c r="H103" s="20">
        <f t="shared" si="9"/>
        <v>12507</v>
      </c>
      <c r="I103" s="2"/>
      <c r="J103" s="17"/>
      <c r="K103" s="17"/>
      <c r="L103" s="17"/>
    </row>
    <row r="104" spans="1:12">
      <c r="A104" s="29"/>
      <c r="B104" s="18">
        <v>16</v>
      </c>
      <c r="C104" s="19" t="s">
        <v>298</v>
      </c>
      <c r="D104" s="20">
        <v>1</v>
      </c>
      <c r="E104" s="21">
        <v>1</v>
      </c>
      <c r="F104" s="20">
        <f t="shared" si="8"/>
        <v>1</v>
      </c>
      <c r="G104" s="69">
        <v>12507</v>
      </c>
      <c r="H104" s="20">
        <f t="shared" si="9"/>
        <v>12507</v>
      </c>
      <c r="I104" s="2"/>
      <c r="J104" s="17"/>
      <c r="K104" s="17"/>
      <c r="L104" s="17"/>
    </row>
    <row r="105" spans="1:12">
      <c r="A105" s="29"/>
      <c r="B105" s="18">
        <v>17</v>
      </c>
      <c r="C105" s="19" t="s">
        <v>299</v>
      </c>
      <c r="D105" s="20">
        <v>1</v>
      </c>
      <c r="E105" s="21">
        <v>1</v>
      </c>
      <c r="F105" s="20">
        <f t="shared" si="8"/>
        <v>1</v>
      </c>
      <c r="G105" s="69">
        <v>12507</v>
      </c>
      <c r="H105" s="20">
        <f t="shared" si="9"/>
        <v>12507</v>
      </c>
      <c r="I105" s="2"/>
      <c r="J105" s="17"/>
      <c r="K105" s="17"/>
      <c r="L105" s="17"/>
    </row>
    <row r="106" spans="1:12">
      <c r="A106" s="29"/>
      <c r="B106" s="18">
        <v>18</v>
      </c>
      <c r="C106" s="19" t="s">
        <v>300</v>
      </c>
      <c r="D106" s="20">
        <v>1</v>
      </c>
      <c r="E106" s="21">
        <v>1</v>
      </c>
      <c r="F106" s="20">
        <f t="shared" si="8"/>
        <v>1</v>
      </c>
      <c r="G106" s="69">
        <v>12507</v>
      </c>
      <c r="H106" s="20">
        <f t="shared" si="9"/>
        <v>12507</v>
      </c>
      <c r="I106" s="2"/>
      <c r="J106" s="17"/>
      <c r="K106" s="17"/>
      <c r="L106" s="17"/>
    </row>
    <row r="107" spans="1:12">
      <c r="A107" s="29"/>
      <c r="B107" s="18">
        <v>19</v>
      </c>
      <c r="C107" s="19" t="s">
        <v>301</v>
      </c>
      <c r="D107" s="20">
        <v>1</v>
      </c>
      <c r="E107" s="21">
        <v>1</v>
      </c>
      <c r="F107" s="20">
        <f t="shared" si="8"/>
        <v>1</v>
      </c>
      <c r="G107" s="69">
        <v>12507</v>
      </c>
      <c r="H107" s="20">
        <f t="shared" si="9"/>
        <v>12507</v>
      </c>
      <c r="I107" s="2"/>
      <c r="J107" s="17"/>
      <c r="K107" s="17"/>
      <c r="L107" s="17"/>
    </row>
    <row r="108" spans="1:12">
      <c r="A108" s="29"/>
      <c r="B108" s="18">
        <v>20</v>
      </c>
      <c r="C108" s="19" t="s">
        <v>302</v>
      </c>
      <c r="D108" s="20">
        <v>1</v>
      </c>
      <c r="E108" s="21">
        <v>1</v>
      </c>
      <c r="F108" s="20">
        <f t="shared" si="8"/>
        <v>1</v>
      </c>
      <c r="G108" s="69">
        <v>12507</v>
      </c>
      <c r="H108" s="20">
        <f t="shared" si="9"/>
        <v>12507</v>
      </c>
      <c r="I108" s="2"/>
      <c r="J108" s="17"/>
      <c r="K108" s="17"/>
      <c r="L108" s="17"/>
    </row>
    <row r="109" spans="1:12">
      <c r="A109" s="29"/>
      <c r="B109" s="18">
        <v>21</v>
      </c>
      <c r="C109" s="19" t="s">
        <v>303</v>
      </c>
      <c r="D109" s="20">
        <v>1</v>
      </c>
      <c r="E109" s="21">
        <v>1</v>
      </c>
      <c r="F109" s="20">
        <f t="shared" si="8"/>
        <v>1</v>
      </c>
      <c r="G109" s="69">
        <v>19231</v>
      </c>
      <c r="H109" s="20">
        <f t="shared" si="9"/>
        <v>19231</v>
      </c>
      <c r="I109" s="2"/>
      <c r="J109" s="17"/>
      <c r="K109" s="17"/>
      <c r="L109" s="17"/>
    </row>
    <row r="110" spans="1:12">
      <c r="A110" s="29"/>
      <c r="B110" s="18">
        <v>22</v>
      </c>
      <c r="C110" s="19" t="s">
        <v>304</v>
      </c>
      <c r="D110" s="20">
        <v>1</v>
      </c>
      <c r="E110" s="21">
        <v>1</v>
      </c>
      <c r="F110" s="20">
        <f t="shared" si="8"/>
        <v>1</v>
      </c>
      <c r="G110" s="69">
        <v>12507</v>
      </c>
      <c r="H110" s="20">
        <f t="shared" si="9"/>
        <v>12507</v>
      </c>
      <c r="I110" s="2"/>
      <c r="J110" s="17"/>
      <c r="K110" s="17"/>
      <c r="L110" s="17"/>
    </row>
    <row r="111" spans="1:12">
      <c r="A111" s="29"/>
      <c r="B111" s="18">
        <v>23</v>
      </c>
      <c r="C111" s="19" t="s">
        <v>305</v>
      </c>
      <c r="D111" s="20">
        <v>1</v>
      </c>
      <c r="E111" s="21">
        <v>1</v>
      </c>
      <c r="F111" s="20">
        <f t="shared" si="8"/>
        <v>1</v>
      </c>
      <c r="G111" s="69">
        <v>12507</v>
      </c>
      <c r="H111" s="20">
        <f t="shared" si="9"/>
        <v>12507</v>
      </c>
      <c r="I111" s="2"/>
      <c r="J111" s="17"/>
      <c r="K111" s="17"/>
      <c r="L111" s="17"/>
    </row>
    <row r="112" spans="1:12">
      <c r="A112" s="29"/>
      <c r="B112" s="18">
        <v>24</v>
      </c>
      <c r="C112" s="19" t="s">
        <v>306</v>
      </c>
      <c r="D112" s="20">
        <v>1</v>
      </c>
      <c r="E112" s="21">
        <v>1</v>
      </c>
      <c r="F112" s="20">
        <f t="shared" si="8"/>
        <v>1</v>
      </c>
      <c r="G112" s="69">
        <v>12507</v>
      </c>
      <c r="H112" s="20">
        <f t="shared" si="9"/>
        <v>12507</v>
      </c>
      <c r="I112" s="2"/>
      <c r="J112" s="17"/>
      <c r="K112" s="17"/>
      <c r="L112" s="17"/>
    </row>
    <row r="113" spans="1:12">
      <c r="A113" s="29"/>
      <c r="B113" s="18">
        <v>25</v>
      </c>
      <c r="C113" s="19" t="s">
        <v>307</v>
      </c>
      <c r="D113" s="20">
        <v>1</v>
      </c>
      <c r="E113" s="21">
        <v>1</v>
      </c>
      <c r="F113" s="20">
        <f t="shared" si="8"/>
        <v>1</v>
      </c>
      <c r="G113" s="69">
        <v>12507</v>
      </c>
      <c r="H113" s="20">
        <f t="shared" si="9"/>
        <v>12507</v>
      </c>
      <c r="I113" s="2"/>
      <c r="J113" s="17"/>
      <c r="K113" s="17"/>
      <c r="L113" s="17"/>
    </row>
    <row r="114" spans="1:12">
      <c r="A114" s="29"/>
      <c r="B114" s="18">
        <v>26</v>
      </c>
      <c r="C114" s="19" t="s">
        <v>308</v>
      </c>
      <c r="D114" s="20">
        <v>1</v>
      </c>
      <c r="E114" s="21">
        <v>1</v>
      </c>
      <c r="F114" s="20">
        <f t="shared" si="8"/>
        <v>1</v>
      </c>
      <c r="G114" s="69">
        <v>12507</v>
      </c>
      <c r="H114" s="20">
        <f t="shared" si="9"/>
        <v>12507</v>
      </c>
      <c r="I114" s="2"/>
      <c r="J114" s="17"/>
      <c r="K114" s="17"/>
      <c r="L114" s="17"/>
    </row>
    <row r="115" spans="1:12">
      <c r="A115" s="29"/>
      <c r="B115" s="18">
        <v>27</v>
      </c>
      <c r="C115" s="19" t="s">
        <v>309</v>
      </c>
      <c r="D115" s="20">
        <v>1</v>
      </c>
      <c r="E115" s="21">
        <v>1</v>
      </c>
      <c r="F115" s="20">
        <f t="shared" si="8"/>
        <v>1</v>
      </c>
      <c r="G115" s="69">
        <v>53846</v>
      </c>
      <c r="H115" s="20">
        <f t="shared" si="9"/>
        <v>53846</v>
      </c>
      <c r="I115" s="2"/>
      <c r="J115" s="17"/>
      <c r="K115" s="17"/>
      <c r="L115" s="17"/>
    </row>
    <row r="116" spans="1:12">
      <c r="A116" s="29"/>
      <c r="B116" s="18">
        <v>28</v>
      </c>
      <c r="C116" s="19" t="s">
        <v>310</v>
      </c>
      <c r="D116" s="20">
        <v>1</v>
      </c>
      <c r="E116" s="21">
        <v>1</v>
      </c>
      <c r="F116" s="20">
        <f t="shared" si="8"/>
        <v>1</v>
      </c>
      <c r="G116" s="69">
        <v>22076</v>
      </c>
      <c r="H116" s="20">
        <f t="shared" si="9"/>
        <v>22076</v>
      </c>
      <c r="I116" s="2"/>
      <c r="J116" s="17"/>
      <c r="K116" s="17"/>
      <c r="L116" s="17"/>
    </row>
    <row r="117" spans="1:12">
      <c r="A117" s="29"/>
      <c r="B117" s="18">
        <v>29</v>
      </c>
      <c r="C117" s="19" t="s">
        <v>72</v>
      </c>
      <c r="D117" s="20">
        <v>1</v>
      </c>
      <c r="E117" s="21">
        <v>1</v>
      </c>
      <c r="F117" s="20">
        <f t="shared" si="8"/>
        <v>1</v>
      </c>
      <c r="G117" s="69">
        <v>22076</v>
      </c>
      <c r="H117" s="20">
        <f t="shared" si="9"/>
        <v>22076</v>
      </c>
      <c r="I117" s="2"/>
      <c r="J117" s="17"/>
      <c r="K117" s="17"/>
      <c r="L117" s="17"/>
    </row>
    <row r="118" spans="1:12">
      <c r="A118" s="29"/>
      <c r="B118" s="18">
        <v>30</v>
      </c>
      <c r="C118" s="19" t="s">
        <v>311</v>
      </c>
      <c r="D118" s="20">
        <v>1</v>
      </c>
      <c r="E118" s="21">
        <v>1</v>
      </c>
      <c r="F118" s="20">
        <f t="shared" si="8"/>
        <v>1</v>
      </c>
      <c r="G118" s="69">
        <v>12507</v>
      </c>
      <c r="H118" s="20">
        <f t="shared" si="9"/>
        <v>12507</v>
      </c>
      <c r="I118" s="2"/>
      <c r="J118" s="17"/>
      <c r="K118" s="17"/>
      <c r="L118" s="17"/>
    </row>
    <row r="119" spans="1:12">
      <c r="A119" s="29"/>
      <c r="B119" s="18">
        <v>31</v>
      </c>
      <c r="C119" s="19" t="s">
        <v>312</v>
      </c>
      <c r="D119" s="20">
        <v>1</v>
      </c>
      <c r="E119" s="21">
        <v>1</v>
      </c>
      <c r="F119" s="20">
        <f t="shared" si="8"/>
        <v>1</v>
      </c>
      <c r="G119" s="69">
        <v>18461</v>
      </c>
      <c r="H119" s="20">
        <f t="shared" si="9"/>
        <v>18461</v>
      </c>
      <c r="I119" s="2"/>
      <c r="J119" s="17"/>
      <c r="K119" s="17"/>
      <c r="L119" s="17"/>
    </row>
    <row r="120" spans="1:12">
      <c r="A120" s="29"/>
      <c r="B120" s="18">
        <v>32</v>
      </c>
      <c r="C120" s="19" t="s">
        <v>73</v>
      </c>
      <c r="D120" s="20">
        <v>1</v>
      </c>
      <c r="E120" s="21">
        <v>1</v>
      </c>
      <c r="F120" s="20">
        <f t="shared" si="8"/>
        <v>1</v>
      </c>
      <c r="G120" s="69">
        <v>12507</v>
      </c>
      <c r="H120" s="20">
        <f t="shared" si="9"/>
        <v>12507</v>
      </c>
      <c r="I120" s="2"/>
      <c r="J120" s="17"/>
      <c r="K120" s="17"/>
      <c r="L120" s="17"/>
    </row>
    <row r="121" spans="1:12">
      <c r="A121" s="29"/>
      <c r="B121" s="18">
        <v>33</v>
      </c>
      <c r="C121" s="19" t="s">
        <v>71</v>
      </c>
      <c r="D121" s="20">
        <v>1</v>
      </c>
      <c r="E121" s="21">
        <v>1</v>
      </c>
      <c r="F121" s="20">
        <f t="shared" si="8"/>
        <v>1</v>
      </c>
      <c r="G121" s="69">
        <v>22076</v>
      </c>
      <c r="H121" s="20">
        <f t="shared" si="9"/>
        <v>22076</v>
      </c>
      <c r="I121" s="2"/>
      <c r="J121" s="17"/>
      <c r="K121" s="17"/>
      <c r="L121" s="17"/>
    </row>
    <row r="122" spans="1:12">
      <c r="A122" s="29"/>
      <c r="B122" s="18">
        <v>34</v>
      </c>
      <c r="C122" s="19" t="s">
        <v>313</v>
      </c>
      <c r="D122" s="20">
        <v>1</v>
      </c>
      <c r="E122" s="21">
        <v>1</v>
      </c>
      <c r="F122" s="20">
        <f t="shared" si="8"/>
        <v>1</v>
      </c>
      <c r="G122" s="69">
        <v>22076</v>
      </c>
      <c r="H122" s="20">
        <f t="shared" si="9"/>
        <v>22076</v>
      </c>
      <c r="I122" s="2"/>
      <c r="J122" s="17"/>
      <c r="K122" s="17"/>
      <c r="L122" s="17"/>
    </row>
    <row r="123" spans="1:12">
      <c r="A123" s="29"/>
      <c r="B123" s="18">
        <v>35</v>
      </c>
      <c r="C123" s="19" t="s">
        <v>314</v>
      </c>
      <c r="D123" s="20">
        <v>0.3</v>
      </c>
      <c r="E123" s="21">
        <v>1</v>
      </c>
      <c r="F123" s="20">
        <f t="shared" si="8"/>
        <v>0.3</v>
      </c>
      <c r="G123" s="69">
        <v>61538</v>
      </c>
      <c r="H123" s="20">
        <f t="shared" si="9"/>
        <v>18461.399999999998</v>
      </c>
      <c r="I123" s="2"/>
      <c r="J123" s="17"/>
      <c r="K123" s="17"/>
      <c r="L123" s="17"/>
    </row>
    <row r="124" spans="1:12">
      <c r="A124" s="29"/>
      <c r="B124" s="18">
        <v>36</v>
      </c>
      <c r="C124" s="19" t="s">
        <v>315</v>
      </c>
      <c r="D124" s="20">
        <v>0.36799999999999999</v>
      </c>
      <c r="E124" s="21">
        <v>1</v>
      </c>
      <c r="F124" s="20">
        <f t="shared" si="8"/>
        <v>0.36799999999999999</v>
      </c>
      <c r="G124" s="69">
        <v>3846</v>
      </c>
      <c r="H124" s="20">
        <f t="shared" si="9"/>
        <v>1415.328</v>
      </c>
      <c r="I124" s="2"/>
      <c r="J124" s="17"/>
      <c r="K124" s="17"/>
      <c r="L124" s="17"/>
    </row>
    <row r="125" spans="1:12">
      <c r="A125" s="29"/>
      <c r="B125" s="18">
        <v>37</v>
      </c>
      <c r="C125" s="19" t="s">
        <v>316</v>
      </c>
      <c r="D125" s="20">
        <v>1</v>
      </c>
      <c r="E125" s="21">
        <v>1</v>
      </c>
      <c r="F125" s="20">
        <f t="shared" si="8"/>
        <v>1</v>
      </c>
      <c r="G125" s="69">
        <v>7692</v>
      </c>
      <c r="H125" s="20">
        <f t="shared" si="9"/>
        <v>7692</v>
      </c>
      <c r="I125" s="2"/>
      <c r="J125" s="17"/>
      <c r="K125" s="17"/>
      <c r="L125" s="17"/>
    </row>
    <row r="126" spans="1:12">
      <c r="A126" s="29"/>
      <c r="B126" s="18">
        <v>38</v>
      </c>
      <c r="C126" s="19" t="s">
        <v>317</v>
      </c>
      <c r="D126" s="20">
        <v>1</v>
      </c>
      <c r="E126" s="21">
        <v>1</v>
      </c>
      <c r="F126" s="20">
        <f t="shared" si="8"/>
        <v>1</v>
      </c>
      <c r="G126" s="69">
        <v>46153</v>
      </c>
      <c r="H126" s="20">
        <f t="shared" si="9"/>
        <v>46153</v>
      </c>
      <c r="I126" s="2"/>
      <c r="J126" s="17"/>
      <c r="K126" s="17"/>
      <c r="L126" s="17"/>
    </row>
    <row r="127" spans="1:12">
      <c r="A127" s="29"/>
      <c r="B127" s="18">
        <v>39</v>
      </c>
      <c r="C127" s="19" t="s">
        <v>318</v>
      </c>
      <c r="D127" s="20">
        <v>0.5</v>
      </c>
      <c r="E127" s="21">
        <v>1</v>
      </c>
      <c r="F127" s="20">
        <f t="shared" si="8"/>
        <v>0.5</v>
      </c>
      <c r="G127" s="69">
        <v>600000</v>
      </c>
      <c r="H127" s="20">
        <f t="shared" si="9"/>
        <v>300000</v>
      </c>
      <c r="I127" s="2"/>
      <c r="J127" s="17"/>
      <c r="K127" s="17"/>
      <c r="L127" s="17"/>
    </row>
    <row r="128" spans="1:12">
      <c r="A128" s="29"/>
      <c r="B128" s="18">
        <v>40</v>
      </c>
      <c r="C128" s="19" t="s">
        <v>319</v>
      </c>
      <c r="D128" s="20">
        <v>0.5</v>
      </c>
      <c r="E128" s="21">
        <v>1</v>
      </c>
      <c r="F128" s="20">
        <f t="shared" si="8"/>
        <v>0.5</v>
      </c>
      <c r="G128" s="69">
        <v>157692</v>
      </c>
      <c r="H128" s="20">
        <f t="shared" si="9"/>
        <v>78846</v>
      </c>
      <c r="I128" s="2"/>
      <c r="J128" s="17"/>
      <c r="K128" s="17"/>
      <c r="L128" s="17"/>
    </row>
    <row r="129" spans="1:12">
      <c r="A129" s="29"/>
      <c r="B129" s="18">
        <v>41</v>
      </c>
      <c r="C129" s="19" t="s">
        <v>320</v>
      </c>
      <c r="D129" s="20">
        <v>0.5</v>
      </c>
      <c r="E129" s="21">
        <v>1</v>
      </c>
      <c r="F129" s="20">
        <f t="shared" si="8"/>
        <v>0.5</v>
      </c>
      <c r="G129" s="69">
        <v>269230</v>
      </c>
      <c r="H129" s="20">
        <f t="shared" si="9"/>
        <v>134615</v>
      </c>
      <c r="I129" s="2"/>
      <c r="J129" s="17"/>
      <c r="K129" s="17"/>
      <c r="L129" s="17"/>
    </row>
    <row r="130" spans="1:12">
      <c r="A130" s="29"/>
      <c r="B130" s="18">
        <v>42</v>
      </c>
      <c r="C130" s="19" t="s">
        <v>321</v>
      </c>
      <c r="D130" s="20">
        <v>0</v>
      </c>
      <c r="E130" s="21">
        <v>1</v>
      </c>
      <c r="F130" s="20">
        <f t="shared" si="8"/>
        <v>0</v>
      </c>
      <c r="G130" s="69">
        <v>192307</v>
      </c>
      <c r="H130" s="20">
        <f t="shared" si="9"/>
        <v>0</v>
      </c>
      <c r="I130" s="2"/>
      <c r="J130" s="17"/>
      <c r="K130" s="17"/>
      <c r="L130" s="17"/>
    </row>
    <row r="131" spans="1:12">
      <c r="A131" s="29"/>
      <c r="B131" s="18">
        <v>43</v>
      </c>
      <c r="C131" s="19" t="s">
        <v>322</v>
      </c>
      <c r="D131" s="20">
        <v>0</v>
      </c>
      <c r="E131" s="21">
        <v>1</v>
      </c>
      <c r="F131" s="20">
        <f t="shared" si="8"/>
        <v>0</v>
      </c>
      <c r="G131" s="69">
        <v>31769</v>
      </c>
      <c r="H131" s="20">
        <f t="shared" si="9"/>
        <v>0</v>
      </c>
      <c r="I131" s="2"/>
      <c r="J131" s="17"/>
      <c r="K131" s="17"/>
      <c r="L131" s="17"/>
    </row>
    <row r="132" spans="1:12">
      <c r="A132" s="29"/>
      <c r="B132" s="18">
        <v>44</v>
      </c>
      <c r="C132" s="19"/>
      <c r="D132" s="20">
        <v>0</v>
      </c>
      <c r="E132" s="21">
        <v>0</v>
      </c>
      <c r="F132" s="20">
        <f t="shared" si="8"/>
        <v>0</v>
      </c>
      <c r="G132" s="21">
        <v>144</v>
      </c>
      <c r="H132" s="20">
        <f t="shared" si="9"/>
        <v>0</v>
      </c>
      <c r="I132" s="2"/>
      <c r="J132" s="17"/>
      <c r="K132" s="17"/>
      <c r="L132" s="17"/>
    </row>
    <row r="133" spans="1:12">
      <c r="A133" s="29"/>
      <c r="B133" s="18">
        <v>45</v>
      </c>
      <c r="C133" s="19"/>
      <c r="D133" s="20">
        <v>0</v>
      </c>
      <c r="E133" s="21">
        <v>0</v>
      </c>
      <c r="F133" s="20">
        <f t="shared" si="8"/>
        <v>0</v>
      </c>
      <c r="G133" s="21">
        <v>145</v>
      </c>
      <c r="H133" s="20">
        <f t="shared" si="9"/>
        <v>0</v>
      </c>
      <c r="I133" s="2"/>
      <c r="J133" s="17"/>
      <c r="K133" s="17"/>
      <c r="L133" s="17"/>
    </row>
    <row r="134" spans="1:12">
      <c r="A134" s="29"/>
      <c r="B134" s="18">
        <v>46</v>
      </c>
      <c r="C134" s="19"/>
      <c r="D134" s="20">
        <v>0</v>
      </c>
      <c r="E134" s="21">
        <v>0</v>
      </c>
      <c r="F134" s="20">
        <f t="shared" si="8"/>
        <v>0</v>
      </c>
      <c r="G134" s="21">
        <v>146</v>
      </c>
      <c r="H134" s="20">
        <f t="shared" si="9"/>
        <v>0</v>
      </c>
      <c r="I134" s="2"/>
      <c r="J134" s="17"/>
      <c r="K134" s="17"/>
      <c r="L134" s="17"/>
    </row>
    <row r="135" spans="1:12">
      <c r="A135" s="29"/>
      <c r="B135" s="18"/>
      <c r="C135" s="14" t="s">
        <v>102</v>
      </c>
      <c r="D135" s="20"/>
      <c r="F135" s="20"/>
      <c r="H135" s="25">
        <f>SUM(H89:H134)</f>
        <v>1132575.7280000001</v>
      </c>
      <c r="I135" s="2"/>
      <c r="J135" s="17"/>
      <c r="K135" s="17"/>
      <c r="L135" s="17"/>
    </row>
    <row r="136" spans="1:12">
      <c r="A136" s="29"/>
      <c r="B136" s="18"/>
      <c r="C136" s="14"/>
      <c r="D136" s="20"/>
      <c r="F136" s="20"/>
      <c r="H136" s="25"/>
      <c r="I136" s="2"/>
      <c r="J136" s="17"/>
      <c r="K136" s="17"/>
      <c r="L136" s="17"/>
    </row>
    <row r="137" spans="1:12">
      <c r="A137" s="29"/>
      <c r="B137" s="26"/>
      <c r="C137" s="14" t="s">
        <v>103</v>
      </c>
      <c r="D137" s="20"/>
      <c r="F137" s="20"/>
      <c r="H137" s="20"/>
      <c r="I137" s="2"/>
      <c r="J137" s="17"/>
      <c r="K137" s="17"/>
      <c r="L137" s="17"/>
    </row>
    <row r="138" spans="1:12">
      <c r="A138" s="29"/>
      <c r="B138" s="18">
        <v>1</v>
      </c>
      <c r="C138" s="40" t="s">
        <v>323</v>
      </c>
      <c r="D138" s="68">
        <v>1</v>
      </c>
      <c r="E138" s="69">
        <v>1</v>
      </c>
      <c r="F138" s="68">
        <f>D138*E138</f>
        <v>1</v>
      </c>
      <c r="G138" s="69">
        <v>40000</v>
      </c>
      <c r="H138" s="68">
        <f>F138*G138</f>
        <v>40000</v>
      </c>
      <c r="I138" s="2"/>
      <c r="J138" s="17"/>
      <c r="K138" s="17"/>
      <c r="L138" s="17"/>
    </row>
    <row r="139" spans="1:12">
      <c r="A139" s="29"/>
      <c r="B139" s="18">
        <v>2</v>
      </c>
      <c r="C139" s="19" t="s">
        <v>324</v>
      </c>
      <c r="D139" s="20">
        <v>0.36799999999999999</v>
      </c>
      <c r="E139" s="21">
        <v>1</v>
      </c>
      <c r="F139" s="20">
        <f t="shared" ref="F139:F146" si="10">D139*E139</f>
        <v>0.36799999999999999</v>
      </c>
      <c r="G139" s="21">
        <v>72000</v>
      </c>
      <c r="H139" s="20">
        <f t="shared" ref="H139:H146" si="11">F139*G139</f>
        <v>26496</v>
      </c>
      <c r="I139" s="2"/>
      <c r="J139" s="17"/>
      <c r="K139" s="17"/>
      <c r="L139" s="17"/>
    </row>
    <row r="140" spans="1:12">
      <c r="A140" s="29"/>
      <c r="B140" s="18">
        <v>3</v>
      </c>
      <c r="C140" s="40" t="s">
        <v>325</v>
      </c>
      <c r="D140" s="68">
        <v>1</v>
      </c>
      <c r="E140" s="69">
        <v>1</v>
      </c>
      <c r="F140" s="68">
        <f t="shared" si="10"/>
        <v>1</v>
      </c>
      <c r="G140" s="69">
        <v>12307</v>
      </c>
      <c r="H140" s="68">
        <f t="shared" si="11"/>
        <v>12307</v>
      </c>
      <c r="I140" s="2"/>
      <c r="J140" s="17"/>
      <c r="K140" s="17"/>
      <c r="L140" s="17"/>
    </row>
    <row r="141" spans="1:12">
      <c r="A141" s="29"/>
      <c r="B141" s="18">
        <v>4</v>
      </c>
      <c r="C141" s="19"/>
      <c r="D141" s="20">
        <v>0</v>
      </c>
      <c r="E141" s="21">
        <v>1</v>
      </c>
      <c r="F141" s="20">
        <f t="shared" si="10"/>
        <v>0</v>
      </c>
      <c r="G141" s="21">
        <v>104</v>
      </c>
      <c r="H141" s="20">
        <f t="shared" si="11"/>
        <v>0</v>
      </c>
      <c r="I141" s="2"/>
      <c r="J141" s="17"/>
      <c r="K141" s="17"/>
      <c r="L141" s="17"/>
    </row>
    <row r="142" spans="1:12">
      <c r="A142" s="29"/>
      <c r="B142" s="18">
        <v>5</v>
      </c>
      <c r="C142" s="19"/>
      <c r="D142" s="20">
        <v>0</v>
      </c>
      <c r="E142" s="21">
        <v>1</v>
      </c>
      <c r="F142" s="20">
        <f t="shared" si="10"/>
        <v>0</v>
      </c>
      <c r="G142" s="21">
        <v>105</v>
      </c>
      <c r="H142" s="20">
        <f t="shared" si="11"/>
        <v>0</v>
      </c>
      <c r="I142" s="2"/>
      <c r="J142" s="17"/>
      <c r="K142" s="17"/>
      <c r="L142" s="17"/>
    </row>
    <row r="143" spans="1:12">
      <c r="A143" s="29"/>
      <c r="B143" s="18">
        <v>6</v>
      </c>
      <c r="C143" s="19"/>
      <c r="D143" s="20">
        <v>0</v>
      </c>
      <c r="E143" s="21">
        <v>1</v>
      </c>
      <c r="F143" s="20">
        <f t="shared" si="10"/>
        <v>0</v>
      </c>
      <c r="G143" s="21">
        <v>106</v>
      </c>
      <c r="H143" s="20">
        <f t="shared" si="11"/>
        <v>0</v>
      </c>
      <c r="I143" s="2"/>
      <c r="J143" s="17"/>
      <c r="K143" s="17"/>
      <c r="L143" s="17"/>
    </row>
    <row r="144" spans="1:12">
      <c r="A144" s="29"/>
      <c r="B144" s="18">
        <v>7</v>
      </c>
      <c r="C144" s="19"/>
      <c r="D144" s="20">
        <v>0</v>
      </c>
      <c r="E144" s="21">
        <v>1</v>
      </c>
      <c r="F144" s="20">
        <f t="shared" si="10"/>
        <v>0</v>
      </c>
      <c r="G144" s="21">
        <v>107</v>
      </c>
      <c r="H144" s="20">
        <f t="shared" si="11"/>
        <v>0</v>
      </c>
      <c r="I144" s="2"/>
      <c r="J144" s="17"/>
      <c r="K144" s="17"/>
      <c r="L144" s="17"/>
    </row>
    <row r="145" spans="1:12">
      <c r="A145" s="29"/>
      <c r="B145" s="18">
        <v>8</v>
      </c>
      <c r="C145" s="19"/>
      <c r="D145" s="20">
        <v>0</v>
      </c>
      <c r="E145" s="21">
        <v>1</v>
      </c>
      <c r="F145" s="20">
        <f t="shared" si="10"/>
        <v>0</v>
      </c>
      <c r="G145" s="21">
        <v>108</v>
      </c>
      <c r="H145" s="20">
        <f t="shared" si="11"/>
        <v>0</v>
      </c>
      <c r="I145" s="2"/>
      <c r="J145" s="17"/>
      <c r="K145" s="17"/>
      <c r="L145" s="17"/>
    </row>
    <row r="146" spans="1:12">
      <c r="A146" s="29"/>
      <c r="B146" s="18">
        <v>9</v>
      </c>
      <c r="C146" s="19"/>
      <c r="D146" s="20">
        <v>0</v>
      </c>
      <c r="E146" s="21">
        <v>1</v>
      </c>
      <c r="F146" s="20">
        <f t="shared" si="10"/>
        <v>0</v>
      </c>
      <c r="G146" s="21">
        <v>109</v>
      </c>
      <c r="H146" s="20">
        <f t="shared" si="11"/>
        <v>0</v>
      </c>
      <c r="I146" s="2"/>
      <c r="J146" s="17"/>
      <c r="K146" s="17"/>
      <c r="L146" s="17"/>
    </row>
    <row r="147" spans="1:12">
      <c r="A147" s="29"/>
      <c r="B147" s="18">
        <v>10</v>
      </c>
      <c r="C147" s="19"/>
      <c r="D147" s="20">
        <v>0</v>
      </c>
      <c r="E147" s="21">
        <v>1</v>
      </c>
      <c r="F147" s="20">
        <f>D147*E147</f>
        <v>0</v>
      </c>
      <c r="G147" s="21">
        <v>102</v>
      </c>
      <c r="H147" s="20">
        <f>F147*G147</f>
        <v>0</v>
      </c>
      <c r="I147" s="2"/>
      <c r="J147" s="17"/>
      <c r="K147" s="17"/>
      <c r="L147" s="17"/>
    </row>
    <row r="148" spans="1:12">
      <c r="A148" s="29"/>
      <c r="B148" s="18"/>
      <c r="C148" s="14" t="s">
        <v>110</v>
      </c>
      <c r="D148" s="20"/>
      <c r="F148" s="20"/>
      <c r="H148" s="25">
        <f>SUM(H138:H147)</f>
        <v>78803</v>
      </c>
      <c r="I148" s="2"/>
      <c r="J148" s="17"/>
      <c r="K148" s="17"/>
      <c r="L148" s="17"/>
    </row>
    <row r="149" spans="1:12">
      <c r="A149" s="29"/>
      <c r="B149" s="18"/>
      <c r="C149" s="14"/>
      <c r="D149" s="20"/>
      <c r="F149" s="20"/>
      <c r="H149" s="25"/>
      <c r="I149" s="2"/>
      <c r="J149" s="17"/>
      <c r="K149" s="17"/>
      <c r="L149" s="17"/>
    </row>
    <row r="150" spans="1:12">
      <c r="A150" s="29"/>
      <c r="B150" s="26"/>
      <c r="C150" s="14" t="s">
        <v>111</v>
      </c>
      <c r="D150" s="20"/>
      <c r="F150" s="20"/>
      <c r="H150" s="25">
        <f>H55+H60+H65+H70+H75+H86+H135+H148</f>
        <v>1891378.7280000001</v>
      </c>
      <c r="I150" s="2"/>
      <c r="J150" s="17"/>
      <c r="K150" s="17"/>
      <c r="L150" s="17"/>
    </row>
    <row r="151" spans="1:12">
      <c r="A151" s="29"/>
      <c r="B151" s="26"/>
      <c r="C151" s="14"/>
      <c r="D151" s="20"/>
      <c r="F151" s="20"/>
      <c r="H151" s="20"/>
      <c r="I151" s="2"/>
      <c r="J151" s="17"/>
      <c r="K151" s="17"/>
      <c r="L151" s="17"/>
    </row>
    <row r="152" spans="1:12">
      <c r="A152" s="29"/>
      <c r="B152" s="13" t="s">
        <v>326</v>
      </c>
      <c r="C152" s="14" t="s">
        <v>113</v>
      </c>
      <c r="D152" s="20"/>
      <c r="F152" s="20"/>
      <c r="H152" s="20"/>
      <c r="I152" s="2"/>
      <c r="J152" s="17"/>
      <c r="K152" s="17"/>
      <c r="L152" s="17"/>
    </row>
    <row r="153" spans="1:12">
      <c r="A153" s="29"/>
      <c r="B153" s="18">
        <v>1</v>
      </c>
      <c r="C153" s="19" t="s">
        <v>327</v>
      </c>
      <c r="D153" s="20">
        <v>1</v>
      </c>
      <c r="E153" s="21">
        <f>3*60</f>
        <v>180</v>
      </c>
      <c r="F153" s="20">
        <f>D153*E153</f>
        <v>180</v>
      </c>
      <c r="G153" s="21">
        <v>460.41666666666669</v>
      </c>
      <c r="H153" s="20">
        <f>F153*G153</f>
        <v>82875</v>
      </c>
      <c r="I153" s="2"/>
      <c r="J153" s="17"/>
      <c r="K153" s="17"/>
      <c r="L153" s="17"/>
    </row>
    <row r="154" spans="1:12">
      <c r="A154" s="29"/>
      <c r="B154" s="18">
        <v>2</v>
      </c>
      <c r="C154" s="19" t="s">
        <v>328</v>
      </c>
      <c r="D154" s="20">
        <v>2</v>
      </c>
      <c r="E154" s="21">
        <f t="shared" ref="E154:E173" si="12">3*60</f>
        <v>180</v>
      </c>
      <c r="F154" s="20">
        <f t="shared" ref="F154:F173" si="13">D154*E154</f>
        <v>360</v>
      </c>
      <c r="G154" s="21">
        <v>203.54166666666666</v>
      </c>
      <c r="H154" s="20">
        <f t="shared" ref="H154:H173" si="14">F154*G154</f>
        <v>73275</v>
      </c>
      <c r="I154" s="2"/>
      <c r="J154" s="17"/>
      <c r="K154" s="17"/>
      <c r="L154" s="17"/>
    </row>
    <row r="155" spans="1:12">
      <c r="A155" s="29"/>
      <c r="B155" s="18">
        <v>3</v>
      </c>
      <c r="C155" s="19" t="s">
        <v>329</v>
      </c>
      <c r="D155" s="20">
        <v>1</v>
      </c>
      <c r="E155" s="21">
        <f t="shared" si="12"/>
        <v>180</v>
      </c>
      <c r="F155" s="20">
        <f t="shared" si="13"/>
        <v>180</v>
      </c>
      <c r="G155" s="21">
        <v>75.833333333333329</v>
      </c>
      <c r="H155" s="20">
        <f t="shared" si="14"/>
        <v>13650</v>
      </c>
      <c r="I155" s="2"/>
      <c r="J155" s="17"/>
      <c r="K155" s="17"/>
      <c r="L155" s="17"/>
    </row>
    <row r="156" spans="1:12">
      <c r="A156" s="29"/>
      <c r="B156" s="18">
        <v>4</v>
      </c>
      <c r="C156" s="19" t="s">
        <v>330</v>
      </c>
      <c r="D156" s="20">
        <v>1</v>
      </c>
      <c r="E156" s="21">
        <f t="shared" si="12"/>
        <v>180</v>
      </c>
      <c r="F156" s="20">
        <f t="shared" si="13"/>
        <v>180</v>
      </c>
      <c r="G156" s="21">
        <v>264.47916666666669</v>
      </c>
      <c r="H156" s="20">
        <f t="shared" si="14"/>
        <v>47606.25</v>
      </c>
      <c r="I156" s="2"/>
      <c r="J156" s="17"/>
      <c r="K156" s="17"/>
      <c r="L156" s="17"/>
    </row>
    <row r="157" spans="1:12">
      <c r="A157" s="29"/>
      <c r="B157" s="18">
        <v>5</v>
      </c>
      <c r="C157" s="19" t="s">
        <v>331</v>
      </c>
      <c r="D157" s="20">
        <v>1</v>
      </c>
      <c r="E157" s="21">
        <f t="shared" si="12"/>
        <v>180</v>
      </c>
      <c r="F157" s="20">
        <f t="shared" si="13"/>
        <v>180</v>
      </c>
      <c r="G157" s="21">
        <v>176.77083333333334</v>
      </c>
      <c r="H157" s="20">
        <f t="shared" si="14"/>
        <v>31818.75</v>
      </c>
      <c r="I157" s="2"/>
      <c r="J157" s="17"/>
      <c r="K157" s="17"/>
      <c r="L157" s="17"/>
    </row>
    <row r="158" spans="1:12">
      <c r="A158" s="29"/>
      <c r="B158" s="18">
        <v>6</v>
      </c>
      <c r="C158" s="19" t="s">
        <v>332</v>
      </c>
      <c r="D158" s="20">
        <v>1</v>
      </c>
      <c r="E158" s="21">
        <f t="shared" si="12"/>
        <v>180</v>
      </c>
      <c r="F158" s="20">
        <f t="shared" si="13"/>
        <v>180</v>
      </c>
      <c r="G158" s="21">
        <v>129.79166666666666</v>
      </c>
      <c r="H158" s="20">
        <f t="shared" si="14"/>
        <v>23362.5</v>
      </c>
      <c r="I158" s="2"/>
      <c r="J158" s="17"/>
      <c r="K158" s="17"/>
      <c r="L158" s="17"/>
    </row>
    <row r="159" spans="1:12">
      <c r="A159" s="29"/>
      <c r="B159" s="18">
        <v>7</v>
      </c>
      <c r="C159" s="19" t="s">
        <v>333</v>
      </c>
      <c r="D159" s="20">
        <v>1</v>
      </c>
      <c r="E159" s="21">
        <f t="shared" si="12"/>
        <v>180</v>
      </c>
      <c r="F159" s="20">
        <f t="shared" si="13"/>
        <v>180</v>
      </c>
      <c r="G159" s="21">
        <v>75.833333333333329</v>
      </c>
      <c r="H159" s="20">
        <f t="shared" si="14"/>
        <v>13650</v>
      </c>
      <c r="I159" s="2"/>
      <c r="J159" s="17"/>
      <c r="K159" s="17"/>
      <c r="L159" s="17"/>
    </row>
    <row r="160" spans="1:12">
      <c r="A160" s="29"/>
      <c r="B160" s="18">
        <v>8</v>
      </c>
      <c r="C160" s="19" t="s">
        <v>334</v>
      </c>
      <c r="D160" s="20">
        <v>1</v>
      </c>
      <c r="E160" s="21">
        <f t="shared" si="12"/>
        <v>180</v>
      </c>
      <c r="F160" s="20">
        <f t="shared" si="13"/>
        <v>180</v>
      </c>
      <c r="G160" s="21">
        <v>511.45833333333331</v>
      </c>
      <c r="H160" s="20">
        <f t="shared" si="14"/>
        <v>92062.5</v>
      </c>
      <c r="I160" s="2"/>
      <c r="J160" s="17"/>
      <c r="K160" s="17"/>
      <c r="L160" s="17"/>
    </row>
    <row r="161" spans="1:12">
      <c r="A161" s="29"/>
      <c r="B161" s="18">
        <v>9</v>
      </c>
      <c r="C161" s="19" t="s">
        <v>335</v>
      </c>
      <c r="D161" s="20">
        <v>1</v>
      </c>
      <c r="E161" s="21">
        <f t="shared" si="12"/>
        <v>180</v>
      </c>
      <c r="F161" s="20">
        <f t="shared" si="13"/>
        <v>180</v>
      </c>
      <c r="G161" s="21">
        <v>460.41666666666669</v>
      </c>
      <c r="H161" s="20">
        <f t="shared" si="14"/>
        <v>82875</v>
      </c>
      <c r="I161" s="2"/>
      <c r="J161" s="17"/>
      <c r="K161" s="17"/>
      <c r="L161" s="17"/>
    </row>
    <row r="162" spans="1:12">
      <c r="A162" s="29"/>
      <c r="B162" s="18">
        <v>10</v>
      </c>
      <c r="C162" s="19" t="s">
        <v>336</v>
      </c>
      <c r="D162" s="20">
        <v>1</v>
      </c>
      <c r="E162" s="21">
        <f t="shared" si="12"/>
        <v>180</v>
      </c>
      <c r="F162" s="20">
        <f t="shared" si="13"/>
        <v>180</v>
      </c>
      <c r="G162" s="21">
        <v>460.41666666666669</v>
      </c>
      <c r="H162" s="20">
        <f t="shared" si="14"/>
        <v>82875</v>
      </c>
      <c r="I162" s="2"/>
      <c r="J162" s="17"/>
      <c r="K162" s="17"/>
      <c r="L162" s="17"/>
    </row>
    <row r="163" spans="1:12">
      <c r="A163" s="29"/>
      <c r="B163" s="18">
        <v>11</v>
      </c>
      <c r="C163" s="19" t="s">
        <v>337</v>
      </c>
      <c r="D163" s="20">
        <v>1</v>
      </c>
      <c r="E163" s="21">
        <f t="shared" si="12"/>
        <v>180</v>
      </c>
      <c r="F163" s="20">
        <f t="shared" si="13"/>
        <v>180</v>
      </c>
      <c r="G163" s="21">
        <v>357.39583333333331</v>
      </c>
      <c r="H163" s="20">
        <f t="shared" si="14"/>
        <v>64331.25</v>
      </c>
      <c r="I163" s="2"/>
      <c r="J163" s="17"/>
      <c r="K163" s="17"/>
      <c r="L163" s="17"/>
    </row>
    <row r="164" spans="1:12">
      <c r="A164" s="29"/>
      <c r="B164" s="18">
        <v>12</v>
      </c>
      <c r="C164" s="19" t="s">
        <v>338</v>
      </c>
      <c r="D164" s="20">
        <v>1</v>
      </c>
      <c r="E164" s="21">
        <f t="shared" si="12"/>
        <v>180</v>
      </c>
      <c r="F164" s="20">
        <f t="shared" si="13"/>
        <v>180</v>
      </c>
      <c r="G164" s="21">
        <v>203.54166666666666</v>
      </c>
      <c r="H164" s="20">
        <f t="shared" si="14"/>
        <v>36637.5</v>
      </c>
      <c r="I164" s="2"/>
      <c r="J164" s="17"/>
      <c r="K164" s="17"/>
      <c r="L164" s="17"/>
    </row>
    <row r="165" spans="1:12">
      <c r="A165" s="29"/>
      <c r="B165" s="18">
        <v>13</v>
      </c>
      <c r="C165" s="19" t="s">
        <v>339</v>
      </c>
      <c r="D165" s="20">
        <v>1</v>
      </c>
      <c r="E165" s="21">
        <f t="shared" si="12"/>
        <v>180</v>
      </c>
      <c r="F165" s="20">
        <f t="shared" si="13"/>
        <v>180</v>
      </c>
      <c r="G165" s="21">
        <v>210.41666666666666</v>
      </c>
      <c r="H165" s="20">
        <f t="shared" si="14"/>
        <v>37875</v>
      </c>
      <c r="I165" s="2"/>
      <c r="J165" s="17"/>
      <c r="K165" s="17"/>
      <c r="L165" s="17"/>
    </row>
    <row r="166" spans="1:12">
      <c r="A166" s="29"/>
      <c r="B166" s="18">
        <v>14</v>
      </c>
      <c r="C166" s="19" t="s">
        <v>340</v>
      </c>
      <c r="D166" s="20">
        <v>1</v>
      </c>
      <c r="E166" s="21">
        <f t="shared" si="12"/>
        <v>180</v>
      </c>
      <c r="F166" s="20">
        <f t="shared" si="13"/>
        <v>180</v>
      </c>
      <c r="G166" s="21">
        <v>211.416666666667</v>
      </c>
      <c r="H166" s="20">
        <f t="shared" si="14"/>
        <v>38055.000000000058</v>
      </c>
      <c r="I166" s="2"/>
      <c r="J166" s="17"/>
      <c r="K166" s="17"/>
      <c r="L166" s="17"/>
    </row>
    <row r="167" spans="1:12">
      <c r="A167" s="29"/>
      <c r="B167" s="18">
        <v>15</v>
      </c>
      <c r="C167" s="19" t="s">
        <v>341</v>
      </c>
      <c r="D167" s="20">
        <v>1</v>
      </c>
      <c r="E167" s="21">
        <f t="shared" si="12"/>
        <v>180</v>
      </c>
      <c r="F167" s="20">
        <f t="shared" si="13"/>
        <v>180</v>
      </c>
      <c r="G167" s="21">
        <v>151.14583333333334</v>
      </c>
      <c r="H167" s="20">
        <f t="shared" si="14"/>
        <v>27206.25</v>
      </c>
      <c r="I167" s="2"/>
      <c r="J167" s="17"/>
      <c r="K167" s="17"/>
      <c r="L167" s="17"/>
    </row>
    <row r="168" spans="1:12">
      <c r="A168" s="29"/>
      <c r="B168" s="18">
        <v>16</v>
      </c>
      <c r="C168" s="19" t="s">
        <v>342</v>
      </c>
      <c r="D168" s="20">
        <v>1</v>
      </c>
      <c r="E168" s="21">
        <f t="shared" si="12"/>
        <v>180</v>
      </c>
      <c r="F168" s="20">
        <f t="shared" si="13"/>
        <v>180</v>
      </c>
      <c r="G168" s="21">
        <v>262.39583333333331</v>
      </c>
      <c r="H168" s="20">
        <f t="shared" si="14"/>
        <v>47231.25</v>
      </c>
      <c r="I168" s="2"/>
      <c r="J168" s="17"/>
      <c r="K168" s="17"/>
      <c r="L168" s="17"/>
    </row>
    <row r="169" spans="1:12">
      <c r="A169" s="29"/>
      <c r="B169" s="18">
        <v>17</v>
      </c>
      <c r="C169" s="19" t="s">
        <v>343</v>
      </c>
      <c r="D169" s="20">
        <v>1</v>
      </c>
      <c r="E169" s="21">
        <f t="shared" si="12"/>
        <v>180</v>
      </c>
      <c r="F169" s="20">
        <f t="shared" si="13"/>
        <v>180</v>
      </c>
      <c r="G169" s="21">
        <v>309.89583333333331</v>
      </c>
      <c r="H169" s="20">
        <f t="shared" si="14"/>
        <v>55781.25</v>
      </c>
      <c r="I169" s="2"/>
      <c r="J169" s="17"/>
      <c r="K169" s="17"/>
      <c r="L169" s="17"/>
    </row>
    <row r="170" spans="1:12">
      <c r="A170" s="29"/>
      <c r="B170" s="18">
        <v>18</v>
      </c>
      <c r="C170" s="19" t="s">
        <v>344</v>
      </c>
      <c r="D170" s="20">
        <v>1</v>
      </c>
      <c r="E170" s="21">
        <f t="shared" si="12"/>
        <v>180</v>
      </c>
      <c r="F170" s="20">
        <f t="shared" si="13"/>
        <v>180</v>
      </c>
      <c r="G170" s="21">
        <v>264.47916666666669</v>
      </c>
      <c r="H170" s="20">
        <f t="shared" si="14"/>
        <v>47606.25</v>
      </c>
      <c r="I170" s="2"/>
      <c r="J170" s="17"/>
      <c r="K170" s="17"/>
      <c r="L170" s="17"/>
    </row>
    <row r="171" spans="1:12">
      <c r="A171" s="29"/>
      <c r="B171" s="18">
        <v>19</v>
      </c>
      <c r="C171" s="19"/>
      <c r="D171" s="20">
        <v>0</v>
      </c>
      <c r="E171" s="21">
        <f t="shared" si="12"/>
        <v>180</v>
      </c>
      <c r="F171" s="20">
        <f t="shared" si="13"/>
        <v>0</v>
      </c>
      <c r="G171" s="21">
        <v>216.416666666667</v>
      </c>
      <c r="H171" s="20">
        <f t="shared" si="14"/>
        <v>0</v>
      </c>
      <c r="I171" s="2"/>
      <c r="J171" s="17"/>
      <c r="K171" s="17"/>
      <c r="L171" s="17"/>
    </row>
    <row r="172" spans="1:12">
      <c r="A172" s="29"/>
      <c r="B172" s="18">
        <v>20</v>
      </c>
      <c r="C172" s="19"/>
      <c r="D172" s="20">
        <v>0</v>
      </c>
      <c r="E172" s="21">
        <f t="shared" si="12"/>
        <v>180</v>
      </c>
      <c r="F172" s="20">
        <f t="shared" si="13"/>
        <v>0</v>
      </c>
      <c r="G172" s="21">
        <v>217.416666666667</v>
      </c>
      <c r="H172" s="20">
        <f t="shared" si="14"/>
        <v>0</v>
      </c>
      <c r="I172" s="2"/>
      <c r="J172" s="17"/>
      <c r="K172" s="17"/>
      <c r="L172" s="17"/>
    </row>
    <row r="173" spans="1:12">
      <c r="A173" s="29"/>
      <c r="B173" s="18">
        <v>21</v>
      </c>
      <c r="C173" s="19"/>
      <c r="D173" s="20">
        <v>0</v>
      </c>
      <c r="E173" s="21">
        <f t="shared" si="12"/>
        <v>180</v>
      </c>
      <c r="F173" s="20">
        <f t="shared" si="13"/>
        <v>0</v>
      </c>
      <c r="G173" s="21">
        <v>218.416666666667</v>
      </c>
      <c r="H173" s="20">
        <f t="shared" si="14"/>
        <v>0</v>
      </c>
      <c r="I173" s="2"/>
      <c r="J173" s="17"/>
      <c r="K173" s="17"/>
      <c r="L173" s="17"/>
    </row>
    <row r="174" spans="1:12">
      <c r="A174" s="29"/>
      <c r="B174" s="18"/>
      <c r="C174" s="14" t="s">
        <v>114</v>
      </c>
      <c r="D174" s="20"/>
      <c r="F174" s="20"/>
      <c r="H174" s="25">
        <f>SUM(H153:H173)</f>
        <v>898773.75</v>
      </c>
      <c r="I174" s="2"/>
      <c r="J174" s="17"/>
      <c r="K174" s="17"/>
      <c r="L174" s="17"/>
    </row>
    <row r="175" spans="1:12">
      <c r="A175" s="29"/>
      <c r="B175" s="26"/>
      <c r="C175" s="14"/>
      <c r="D175" s="20"/>
      <c r="F175" s="20"/>
      <c r="H175" s="20"/>
      <c r="I175" s="2"/>
      <c r="J175" s="17"/>
      <c r="K175" s="17"/>
      <c r="L175" s="17"/>
    </row>
    <row r="176" spans="1:12">
      <c r="A176" s="29"/>
      <c r="B176" s="26"/>
      <c r="C176" s="14" t="s">
        <v>115</v>
      </c>
      <c r="D176" s="20"/>
      <c r="F176" s="20"/>
      <c r="H176" s="20"/>
      <c r="I176" s="2"/>
      <c r="J176" s="17"/>
      <c r="K176" s="17"/>
      <c r="L176" s="17"/>
    </row>
    <row r="177" spans="1:12">
      <c r="A177" s="29"/>
      <c r="B177" s="18">
        <v>1</v>
      </c>
      <c r="C177" s="19"/>
      <c r="D177" s="20">
        <v>0</v>
      </c>
      <c r="E177" s="21">
        <v>1</v>
      </c>
      <c r="F177" s="20">
        <f>D177*E177</f>
        <v>0</v>
      </c>
      <c r="G177" s="21">
        <v>101</v>
      </c>
      <c r="H177" s="20">
        <f>F177*G177</f>
        <v>0</v>
      </c>
      <c r="I177" s="2"/>
      <c r="J177" s="17"/>
      <c r="K177" s="17"/>
      <c r="L177" s="17"/>
    </row>
    <row r="178" spans="1:12">
      <c r="A178" s="29"/>
      <c r="B178" s="18">
        <v>2</v>
      </c>
      <c r="C178" s="19"/>
      <c r="D178" s="20">
        <v>0</v>
      </c>
      <c r="E178" s="21">
        <v>1</v>
      </c>
      <c r="F178" s="20">
        <f>D178*E178</f>
        <v>0</v>
      </c>
      <c r="G178" s="21">
        <v>102</v>
      </c>
      <c r="H178" s="20">
        <f>F178*G178</f>
        <v>0</v>
      </c>
      <c r="I178" s="2"/>
      <c r="J178" s="17"/>
      <c r="K178" s="17"/>
      <c r="L178" s="17"/>
    </row>
    <row r="179" spans="1:12">
      <c r="A179" s="29"/>
      <c r="B179" s="18"/>
      <c r="C179" s="14" t="s">
        <v>116</v>
      </c>
      <c r="D179" s="20"/>
      <c r="F179" s="20"/>
      <c r="H179" s="25">
        <f>SUM(H177:H178)</f>
        <v>0</v>
      </c>
      <c r="I179" s="2"/>
      <c r="J179" s="17"/>
      <c r="K179" s="17"/>
      <c r="L179" s="17"/>
    </row>
    <row r="180" spans="1:12">
      <c r="A180" s="29"/>
      <c r="B180" s="26"/>
      <c r="C180" s="14"/>
      <c r="D180" s="20"/>
      <c r="F180" s="20"/>
      <c r="H180" s="20"/>
      <c r="I180" s="2"/>
      <c r="J180" s="17"/>
      <c r="K180" s="17"/>
      <c r="L180" s="17"/>
    </row>
    <row r="181" spans="1:12">
      <c r="A181" s="29"/>
      <c r="B181" s="26"/>
      <c r="C181" s="14" t="s">
        <v>117</v>
      </c>
      <c r="D181" s="20"/>
      <c r="F181" s="20"/>
      <c r="H181" s="20"/>
      <c r="I181" s="2"/>
      <c r="J181" s="17"/>
      <c r="K181" s="17"/>
      <c r="L181" s="17"/>
    </row>
    <row r="182" spans="1:12">
      <c r="A182" s="29"/>
      <c r="B182" s="18">
        <v>1</v>
      </c>
      <c r="C182" s="19"/>
      <c r="D182" s="20">
        <v>0</v>
      </c>
      <c r="E182" s="21">
        <v>1</v>
      </c>
      <c r="F182" s="20">
        <f>D182*E182</f>
        <v>0</v>
      </c>
      <c r="G182" s="21">
        <v>101</v>
      </c>
      <c r="H182" s="20">
        <f>F182*G182</f>
        <v>0</v>
      </c>
      <c r="I182" s="2"/>
      <c r="J182" s="17"/>
      <c r="K182" s="17"/>
      <c r="L182" s="17"/>
    </row>
    <row r="183" spans="1:12">
      <c r="A183" s="29"/>
      <c r="B183" s="18">
        <v>2</v>
      </c>
      <c r="C183" s="19"/>
      <c r="D183" s="20">
        <v>0</v>
      </c>
      <c r="E183" s="21">
        <v>1</v>
      </c>
      <c r="F183" s="20">
        <f>D183*E183</f>
        <v>0</v>
      </c>
      <c r="G183" s="21">
        <v>102</v>
      </c>
      <c r="H183" s="20">
        <f>F183*G183</f>
        <v>0</v>
      </c>
      <c r="I183" s="2"/>
      <c r="J183" s="17"/>
      <c r="K183" s="17"/>
      <c r="L183" s="17"/>
    </row>
    <row r="184" spans="1:12">
      <c r="A184" s="29"/>
      <c r="B184" s="18"/>
      <c r="C184" s="14" t="s">
        <v>118</v>
      </c>
      <c r="D184" s="20"/>
      <c r="F184" s="20"/>
      <c r="H184" s="25">
        <f>SUM(H182:H183)</f>
        <v>0</v>
      </c>
      <c r="I184" s="2"/>
      <c r="J184" s="17"/>
      <c r="K184" s="17"/>
      <c r="L184" s="17"/>
    </row>
    <row r="185" spans="1:12">
      <c r="A185" s="29"/>
      <c r="B185" s="26"/>
      <c r="C185" s="14"/>
      <c r="D185" s="20"/>
      <c r="F185" s="20"/>
      <c r="H185" s="20"/>
      <c r="I185" s="2"/>
      <c r="J185" s="17"/>
      <c r="K185" s="17"/>
      <c r="L185" s="17"/>
    </row>
    <row r="186" spans="1:12">
      <c r="A186" s="29"/>
      <c r="B186" s="26"/>
      <c r="C186" s="14" t="s">
        <v>119</v>
      </c>
      <c r="D186" s="20"/>
      <c r="F186" s="20"/>
      <c r="H186" s="20"/>
      <c r="I186" s="2"/>
      <c r="J186" s="17"/>
      <c r="K186" s="17"/>
      <c r="L186" s="17"/>
    </row>
    <row r="187" spans="1:12">
      <c r="A187" s="29"/>
      <c r="B187" s="18">
        <v>1</v>
      </c>
      <c r="C187" s="19"/>
      <c r="D187" s="20">
        <v>0</v>
      </c>
      <c r="E187" s="21">
        <v>1</v>
      </c>
      <c r="F187" s="20">
        <f>D187*E187</f>
        <v>0</v>
      </c>
      <c r="G187" s="21">
        <v>101</v>
      </c>
      <c r="H187" s="20">
        <f>F187*G187</f>
        <v>0</v>
      </c>
      <c r="I187" s="2"/>
      <c r="J187" s="17"/>
      <c r="K187" s="17"/>
      <c r="L187" s="17"/>
    </row>
    <row r="188" spans="1:12">
      <c r="A188" s="29"/>
      <c r="B188" s="18">
        <v>2</v>
      </c>
      <c r="C188" s="19"/>
      <c r="D188" s="20">
        <v>0</v>
      </c>
      <c r="E188" s="21">
        <v>1</v>
      </c>
      <c r="F188" s="20">
        <f>D188*E188</f>
        <v>0</v>
      </c>
      <c r="G188" s="21">
        <v>102</v>
      </c>
      <c r="H188" s="20">
        <f>F188*G188</f>
        <v>0</v>
      </c>
      <c r="I188" s="2"/>
      <c r="J188" s="17"/>
      <c r="K188" s="17"/>
      <c r="L188" s="17"/>
    </row>
    <row r="189" spans="1:12">
      <c r="A189" s="29"/>
      <c r="B189" s="18"/>
      <c r="C189" s="14" t="s">
        <v>120</v>
      </c>
      <c r="D189" s="20"/>
      <c r="F189" s="20"/>
      <c r="H189" s="25">
        <f>SUM(H187:H188)</f>
        <v>0</v>
      </c>
      <c r="I189" s="2"/>
      <c r="J189" s="17"/>
      <c r="K189" s="17"/>
      <c r="L189" s="17"/>
    </row>
    <row r="190" spans="1:12">
      <c r="A190" s="29"/>
      <c r="B190" s="26"/>
      <c r="C190" s="14"/>
      <c r="D190" s="20"/>
      <c r="F190" s="20"/>
      <c r="H190" s="20"/>
      <c r="I190" s="2"/>
      <c r="J190" s="17"/>
      <c r="K190" s="17"/>
      <c r="L190" s="17"/>
    </row>
    <row r="191" spans="1:12">
      <c r="A191" s="29"/>
      <c r="B191" s="26"/>
      <c r="C191" s="14" t="s">
        <v>121</v>
      </c>
      <c r="D191" s="20"/>
      <c r="F191" s="20"/>
      <c r="H191" s="20"/>
      <c r="I191" s="2"/>
      <c r="J191" s="17"/>
      <c r="K191" s="17"/>
      <c r="L191" s="17"/>
    </row>
    <row r="192" spans="1:12">
      <c r="A192" s="29"/>
      <c r="B192" s="18">
        <v>1</v>
      </c>
      <c r="C192" s="19"/>
      <c r="D192" s="20">
        <v>0</v>
      </c>
      <c r="E192" s="21">
        <v>1</v>
      </c>
      <c r="F192" s="20">
        <f>D192*E192</f>
        <v>0</v>
      </c>
      <c r="G192" s="21">
        <v>101</v>
      </c>
      <c r="H192" s="20">
        <f>F192*G192</f>
        <v>0</v>
      </c>
      <c r="I192" s="2"/>
      <c r="J192" s="17"/>
      <c r="K192" s="17"/>
      <c r="L192" s="17"/>
    </row>
    <row r="193" spans="1:12">
      <c r="A193" s="29"/>
      <c r="B193" s="18">
        <v>2</v>
      </c>
      <c r="C193" s="19"/>
      <c r="D193" s="20">
        <v>0</v>
      </c>
      <c r="E193" s="21">
        <v>1</v>
      </c>
      <c r="F193" s="20">
        <f>D193*E193</f>
        <v>0</v>
      </c>
      <c r="G193" s="21">
        <v>102</v>
      </c>
      <c r="H193" s="20">
        <f>F193*G193</f>
        <v>0</v>
      </c>
      <c r="I193" s="2"/>
      <c r="J193" s="17"/>
      <c r="K193" s="17"/>
      <c r="L193" s="17"/>
    </row>
    <row r="194" spans="1:12">
      <c r="A194" s="29"/>
      <c r="B194" s="18"/>
      <c r="C194" s="14" t="s">
        <v>122</v>
      </c>
      <c r="D194" s="20"/>
      <c r="F194" s="20"/>
      <c r="H194" s="25">
        <f>SUM(H192:H193)</f>
        <v>0</v>
      </c>
      <c r="I194" s="2"/>
      <c r="J194" s="17"/>
      <c r="K194" s="17"/>
      <c r="L194" s="17"/>
    </row>
    <row r="195" spans="1:12">
      <c r="A195" s="29"/>
      <c r="B195" s="26"/>
      <c r="C195" s="14"/>
      <c r="D195" s="20"/>
      <c r="F195" s="20"/>
      <c r="H195" s="20"/>
      <c r="I195" s="2"/>
      <c r="J195" s="17"/>
      <c r="K195" s="17"/>
      <c r="L195" s="17"/>
    </row>
    <row r="196" spans="1:12">
      <c r="A196" s="29"/>
      <c r="B196" s="26"/>
      <c r="C196" s="14" t="s">
        <v>123</v>
      </c>
      <c r="D196" s="20"/>
      <c r="F196" s="20"/>
      <c r="H196" s="20"/>
      <c r="I196" s="2"/>
      <c r="J196" s="17"/>
      <c r="K196" s="17"/>
      <c r="L196" s="17"/>
    </row>
    <row r="197" spans="1:12">
      <c r="A197" s="29"/>
      <c r="B197" s="18">
        <v>1</v>
      </c>
      <c r="C197" s="19"/>
      <c r="D197" s="20">
        <v>0</v>
      </c>
      <c r="E197" s="21">
        <v>1</v>
      </c>
      <c r="F197" s="20">
        <f>D197*E197</f>
        <v>0</v>
      </c>
      <c r="G197" s="21">
        <v>101</v>
      </c>
      <c r="H197" s="20">
        <f>F197*G197</f>
        <v>0</v>
      </c>
      <c r="I197" s="2"/>
      <c r="J197" s="17"/>
      <c r="K197" s="17"/>
      <c r="L197" s="17"/>
    </row>
    <row r="198" spans="1:12">
      <c r="A198" s="29"/>
      <c r="B198" s="18">
        <v>2</v>
      </c>
      <c r="C198" s="19"/>
      <c r="D198" s="20">
        <v>0</v>
      </c>
      <c r="E198" s="21">
        <v>1</v>
      </c>
      <c r="F198" s="20">
        <f>D198*E198</f>
        <v>0</v>
      </c>
      <c r="G198" s="21">
        <v>102</v>
      </c>
      <c r="H198" s="20">
        <f>F198*G198</f>
        <v>0</v>
      </c>
      <c r="I198" s="2"/>
      <c r="J198" s="17"/>
      <c r="K198" s="17"/>
      <c r="L198" s="17"/>
    </row>
    <row r="199" spans="1:12">
      <c r="A199" s="29"/>
      <c r="B199" s="18"/>
      <c r="C199" s="14" t="s">
        <v>124</v>
      </c>
      <c r="D199" s="20"/>
      <c r="F199" s="20"/>
      <c r="H199" s="25">
        <f>SUM(H197:H198)</f>
        <v>0</v>
      </c>
      <c r="I199" s="2"/>
      <c r="J199" s="17"/>
      <c r="K199" s="17"/>
      <c r="L199" s="17"/>
    </row>
    <row r="200" spans="1:12">
      <c r="A200" s="29"/>
      <c r="B200" s="26"/>
      <c r="C200" s="14"/>
      <c r="D200" s="20"/>
      <c r="F200" s="20"/>
      <c r="H200" s="20"/>
      <c r="I200" s="2"/>
      <c r="J200" s="17"/>
      <c r="K200" s="17"/>
      <c r="L200" s="17"/>
    </row>
    <row r="201" spans="1:12">
      <c r="A201" s="29"/>
      <c r="B201" s="26"/>
      <c r="C201" s="14" t="s">
        <v>125</v>
      </c>
      <c r="D201" s="20"/>
      <c r="F201" s="20"/>
      <c r="H201" s="20"/>
      <c r="I201" s="2"/>
      <c r="J201" s="17"/>
      <c r="K201" s="17"/>
      <c r="L201" s="17"/>
    </row>
    <row r="202" spans="1:12">
      <c r="A202" s="29"/>
      <c r="B202" s="18">
        <v>1</v>
      </c>
      <c r="C202" s="19"/>
      <c r="D202" s="20">
        <v>0</v>
      </c>
      <c r="E202" s="21">
        <v>1</v>
      </c>
      <c r="F202" s="20">
        <f>D202*E202</f>
        <v>0</v>
      </c>
      <c r="G202" s="21">
        <v>101</v>
      </c>
      <c r="H202" s="20">
        <f>F202*G202</f>
        <v>0</v>
      </c>
      <c r="I202" s="2"/>
      <c r="J202" s="17"/>
      <c r="K202" s="17"/>
      <c r="L202" s="17"/>
    </row>
    <row r="203" spans="1:12">
      <c r="A203" s="29"/>
      <c r="B203" s="18">
        <v>2</v>
      </c>
      <c r="C203" s="19"/>
      <c r="D203" s="20">
        <v>0</v>
      </c>
      <c r="E203" s="21">
        <v>1</v>
      </c>
      <c r="F203" s="20">
        <f>D203*E203</f>
        <v>0</v>
      </c>
      <c r="G203" s="21">
        <v>102</v>
      </c>
      <c r="H203" s="20">
        <f>F203*G203</f>
        <v>0</v>
      </c>
      <c r="I203" s="2"/>
      <c r="J203" s="17"/>
      <c r="K203" s="17"/>
      <c r="L203" s="17"/>
    </row>
    <row r="204" spans="1:12">
      <c r="A204" s="29"/>
      <c r="B204" s="18"/>
      <c r="C204" s="14" t="s">
        <v>126</v>
      </c>
      <c r="D204" s="20"/>
      <c r="F204" s="20"/>
      <c r="H204" s="25">
        <f>SUM(H202:H203)</f>
        <v>0</v>
      </c>
      <c r="I204" s="2"/>
      <c r="J204" s="17"/>
      <c r="K204" s="17"/>
      <c r="L204" s="17"/>
    </row>
    <row r="205" spans="1:12">
      <c r="A205" s="29"/>
      <c r="B205" s="18"/>
      <c r="C205" s="14"/>
      <c r="D205" s="20"/>
      <c r="F205" s="20"/>
      <c r="H205" s="25"/>
      <c r="I205" s="2"/>
      <c r="J205" s="17"/>
      <c r="K205" s="17"/>
      <c r="L205" s="17"/>
    </row>
    <row r="206" spans="1:12">
      <c r="A206" s="29"/>
      <c r="B206" s="26"/>
      <c r="C206" s="14" t="s">
        <v>127</v>
      </c>
      <c r="D206" s="20"/>
      <c r="F206" s="20"/>
      <c r="H206" s="20"/>
      <c r="I206" s="2"/>
      <c r="J206" s="17"/>
      <c r="K206" s="17"/>
      <c r="L206" s="17"/>
    </row>
    <row r="207" spans="1:12">
      <c r="A207" s="29"/>
      <c r="B207" s="18">
        <v>1</v>
      </c>
      <c r="C207" s="19"/>
      <c r="D207" s="20">
        <v>0</v>
      </c>
      <c r="E207" s="21">
        <v>1</v>
      </c>
      <c r="F207" s="20">
        <f>D207*E207</f>
        <v>0</v>
      </c>
      <c r="G207" s="21">
        <v>101</v>
      </c>
      <c r="H207" s="20">
        <f>F207*G207</f>
        <v>0</v>
      </c>
      <c r="I207" s="2"/>
      <c r="J207" s="17"/>
      <c r="K207" s="17"/>
      <c r="L207" s="17"/>
    </row>
    <row r="208" spans="1:12">
      <c r="A208" s="29"/>
      <c r="B208" s="18">
        <v>2</v>
      </c>
      <c r="C208" s="19"/>
      <c r="D208" s="20">
        <v>0</v>
      </c>
      <c r="E208" s="21">
        <v>1</v>
      </c>
      <c r="F208" s="20">
        <f>D208*E208</f>
        <v>0</v>
      </c>
      <c r="G208" s="21">
        <v>102</v>
      </c>
      <c r="H208" s="20">
        <f>F208*G208</f>
        <v>0</v>
      </c>
      <c r="I208" s="2"/>
      <c r="J208" s="17"/>
      <c r="K208" s="17"/>
      <c r="L208" s="17"/>
    </row>
    <row r="209" spans="1:12">
      <c r="A209" s="29"/>
      <c r="B209" s="18"/>
      <c r="C209" s="14" t="s">
        <v>128</v>
      </c>
      <c r="D209" s="20"/>
      <c r="F209" s="20"/>
      <c r="H209" s="25">
        <f>SUM(H207:H208)</f>
        <v>0</v>
      </c>
      <c r="I209" s="2"/>
      <c r="J209" s="17"/>
      <c r="K209" s="17"/>
      <c r="L209" s="17"/>
    </row>
    <row r="210" spans="1:12">
      <c r="A210" s="29"/>
      <c r="B210" s="18"/>
      <c r="C210" s="14"/>
      <c r="D210" s="20"/>
      <c r="F210" s="20"/>
      <c r="H210" s="25"/>
      <c r="I210" s="2"/>
      <c r="J210" s="17"/>
      <c r="K210" s="17"/>
      <c r="L210" s="17"/>
    </row>
    <row r="211" spans="1:12">
      <c r="A211" s="29"/>
      <c r="B211" s="26"/>
      <c r="C211" s="14" t="s">
        <v>129</v>
      </c>
      <c r="D211" s="20"/>
      <c r="F211" s="20"/>
      <c r="H211" s="25">
        <f>H174+H179+H184+H189+H194+H199+H204+H209</f>
        <v>898773.75</v>
      </c>
      <c r="I211" s="2"/>
      <c r="J211" s="17"/>
      <c r="K211" s="17"/>
      <c r="L211" s="17"/>
    </row>
    <row r="212" spans="1:12">
      <c r="A212" s="29"/>
      <c r="B212" s="26"/>
      <c r="C212" s="14"/>
      <c r="D212" s="20"/>
      <c r="F212" s="20"/>
      <c r="H212" s="20"/>
      <c r="I212" s="2"/>
      <c r="J212" s="17"/>
      <c r="K212" s="17"/>
      <c r="L212" s="17"/>
    </row>
    <row r="213" spans="1:12" s="2" customFormat="1">
      <c r="A213" s="32"/>
      <c r="B213" s="33"/>
      <c r="C213" s="14"/>
      <c r="D213" s="20"/>
      <c r="E213" s="21"/>
      <c r="F213" s="20"/>
      <c r="G213" s="21"/>
      <c r="H213" s="20"/>
      <c r="J213" s="17"/>
      <c r="K213" s="17"/>
      <c r="L213" s="17"/>
    </row>
    <row r="214" spans="1:12" ht="17.5" customHeight="1">
      <c r="A214" s="182" t="s">
        <v>345</v>
      </c>
      <c r="B214" s="35" t="s">
        <v>346</v>
      </c>
      <c r="C214" s="14" t="s">
        <v>131</v>
      </c>
      <c r="D214" s="20"/>
      <c r="F214" s="20"/>
      <c r="H214" s="20"/>
      <c r="I214" s="2"/>
      <c r="J214" s="17"/>
      <c r="K214" s="17"/>
      <c r="L214" s="17"/>
    </row>
    <row r="215" spans="1:12" ht="17.5" customHeight="1">
      <c r="A215" s="182"/>
      <c r="B215" s="36">
        <v>1</v>
      </c>
      <c r="C215" s="19"/>
      <c r="D215" s="20">
        <v>0</v>
      </c>
      <c r="E215" s="21">
        <v>1</v>
      </c>
      <c r="F215" s="20">
        <f>D215*E215</f>
        <v>0</v>
      </c>
      <c r="G215" s="21">
        <v>101</v>
      </c>
      <c r="H215" s="20">
        <f>F215*G215</f>
        <v>0</v>
      </c>
      <c r="I215" s="2"/>
      <c r="J215" s="17"/>
      <c r="K215" s="17"/>
      <c r="L215" s="17"/>
    </row>
    <row r="216" spans="1:12">
      <c r="A216" s="34"/>
      <c r="B216" s="36">
        <v>2</v>
      </c>
      <c r="C216" s="19"/>
      <c r="D216" s="20">
        <v>0</v>
      </c>
      <c r="E216" s="21">
        <v>1</v>
      </c>
      <c r="F216" s="20">
        <f>D216*E216</f>
        <v>0</v>
      </c>
      <c r="G216" s="21">
        <v>102</v>
      </c>
      <c r="H216" s="20">
        <f>F216*G216</f>
        <v>0</v>
      </c>
      <c r="I216" s="2"/>
      <c r="J216" s="17"/>
      <c r="K216" s="17"/>
      <c r="L216" s="17"/>
    </row>
    <row r="217" spans="1:12">
      <c r="A217" s="34"/>
      <c r="B217" s="36"/>
      <c r="C217" s="14" t="s">
        <v>132</v>
      </c>
      <c r="D217" s="20"/>
      <c r="F217" s="20"/>
      <c r="H217" s="25">
        <f>SUM(H215:H216)</f>
        <v>0</v>
      </c>
      <c r="I217" s="2"/>
      <c r="J217" s="17"/>
      <c r="K217" s="17"/>
      <c r="L217" s="17"/>
    </row>
    <row r="218" spans="1:12">
      <c r="A218" s="34"/>
      <c r="B218" s="35"/>
      <c r="C218" s="14"/>
      <c r="D218" s="20"/>
      <c r="F218" s="20"/>
      <c r="H218" s="20"/>
      <c r="I218" s="2"/>
      <c r="J218" s="17"/>
      <c r="K218" s="17"/>
      <c r="L218" s="17"/>
    </row>
    <row r="219" spans="1:12">
      <c r="A219" s="37"/>
      <c r="B219" s="38"/>
      <c r="C219" s="14" t="s">
        <v>133</v>
      </c>
      <c r="D219" s="20"/>
      <c r="F219" s="20"/>
      <c r="H219" s="20"/>
      <c r="I219" s="2"/>
      <c r="J219" s="17"/>
      <c r="K219" s="17"/>
      <c r="L219" s="17"/>
    </row>
    <row r="220" spans="1:12">
      <c r="A220" s="37"/>
      <c r="B220" s="36">
        <v>1</v>
      </c>
      <c r="C220" s="19"/>
      <c r="D220" s="20">
        <v>0</v>
      </c>
      <c r="E220" s="21">
        <v>1</v>
      </c>
      <c r="F220" s="20">
        <f>D220*E220</f>
        <v>0</v>
      </c>
      <c r="G220" s="21">
        <v>101</v>
      </c>
      <c r="H220" s="20">
        <f>F220*G220</f>
        <v>0</v>
      </c>
      <c r="I220" s="2"/>
      <c r="J220" s="17"/>
      <c r="K220" s="17"/>
      <c r="L220" s="17"/>
    </row>
    <row r="221" spans="1:12">
      <c r="A221" s="37"/>
      <c r="B221" s="36">
        <v>2</v>
      </c>
      <c r="C221" s="19"/>
      <c r="D221" s="20">
        <v>0</v>
      </c>
      <c r="E221" s="21">
        <v>1</v>
      </c>
      <c r="F221" s="20">
        <f>D221*E221</f>
        <v>0</v>
      </c>
      <c r="G221" s="21">
        <v>102</v>
      </c>
      <c r="H221" s="20">
        <f>F221*G221</f>
        <v>0</v>
      </c>
      <c r="I221" s="2"/>
      <c r="J221" s="17"/>
      <c r="K221" s="17"/>
      <c r="L221" s="17"/>
    </row>
    <row r="222" spans="1:12">
      <c r="A222" s="37"/>
      <c r="B222" s="36"/>
      <c r="C222" s="14" t="s">
        <v>134</v>
      </c>
      <c r="D222" s="20"/>
      <c r="F222" s="20"/>
      <c r="H222" s="25">
        <f>SUM(H220:H221)</f>
        <v>0</v>
      </c>
      <c r="I222" s="2"/>
      <c r="J222" s="17"/>
      <c r="K222" s="17"/>
      <c r="L222" s="17"/>
    </row>
    <row r="223" spans="1:12">
      <c r="A223" s="37"/>
      <c r="B223" s="38"/>
      <c r="C223" s="14"/>
      <c r="D223" s="20"/>
      <c r="F223" s="20"/>
      <c r="H223" s="20"/>
      <c r="I223" s="2"/>
      <c r="J223" s="17"/>
      <c r="K223" s="17"/>
      <c r="L223" s="17"/>
    </row>
    <row r="224" spans="1:12">
      <c r="A224" s="37"/>
      <c r="B224" s="38"/>
      <c r="C224" s="14" t="s">
        <v>135</v>
      </c>
      <c r="D224" s="20"/>
      <c r="F224" s="20"/>
      <c r="H224" s="20"/>
      <c r="I224" s="2"/>
      <c r="J224" s="17"/>
      <c r="K224" s="17"/>
      <c r="L224" s="17"/>
    </row>
    <row r="225" spans="1:12">
      <c r="A225" s="37"/>
      <c r="B225" s="36">
        <v>1</v>
      </c>
      <c r="C225" s="19"/>
      <c r="D225" s="20">
        <v>0</v>
      </c>
      <c r="E225" s="21">
        <v>1</v>
      </c>
      <c r="F225" s="20">
        <f>D225*E225</f>
        <v>0</v>
      </c>
      <c r="G225" s="21">
        <v>101</v>
      </c>
      <c r="H225" s="20">
        <f>F225*G225</f>
        <v>0</v>
      </c>
      <c r="I225" s="2"/>
      <c r="J225" s="17"/>
      <c r="K225" s="17"/>
      <c r="L225" s="17"/>
    </row>
    <row r="226" spans="1:12">
      <c r="A226" s="37"/>
      <c r="B226" s="36">
        <v>2</v>
      </c>
      <c r="C226" s="19"/>
      <c r="D226" s="20">
        <v>0</v>
      </c>
      <c r="E226" s="21">
        <v>1</v>
      </c>
      <c r="F226" s="20">
        <f>D226*E226</f>
        <v>0</v>
      </c>
      <c r="G226" s="21">
        <v>102</v>
      </c>
      <c r="H226" s="20">
        <f>F226*G226</f>
        <v>0</v>
      </c>
      <c r="I226" s="2"/>
      <c r="J226" s="17"/>
      <c r="K226" s="17"/>
      <c r="L226" s="17"/>
    </row>
    <row r="227" spans="1:12">
      <c r="A227" s="37"/>
      <c r="B227" s="36"/>
      <c r="C227" s="14" t="s">
        <v>136</v>
      </c>
      <c r="D227" s="20"/>
      <c r="F227" s="20"/>
      <c r="H227" s="25">
        <f>SUM(H225:H226)</f>
        <v>0</v>
      </c>
      <c r="I227" s="2"/>
      <c r="J227" s="17"/>
      <c r="K227" s="17"/>
      <c r="L227" s="17"/>
    </row>
    <row r="228" spans="1:12">
      <c r="A228" s="37"/>
      <c r="B228" s="38"/>
      <c r="C228" s="14"/>
      <c r="D228" s="20"/>
      <c r="F228" s="20"/>
      <c r="H228" s="20"/>
      <c r="I228" s="2"/>
      <c r="J228" s="17"/>
      <c r="K228" s="17"/>
      <c r="L228" s="17"/>
    </row>
    <row r="229" spans="1:12">
      <c r="A229" s="37"/>
      <c r="B229" s="38"/>
      <c r="C229" s="14" t="s">
        <v>137</v>
      </c>
      <c r="D229" s="20"/>
      <c r="F229" s="20"/>
      <c r="H229" s="20"/>
      <c r="I229" s="2"/>
      <c r="J229" s="17"/>
      <c r="K229" s="17"/>
      <c r="L229" s="17"/>
    </row>
    <row r="230" spans="1:12">
      <c r="A230" s="37"/>
      <c r="B230" s="36">
        <v>1</v>
      </c>
      <c r="C230" s="19"/>
      <c r="D230" s="20">
        <v>0</v>
      </c>
      <c r="E230" s="21">
        <v>1</v>
      </c>
      <c r="F230" s="20">
        <f>D230*E230</f>
        <v>0</v>
      </c>
      <c r="G230" s="21">
        <v>101</v>
      </c>
      <c r="H230" s="20">
        <f>F230*G230</f>
        <v>0</v>
      </c>
      <c r="I230" s="2"/>
      <c r="J230" s="17"/>
      <c r="K230" s="17"/>
      <c r="L230" s="17"/>
    </row>
    <row r="231" spans="1:12">
      <c r="A231" s="37"/>
      <c r="B231" s="36">
        <v>2</v>
      </c>
      <c r="C231" s="19"/>
      <c r="D231" s="20">
        <v>0</v>
      </c>
      <c r="E231" s="21">
        <v>1</v>
      </c>
      <c r="F231" s="20">
        <f>D231*E231</f>
        <v>0</v>
      </c>
      <c r="G231" s="21">
        <v>102</v>
      </c>
      <c r="H231" s="20">
        <f>F231*G231</f>
        <v>0</v>
      </c>
      <c r="I231" s="2"/>
      <c r="J231" s="17"/>
      <c r="K231" s="17"/>
      <c r="L231" s="17"/>
    </row>
    <row r="232" spans="1:12">
      <c r="A232" s="37"/>
      <c r="B232" s="36"/>
      <c r="C232" s="14" t="s">
        <v>138</v>
      </c>
      <c r="D232" s="20"/>
      <c r="F232" s="20"/>
      <c r="H232" s="25">
        <f>SUM(H230:H231)</f>
        <v>0</v>
      </c>
      <c r="I232" s="2"/>
      <c r="J232" s="17"/>
      <c r="K232" s="17"/>
      <c r="L232" s="17"/>
    </row>
    <row r="233" spans="1:12">
      <c r="A233" s="37"/>
      <c r="B233" s="38"/>
      <c r="C233" s="14"/>
      <c r="D233" s="20"/>
      <c r="F233" s="20"/>
      <c r="H233" s="20"/>
      <c r="I233" s="2"/>
      <c r="J233" s="17"/>
      <c r="K233" s="17"/>
      <c r="L233" s="17"/>
    </row>
    <row r="234" spans="1:12">
      <c r="A234" s="37"/>
      <c r="B234" s="38"/>
      <c r="C234" s="14" t="s">
        <v>139</v>
      </c>
      <c r="D234" s="20"/>
      <c r="F234" s="20"/>
      <c r="H234" s="20"/>
      <c r="I234" s="2"/>
      <c r="J234" s="17"/>
      <c r="K234" s="17"/>
      <c r="L234" s="17"/>
    </row>
    <row r="235" spans="1:12">
      <c r="A235" s="37"/>
      <c r="B235" s="36">
        <v>1</v>
      </c>
      <c r="C235" s="19" t="s">
        <v>347</v>
      </c>
      <c r="D235" s="20">
        <v>12</v>
      </c>
      <c r="E235" s="21">
        <v>1</v>
      </c>
      <c r="F235" s="20">
        <f>D235*E235</f>
        <v>12</v>
      </c>
      <c r="G235" s="69">
        <f>K43</f>
        <v>5384.6153846153802</v>
      </c>
      <c r="H235" s="20">
        <f>F235*G235</f>
        <v>64615.384615384566</v>
      </c>
      <c r="I235" s="2"/>
      <c r="J235" s="17"/>
      <c r="K235" s="17"/>
      <c r="L235" s="17"/>
    </row>
    <row r="236" spans="1:12">
      <c r="A236" s="37"/>
      <c r="B236" s="36">
        <v>2</v>
      </c>
      <c r="C236" s="19" t="s">
        <v>348</v>
      </c>
      <c r="D236" s="20">
        <v>10</v>
      </c>
      <c r="E236" s="21">
        <v>1</v>
      </c>
      <c r="F236" s="20">
        <f t="shared" ref="F236:F243" si="15">D236*E236</f>
        <v>10</v>
      </c>
      <c r="G236" s="69">
        <f>K44</f>
        <v>8307.6923076923104</v>
      </c>
      <c r="H236" s="20">
        <f t="shared" ref="H236:H244" si="16">F236*G236</f>
        <v>83076.923076923107</v>
      </c>
      <c r="I236" s="2"/>
      <c r="J236" s="17"/>
      <c r="K236" s="17"/>
      <c r="L236" s="17"/>
    </row>
    <row r="237" spans="1:12">
      <c r="A237" s="37"/>
      <c r="B237" s="36">
        <v>3</v>
      </c>
      <c r="C237" s="19" t="s">
        <v>349</v>
      </c>
      <c r="D237" s="20">
        <v>3</v>
      </c>
      <c r="E237" s="21">
        <v>1</v>
      </c>
      <c r="F237" s="20">
        <f t="shared" si="15"/>
        <v>3</v>
      </c>
      <c r="G237" s="69">
        <v>2013.02</v>
      </c>
      <c r="H237" s="20">
        <f t="shared" si="16"/>
        <v>6039.0599999999995</v>
      </c>
      <c r="I237" s="2"/>
      <c r="J237" s="17"/>
      <c r="K237" s="17"/>
      <c r="L237" s="17"/>
    </row>
    <row r="238" spans="1:12">
      <c r="A238" s="37"/>
      <c r="B238" s="36">
        <v>4</v>
      </c>
      <c r="C238" s="19" t="s">
        <v>350</v>
      </c>
      <c r="D238" s="20">
        <v>2</v>
      </c>
      <c r="E238" s="21">
        <v>1</v>
      </c>
      <c r="F238" s="20">
        <f t="shared" si="15"/>
        <v>2</v>
      </c>
      <c r="G238" s="69">
        <v>15961.538461538461</v>
      </c>
      <c r="H238" s="20">
        <f t="shared" si="16"/>
        <v>31923.076923076922</v>
      </c>
      <c r="I238" s="2"/>
      <c r="J238" s="17"/>
      <c r="K238" s="17"/>
      <c r="L238" s="17"/>
    </row>
    <row r="239" spans="1:12">
      <c r="A239" s="37"/>
      <c r="B239" s="36">
        <v>5</v>
      </c>
      <c r="C239" s="19" t="s">
        <v>45</v>
      </c>
      <c r="D239" s="20">
        <v>2.3279999999999998</v>
      </c>
      <c r="E239" s="21">
        <v>1</v>
      </c>
      <c r="F239" s="20">
        <f t="shared" si="15"/>
        <v>2.3279999999999998</v>
      </c>
      <c r="G239" s="69">
        <v>77.692307692307693</v>
      </c>
      <c r="H239" s="20">
        <f t="shared" si="16"/>
        <v>180.86769230769229</v>
      </c>
      <c r="I239" s="2"/>
      <c r="J239" s="17"/>
      <c r="K239" s="17"/>
      <c r="L239" s="17"/>
    </row>
    <row r="240" spans="1:12">
      <c r="A240" s="37"/>
      <c r="B240" s="36">
        <v>6</v>
      </c>
      <c r="C240" s="19" t="s">
        <v>351</v>
      </c>
      <c r="D240" s="20">
        <v>3.492</v>
      </c>
      <c r="E240" s="21">
        <v>1</v>
      </c>
      <c r="F240" s="20">
        <f t="shared" si="15"/>
        <v>3.492</v>
      </c>
      <c r="G240" s="69">
        <v>264.61538461538458</v>
      </c>
      <c r="H240" s="20">
        <f t="shared" si="16"/>
        <v>924.03692307692302</v>
      </c>
      <c r="I240" s="2"/>
      <c r="J240" s="17"/>
      <c r="K240" s="17"/>
      <c r="L240" s="17"/>
    </row>
    <row r="241" spans="1:12">
      <c r="A241" s="37"/>
      <c r="B241" s="36">
        <v>7</v>
      </c>
      <c r="C241" s="19" t="s">
        <v>352</v>
      </c>
      <c r="D241" s="20">
        <v>1.1639999999999999</v>
      </c>
      <c r="E241" s="21">
        <v>1</v>
      </c>
      <c r="F241" s="20">
        <f t="shared" si="15"/>
        <v>1.1639999999999999</v>
      </c>
      <c r="G241" s="69">
        <v>177.69230769230768</v>
      </c>
      <c r="H241" s="20">
        <f t="shared" si="16"/>
        <v>206.83384615384614</v>
      </c>
      <c r="I241" s="2"/>
      <c r="J241" s="17"/>
      <c r="K241" s="17"/>
      <c r="L241" s="17"/>
    </row>
    <row r="242" spans="1:12">
      <c r="A242" s="37"/>
      <c r="B242" s="36">
        <v>8</v>
      </c>
      <c r="C242" s="19" t="s">
        <v>353</v>
      </c>
      <c r="D242" s="20">
        <v>8.6400000000000001E-3</v>
      </c>
      <c r="E242" s="21">
        <v>1</v>
      </c>
      <c r="F242" s="20">
        <f t="shared" si="15"/>
        <v>8.6400000000000001E-3</v>
      </c>
      <c r="G242" s="69">
        <v>9000</v>
      </c>
      <c r="H242" s="20">
        <f t="shared" si="16"/>
        <v>77.760000000000005</v>
      </c>
      <c r="I242" s="2"/>
      <c r="J242" s="17"/>
      <c r="K242" s="17"/>
      <c r="L242" s="17"/>
    </row>
    <row r="243" spans="1:12">
      <c r="A243" s="37"/>
      <c r="B243" s="36">
        <v>9</v>
      </c>
      <c r="C243" s="19" t="s">
        <v>354</v>
      </c>
      <c r="D243" s="20">
        <v>2</v>
      </c>
      <c r="E243" s="21">
        <v>1</v>
      </c>
      <c r="F243" s="20">
        <f t="shared" si="15"/>
        <v>2</v>
      </c>
      <c r="G243" s="69">
        <v>230.76923076923077</v>
      </c>
      <c r="H243" s="20">
        <f t="shared" si="16"/>
        <v>461.53846153846155</v>
      </c>
      <c r="I243" s="2"/>
      <c r="J243" s="17"/>
      <c r="K243" s="17"/>
      <c r="L243" s="17"/>
    </row>
    <row r="244" spans="1:12">
      <c r="A244" s="37"/>
      <c r="B244" s="36"/>
      <c r="D244" s="20">
        <v>0</v>
      </c>
      <c r="E244" s="21">
        <v>0</v>
      </c>
      <c r="F244" s="20">
        <f>D244*E244</f>
        <v>0</v>
      </c>
      <c r="G244" s="69">
        <v>102</v>
      </c>
      <c r="H244" s="20">
        <f t="shared" si="16"/>
        <v>0</v>
      </c>
      <c r="I244" s="2"/>
      <c r="J244" s="17"/>
      <c r="K244" s="17"/>
      <c r="L244" s="17"/>
    </row>
    <row r="245" spans="1:12">
      <c r="A245" s="37"/>
      <c r="B245" s="36"/>
      <c r="C245" s="14" t="s">
        <v>140</v>
      </c>
      <c r="D245" s="20"/>
      <c r="F245" s="20"/>
      <c r="H245" s="25">
        <f>SUM(H235:H244)</f>
        <v>187505.48153846155</v>
      </c>
      <c r="I245" s="2"/>
      <c r="J245" s="17"/>
      <c r="K245" s="17"/>
      <c r="L245" s="17"/>
    </row>
    <row r="246" spans="1:12">
      <c r="A246" s="37"/>
      <c r="B246" s="38"/>
      <c r="C246" s="14"/>
      <c r="D246" s="20"/>
      <c r="F246" s="20"/>
      <c r="H246" s="20"/>
      <c r="I246" s="2"/>
      <c r="J246" s="17"/>
      <c r="K246" s="17"/>
      <c r="L246" s="17"/>
    </row>
    <row r="247" spans="1:12">
      <c r="A247" s="37"/>
      <c r="B247" s="38"/>
      <c r="C247" s="14" t="s">
        <v>141</v>
      </c>
      <c r="D247" s="20"/>
      <c r="F247" s="20"/>
      <c r="H247" s="20"/>
      <c r="I247" s="2"/>
      <c r="J247" s="17"/>
      <c r="K247" s="17"/>
      <c r="L247" s="17"/>
    </row>
    <row r="248" spans="1:12">
      <c r="A248" s="37"/>
      <c r="B248" s="36">
        <v>1</v>
      </c>
      <c r="C248" s="19" t="s">
        <v>284</v>
      </c>
      <c r="D248" s="20">
        <v>0</v>
      </c>
      <c r="E248" s="21">
        <v>1</v>
      </c>
      <c r="F248" s="20">
        <f>D248*E248</f>
        <v>0</v>
      </c>
      <c r="G248" s="21">
        <v>40000</v>
      </c>
      <c r="H248" s="20">
        <f>F248*G248</f>
        <v>0</v>
      </c>
      <c r="I248" s="2"/>
      <c r="J248" s="17"/>
      <c r="K248" s="17"/>
      <c r="L248" s="17"/>
    </row>
    <row r="249" spans="1:12">
      <c r="A249" s="37"/>
      <c r="B249" s="36">
        <v>2</v>
      </c>
      <c r="C249" s="40" t="s">
        <v>355</v>
      </c>
      <c r="D249" s="68">
        <v>1</v>
      </c>
      <c r="E249" s="69">
        <v>1</v>
      </c>
      <c r="F249" s="68">
        <f t="shared" ref="F249:F252" si="17">D249*E249</f>
        <v>1</v>
      </c>
      <c r="G249" s="69">
        <v>25000</v>
      </c>
      <c r="H249" s="68">
        <f t="shared" ref="H249:H252" si="18">F249*G249</f>
        <v>25000</v>
      </c>
      <c r="I249" s="2"/>
      <c r="J249" s="17"/>
      <c r="K249" s="17"/>
      <c r="L249" s="17"/>
    </row>
    <row r="250" spans="1:12">
      <c r="A250" s="37"/>
      <c r="B250" s="36">
        <v>3</v>
      </c>
      <c r="C250" s="19" t="s">
        <v>323</v>
      </c>
      <c r="D250" s="20">
        <v>1</v>
      </c>
      <c r="E250" s="21">
        <v>1</v>
      </c>
      <c r="F250" s="20">
        <f t="shared" si="17"/>
        <v>1</v>
      </c>
      <c r="G250" s="21">
        <v>40000</v>
      </c>
      <c r="H250" s="20">
        <f t="shared" si="18"/>
        <v>40000</v>
      </c>
      <c r="I250" s="2"/>
      <c r="J250" s="17"/>
      <c r="K250" s="17"/>
      <c r="L250" s="17"/>
    </row>
    <row r="251" spans="1:12">
      <c r="A251" s="37"/>
      <c r="B251" s="36">
        <v>4</v>
      </c>
      <c r="C251" s="19"/>
      <c r="D251" s="20">
        <v>0</v>
      </c>
      <c r="E251" s="21">
        <v>1</v>
      </c>
      <c r="F251" s="20">
        <f t="shared" si="17"/>
        <v>0</v>
      </c>
      <c r="G251" s="21">
        <v>104</v>
      </c>
      <c r="H251" s="20">
        <f t="shared" si="18"/>
        <v>0</v>
      </c>
      <c r="I251" s="2"/>
      <c r="J251" s="17"/>
      <c r="K251" s="17"/>
      <c r="L251" s="17"/>
    </row>
    <row r="252" spans="1:12">
      <c r="A252" s="37"/>
      <c r="B252" s="36">
        <v>5</v>
      </c>
      <c r="C252" s="19"/>
      <c r="D252" s="20">
        <v>0</v>
      </c>
      <c r="E252" s="21">
        <v>1</v>
      </c>
      <c r="F252" s="20">
        <f t="shared" si="17"/>
        <v>0</v>
      </c>
      <c r="G252" s="21">
        <v>105</v>
      </c>
      <c r="H252" s="20">
        <f t="shared" si="18"/>
        <v>0</v>
      </c>
      <c r="I252" s="2"/>
      <c r="J252" s="17"/>
      <c r="K252" s="17"/>
      <c r="L252" s="17"/>
    </row>
    <row r="253" spans="1:12">
      <c r="A253" s="37"/>
      <c r="B253" s="36"/>
      <c r="C253" s="14" t="s">
        <v>142</v>
      </c>
      <c r="D253" s="20"/>
      <c r="F253" s="20"/>
      <c r="H253" s="25">
        <f>SUM(H248:H252)</f>
        <v>65000</v>
      </c>
      <c r="I253" s="2"/>
      <c r="J253" s="17"/>
      <c r="K253" s="17"/>
      <c r="L253" s="17"/>
    </row>
    <row r="254" spans="1:12">
      <c r="A254" s="37"/>
      <c r="B254" s="38"/>
      <c r="C254" s="14"/>
      <c r="D254" s="20"/>
      <c r="F254" s="20"/>
      <c r="H254" s="20"/>
      <c r="I254" s="2"/>
      <c r="J254" s="17"/>
      <c r="K254" s="17"/>
      <c r="L254" s="17"/>
    </row>
    <row r="255" spans="1:12">
      <c r="A255" s="37"/>
      <c r="B255" s="38"/>
      <c r="C255" s="14" t="s">
        <v>143</v>
      </c>
      <c r="D255" s="20"/>
      <c r="F255" s="20"/>
      <c r="H255" s="20"/>
      <c r="I255" s="2"/>
      <c r="J255" s="17"/>
      <c r="K255" s="17"/>
      <c r="L255" s="17"/>
    </row>
    <row r="256" spans="1:12">
      <c r="A256" s="37"/>
      <c r="B256" s="36">
        <v>1</v>
      </c>
      <c r="C256" s="19" t="s">
        <v>356</v>
      </c>
      <c r="D256" s="20">
        <v>1</v>
      </c>
      <c r="E256" s="21">
        <v>1</v>
      </c>
      <c r="F256" s="20">
        <f>D256*E256</f>
        <v>1</v>
      </c>
      <c r="G256" s="21">
        <v>22076</v>
      </c>
      <c r="H256" s="20">
        <f>F256*G256</f>
        <v>22076</v>
      </c>
      <c r="I256" s="2"/>
      <c r="J256" s="17"/>
      <c r="K256" s="17"/>
      <c r="L256" s="17"/>
    </row>
    <row r="257" spans="1:12">
      <c r="A257" s="37"/>
      <c r="B257" s="36">
        <v>2</v>
      </c>
      <c r="C257" s="19" t="s">
        <v>357</v>
      </c>
      <c r="D257" s="20">
        <v>0</v>
      </c>
      <c r="E257" s="21">
        <v>1</v>
      </c>
      <c r="F257" s="20">
        <f t="shared" ref="F257:F266" si="19">D257*E257</f>
        <v>0</v>
      </c>
      <c r="G257" s="21">
        <v>12507</v>
      </c>
      <c r="H257" s="20">
        <f t="shared" ref="H257:H266" si="20">F257*G257</f>
        <v>0</v>
      </c>
      <c r="I257" s="2"/>
      <c r="J257" s="17"/>
      <c r="K257" s="17"/>
      <c r="L257" s="17"/>
    </row>
    <row r="258" spans="1:12">
      <c r="A258" s="37"/>
      <c r="B258" s="36">
        <v>3</v>
      </c>
      <c r="C258" s="19" t="s">
        <v>219</v>
      </c>
      <c r="D258" s="20">
        <v>1</v>
      </c>
      <c r="E258" s="21">
        <v>1</v>
      </c>
      <c r="F258" s="20">
        <f t="shared" si="19"/>
        <v>1</v>
      </c>
      <c r="G258" s="21">
        <v>12507</v>
      </c>
      <c r="H258" s="20">
        <f t="shared" si="20"/>
        <v>12507</v>
      </c>
      <c r="I258" s="2"/>
      <c r="J258" s="17"/>
      <c r="K258" s="17"/>
      <c r="L258" s="17"/>
    </row>
    <row r="259" spans="1:12">
      <c r="A259" s="37"/>
      <c r="B259" s="36">
        <v>4</v>
      </c>
      <c r="C259" s="19" t="s">
        <v>64</v>
      </c>
      <c r="D259" s="20">
        <v>1</v>
      </c>
      <c r="E259" s="21">
        <v>1</v>
      </c>
      <c r="F259" s="20">
        <f t="shared" si="19"/>
        <v>1</v>
      </c>
      <c r="G259" s="21">
        <v>12507</v>
      </c>
      <c r="H259" s="20">
        <f t="shared" si="20"/>
        <v>12507</v>
      </c>
      <c r="I259" s="2"/>
      <c r="J259" s="17"/>
      <c r="K259" s="17"/>
      <c r="L259" s="17"/>
    </row>
    <row r="260" spans="1:12">
      <c r="A260" s="37"/>
      <c r="B260" s="36">
        <v>5</v>
      </c>
      <c r="C260" s="19" t="s">
        <v>65</v>
      </c>
      <c r="D260" s="20">
        <v>1</v>
      </c>
      <c r="E260" s="21">
        <v>1</v>
      </c>
      <c r="F260" s="20">
        <f t="shared" si="19"/>
        <v>1</v>
      </c>
      <c r="G260" s="21">
        <v>12507</v>
      </c>
      <c r="H260" s="20">
        <f t="shared" si="20"/>
        <v>12507</v>
      </c>
      <c r="I260" s="2"/>
      <c r="J260" s="17"/>
      <c r="K260" s="17"/>
      <c r="L260" s="17"/>
    </row>
    <row r="261" spans="1:12">
      <c r="A261" s="37"/>
      <c r="B261" s="36">
        <v>6</v>
      </c>
      <c r="C261" s="19" t="s">
        <v>358</v>
      </c>
      <c r="D261" s="20">
        <v>2</v>
      </c>
      <c r="E261" s="21">
        <v>1</v>
      </c>
      <c r="F261" s="20">
        <f t="shared" si="19"/>
        <v>2</v>
      </c>
      <c r="G261" s="21">
        <v>12507</v>
      </c>
      <c r="H261" s="20">
        <f t="shared" si="20"/>
        <v>25014</v>
      </c>
      <c r="I261" s="2"/>
      <c r="J261" s="17"/>
      <c r="K261" s="17"/>
      <c r="L261" s="17"/>
    </row>
    <row r="262" spans="1:12">
      <c r="A262" s="37"/>
      <c r="B262" s="36">
        <v>7</v>
      </c>
      <c r="C262" s="19" t="s">
        <v>222</v>
      </c>
      <c r="D262" s="20">
        <v>3.6</v>
      </c>
      <c r="E262" s="21">
        <v>1</v>
      </c>
      <c r="F262" s="20">
        <f t="shared" si="19"/>
        <v>3.6</v>
      </c>
      <c r="G262" s="21">
        <v>12507</v>
      </c>
      <c r="H262" s="20">
        <f t="shared" si="20"/>
        <v>45025.200000000004</v>
      </c>
      <c r="I262" s="2"/>
      <c r="J262" s="17"/>
      <c r="K262" s="17"/>
      <c r="L262" s="17"/>
    </row>
    <row r="263" spans="1:12">
      <c r="A263" s="37"/>
      <c r="B263" s="36">
        <v>8</v>
      </c>
      <c r="C263" s="19" t="s">
        <v>359</v>
      </c>
      <c r="D263" s="20">
        <v>0</v>
      </c>
      <c r="E263" s="21">
        <v>1</v>
      </c>
      <c r="F263" s="20">
        <f t="shared" si="19"/>
        <v>0</v>
      </c>
      <c r="G263" s="21">
        <v>12507</v>
      </c>
      <c r="H263" s="20">
        <f t="shared" si="20"/>
        <v>0</v>
      </c>
      <c r="I263" s="2"/>
      <c r="J263" s="17"/>
      <c r="K263" s="17"/>
      <c r="L263" s="17"/>
    </row>
    <row r="264" spans="1:12">
      <c r="A264" s="37"/>
      <c r="B264" s="36">
        <v>9</v>
      </c>
      <c r="C264" s="19" t="s">
        <v>223</v>
      </c>
      <c r="D264" s="20">
        <v>1</v>
      </c>
      <c r="E264" s="21">
        <v>1</v>
      </c>
      <c r="F264" s="20">
        <f t="shared" si="19"/>
        <v>1</v>
      </c>
      <c r="G264" s="21">
        <v>31769</v>
      </c>
      <c r="H264" s="20">
        <f t="shared" si="20"/>
        <v>31769</v>
      </c>
      <c r="I264" s="2"/>
      <c r="J264" s="17"/>
      <c r="K264" s="17"/>
      <c r="L264" s="17"/>
    </row>
    <row r="265" spans="1:12">
      <c r="A265" s="37"/>
      <c r="B265" s="36">
        <v>10</v>
      </c>
      <c r="C265" s="19" t="s">
        <v>360</v>
      </c>
      <c r="D265" s="20">
        <v>0</v>
      </c>
      <c r="E265" s="21">
        <v>1</v>
      </c>
      <c r="F265" s="20">
        <f t="shared" si="19"/>
        <v>0</v>
      </c>
      <c r="G265" s="21">
        <v>31769</v>
      </c>
      <c r="H265" s="20">
        <f t="shared" si="20"/>
        <v>0</v>
      </c>
      <c r="I265" s="2"/>
      <c r="J265" s="17"/>
      <c r="K265" s="17"/>
      <c r="L265" s="17"/>
    </row>
    <row r="266" spans="1:12">
      <c r="A266" s="37"/>
      <c r="B266" s="36">
        <v>11</v>
      </c>
      <c r="C266" s="19"/>
      <c r="D266" s="20">
        <v>0</v>
      </c>
      <c r="E266" s="21">
        <v>0</v>
      </c>
      <c r="F266" s="20">
        <f t="shared" si="19"/>
        <v>0</v>
      </c>
      <c r="G266" s="21">
        <v>111</v>
      </c>
      <c r="H266" s="20">
        <f t="shared" si="20"/>
        <v>0</v>
      </c>
      <c r="I266" s="2"/>
      <c r="J266" s="17"/>
      <c r="K266" s="17"/>
      <c r="L266" s="17"/>
    </row>
    <row r="267" spans="1:12">
      <c r="A267" s="37"/>
      <c r="B267" s="36">
        <v>12</v>
      </c>
      <c r="C267" s="19"/>
      <c r="D267" s="20">
        <v>0</v>
      </c>
      <c r="E267" s="21">
        <v>0</v>
      </c>
      <c r="F267" s="20">
        <f>D267*E267</f>
        <v>0</v>
      </c>
      <c r="G267" s="21">
        <v>102</v>
      </c>
      <c r="H267" s="20">
        <f>F267*G267</f>
        <v>0</v>
      </c>
      <c r="I267" s="2"/>
      <c r="J267" s="17"/>
      <c r="K267" s="17"/>
      <c r="L267" s="17"/>
    </row>
    <row r="268" spans="1:12">
      <c r="A268" s="37"/>
      <c r="B268" s="36"/>
      <c r="C268" s="14" t="s">
        <v>144</v>
      </c>
      <c r="D268" s="20"/>
      <c r="F268" s="20"/>
      <c r="H268" s="25">
        <f>SUM(H256:H267)</f>
        <v>161405.20000000001</v>
      </c>
      <c r="I268" s="2"/>
      <c r="J268" s="17"/>
      <c r="K268" s="17"/>
      <c r="L268" s="17"/>
    </row>
    <row r="269" spans="1:12">
      <c r="A269" s="37"/>
      <c r="B269" s="36"/>
      <c r="C269" s="14"/>
      <c r="D269" s="20"/>
      <c r="F269" s="20"/>
      <c r="H269" s="25"/>
      <c r="I269" s="2"/>
      <c r="J269" s="17"/>
      <c r="K269" s="17"/>
      <c r="L269" s="17"/>
    </row>
    <row r="270" spans="1:12">
      <c r="A270" s="37"/>
      <c r="B270" s="38"/>
      <c r="C270" s="14" t="s">
        <v>145</v>
      </c>
      <c r="D270" s="20"/>
      <c r="F270" s="20"/>
      <c r="H270" s="20"/>
      <c r="I270" s="2"/>
      <c r="J270" s="17"/>
      <c r="K270" s="17"/>
      <c r="L270" s="17"/>
    </row>
    <row r="271" spans="1:12">
      <c r="A271" s="37"/>
      <c r="B271" s="36">
        <v>1</v>
      </c>
      <c r="C271" s="40" t="s">
        <v>361</v>
      </c>
      <c r="D271" s="20">
        <v>2</v>
      </c>
      <c r="E271" s="21">
        <v>1</v>
      </c>
      <c r="F271" s="20">
        <f>D271*E271</f>
        <v>2</v>
      </c>
      <c r="G271" s="21">
        <f>K47</f>
        <v>576900</v>
      </c>
      <c r="H271" s="20">
        <f>F271*G271</f>
        <v>1153800</v>
      </c>
      <c r="I271" s="2"/>
      <c r="J271" s="17"/>
      <c r="K271" s="17"/>
      <c r="L271" s="17"/>
    </row>
    <row r="272" spans="1:12">
      <c r="A272" s="37"/>
      <c r="B272" s="36">
        <v>2</v>
      </c>
      <c r="C272" s="19" t="s">
        <v>269</v>
      </c>
      <c r="D272" s="20">
        <v>2</v>
      </c>
      <c r="E272" s="21">
        <v>1</v>
      </c>
      <c r="F272" s="20">
        <f t="shared" ref="F272:F279" si="21">D272*E272</f>
        <v>2</v>
      </c>
      <c r="G272" s="21">
        <v>30770</v>
      </c>
      <c r="H272" s="20">
        <f t="shared" ref="H272:H279" si="22">F272*G272</f>
        <v>61540</v>
      </c>
      <c r="I272" s="2"/>
      <c r="J272" s="17"/>
      <c r="K272" s="17"/>
      <c r="L272" s="17"/>
    </row>
    <row r="273" spans="1:12">
      <c r="A273" s="37"/>
      <c r="B273" s="36">
        <v>3</v>
      </c>
      <c r="C273" s="19" t="s">
        <v>362</v>
      </c>
      <c r="D273" s="20">
        <v>4</v>
      </c>
      <c r="E273" s="21">
        <v>1</v>
      </c>
      <c r="F273" s="20">
        <f t="shared" si="21"/>
        <v>4</v>
      </c>
      <c r="G273" s="21">
        <v>30770</v>
      </c>
      <c r="H273" s="20">
        <f t="shared" si="22"/>
        <v>123080</v>
      </c>
      <c r="I273" s="2"/>
      <c r="J273" s="17"/>
      <c r="K273" s="17"/>
      <c r="L273" s="17"/>
    </row>
    <row r="274" spans="1:12">
      <c r="A274" s="37"/>
      <c r="B274" s="36">
        <v>4</v>
      </c>
      <c r="C274" s="19" t="s">
        <v>363</v>
      </c>
      <c r="D274" s="20">
        <v>4</v>
      </c>
      <c r="E274" s="21">
        <v>1</v>
      </c>
      <c r="F274" s="20">
        <f t="shared" si="21"/>
        <v>4</v>
      </c>
      <c r="G274" s="21">
        <v>30770</v>
      </c>
      <c r="H274" s="20">
        <f t="shared" si="22"/>
        <v>123080</v>
      </c>
      <c r="I274" s="2"/>
      <c r="J274" s="17"/>
      <c r="K274" s="17"/>
      <c r="L274" s="17"/>
    </row>
    <row r="275" spans="1:12">
      <c r="A275" s="37"/>
      <c r="B275" s="36">
        <v>5</v>
      </c>
      <c r="C275" s="19" t="s">
        <v>364</v>
      </c>
      <c r="D275" s="20">
        <v>4</v>
      </c>
      <c r="E275" s="21">
        <v>1</v>
      </c>
      <c r="F275" s="20">
        <f t="shared" si="21"/>
        <v>4</v>
      </c>
      <c r="G275" s="21">
        <v>30770</v>
      </c>
      <c r="H275" s="20">
        <f t="shared" si="22"/>
        <v>123080</v>
      </c>
      <c r="I275" s="2"/>
      <c r="J275" s="17"/>
      <c r="K275" s="17"/>
      <c r="L275" s="17"/>
    </row>
    <row r="276" spans="1:12">
      <c r="A276" s="37"/>
      <c r="B276" s="36">
        <v>6</v>
      </c>
      <c r="C276" s="19" t="s">
        <v>78</v>
      </c>
      <c r="D276" s="20">
        <v>2</v>
      </c>
      <c r="E276" s="21">
        <v>1</v>
      </c>
      <c r="F276" s="20">
        <f t="shared" si="21"/>
        <v>2</v>
      </c>
      <c r="G276" s="21">
        <v>180000</v>
      </c>
      <c r="H276" s="20">
        <f t="shared" si="22"/>
        <v>360000</v>
      </c>
      <c r="I276" s="2"/>
      <c r="J276" s="17"/>
      <c r="K276" s="17"/>
      <c r="L276" s="17"/>
    </row>
    <row r="277" spans="1:12">
      <c r="A277" s="37"/>
      <c r="B277" s="36">
        <v>7</v>
      </c>
      <c r="C277" s="19"/>
      <c r="D277" s="20">
        <v>0</v>
      </c>
      <c r="E277" s="21">
        <v>1</v>
      </c>
      <c r="F277" s="20">
        <f t="shared" si="21"/>
        <v>0</v>
      </c>
      <c r="G277" s="21">
        <v>100</v>
      </c>
      <c r="H277" s="20">
        <f t="shared" si="22"/>
        <v>0</v>
      </c>
      <c r="I277" s="2"/>
      <c r="J277" s="17"/>
      <c r="K277" s="17"/>
      <c r="L277" s="17"/>
    </row>
    <row r="278" spans="1:12">
      <c r="A278" s="37"/>
      <c r="B278" s="36">
        <v>8</v>
      </c>
      <c r="C278" s="19"/>
      <c r="D278" s="20">
        <v>0</v>
      </c>
      <c r="E278" s="21">
        <v>1</v>
      </c>
      <c r="F278" s="20">
        <f t="shared" si="21"/>
        <v>0</v>
      </c>
      <c r="G278" s="21">
        <v>100</v>
      </c>
      <c r="H278" s="20">
        <f t="shared" si="22"/>
        <v>0</v>
      </c>
      <c r="I278" s="2"/>
      <c r="J278" s="17"/>
      <c r="K278" s="17"/>
      <c r="L278" s="17"/>
    </row>
    <row r="279" spans="1:12">
      <c r="A279" s="37"/>
      <c r="B279" s="36">
        <v>9</v>
      </c>
      <c r="C279" s="19"/>
      <c r="D279" s="20">
        <v>0</v>
      </c>
      <c r="E279" s="21">
        <v>1</v>
      </c>
      <c r="F279" s="20">
        <f t="shared" si="21"/>
        <v>0</v>
      </c>
      <c r="G279" s="21">
        <v>100</v>
      </c>
      <c r="H279" s="20">
        <f t="shared" si="22"/>
        <v>0</v>
      </c>
      <c r="I279" s="2"/>
      <c r="J279" s="17"/>
      <c r="K279" s="17"/>
      <c r="L279" s="17"/>
    </row>
    <row r="280" spans="1:12">
      <c r="A280" s="37"/>
      <c r="B280" s="36">
        <v>10</v>
      </c>
      <c r="C280" s="19"/>
      <c r="D280" s="20">
        <v>0</v>
      </c>
      <c r="E280" s="21">
        <v>1</v>
      </c>
      <c r="F280" s="20">
        <f>D280*E280</f>
        <v>0</v>
      </c>
      <c r="G280" s="21">
        <v>0</v>
      </c>
      <c r="H280" s="20">
        <f>F280*G280</f>
        <v>0</v>
      </c>
      <c r="I280" s="2"/>
      <c r="J280" s="17"/>
      <c r="K280" s="17"/>
      <c r="L280" s="17"/>
    </row>
    <row r="281" spans="1:12">
      <c r="A281" s="37"/>
      <c r="B281" s="36"/>
      <c r="C281" s="14" t="s">
        <v>146</v>
      </c>
      <c r="D281" s="20"/>
      <c r="F281" s="20"/>
      <c r="H281" s="25">
        <f>SUM(H271:H280)</f>
        <v>1944580</v>
      </c>
      <c r="I281" s="2"/>
      <c r="J281" s="17"/>
      <c r="K281" s="17"/>
      <c r="L281" s="17"/>
    </row>
    <row r="282" spans="1:12">
      <c r="A282" s="37"/>
      <c r="B282" s="36"/>
      <c r="C282" s="14"/>
      <c r="D282" s="20"/>
      <c r="F282" s="20"/>
      <c r="H282" s="25"/>
      <c r="I282" s="2"/>
      <c r="J282" s="17"/>
      <c r="K282" s="17"/>
      <c r="L282" s="17"/>
    </row>
    <row r="283" spans="1:12">
      <c r="A283" s="37"/>
      <c r="B283" s="38"/>
      <c r="C283" s="14" t="s">
        <v>147</v>
      </c>
      <c r="D283" s="20"/>
      <c r="F283" s="20"/>
      <c r="H283" s="25">
        <f>H217+H222+H227+H232+H245+H253+H268+H281</f>
        <v>2358490.6815384617</v>
      </c>
      <c r="I283" s="2"/>
      <c r="J283" s="17"/>
      <c r="K283" s="17"/>
      <c r="L283" s="17"/>
    </row>
    <row r="284" spans="1:12">
      <c r="A284" s="37"/>
      <c r="B284" s="38"/>
      <c r="C284" s="14"/>
      <c r="D284" s="20"/>
      <c r="F284" s="20"/>
      <c r="H284" s="20"/>
      <c r="I284" s="2"/>
      <c r="J284" s="17"/>
      <c r="K284" s="17"/>
      <c r="L284" s="17"/>
    </row>
    <row r="285" spans="1:12">
      <c r="A285" s="37"/>
      <c r="B285" s="35" t="s">
        <v>365</v>
      </c>
      <c r="C285" s="14" t="s">
        <v>149</v>
      </c>
      <c r="D285" s="20"/>
      <c r="F285" s="20"/>
      <c r="H285" s="20"/>
      <c r="I285" s="2"/>
      <c r="J285" s="17"/>
      <c r="K285" s="17"/>
      <c r="L285" s="17"/>
    </row>
    <row r="286" spans="1:12">
      <c r="A286" s="37"/>
      <c r="B286" s="36">
        <v>1</v>
      </c>
      <c r="C286" s="19" t="s">
        <v>327</v>
      </c>
      <c r="D286" s="20">
        <v>1</v>
      </c>
      <c r="E286" s="21">
        <f t="shared" ref="E286:E293" si="23">5.5*60</f>
        <v>330</v>
      </c>
      <c r="F286" s="20">
        <f>D286*E286</f>
        <v>330</v>
      </c>
      <c r="G286" s="21">
        <v>460.41666666666669</v>
      </c>
      <c r="H286" s="20">
        <f>F286*G286</f>
        <v>151937.5</v>
      </c>
      <c r="I286" s="2"/>
      <c r="J286" s="17"/>
      <c r="K286" s="17"/>
      <c r="L286" s="17"/>
    </row>
    <row r="287" spans="1:12">
      <c r="A287" s="37"/>
      <c r="B287" s="36">
        <v>2</v>
      </c>
      <c r="C287" s="19" t="s">
        <v>366</v>
      </c>
      <c r="D287" s="20">
        <v>0</v>
      </c>
      <c r="E287" s="21">
        <f t="shared" si="23"/>
        <v>330</v>
      </c>
      <c r="F287" s="20">
        <f>D287*E287</f>
        <v>0</v>
      </c>
      <c r="G287" s="21">
        <v>460.41666666666669</v>
      </c>
      <c r="H287" s="20">
        <f>F287*G287</f>
        <v>0</v>
      </c>
      <c r="I287" s="2"/>
      <c r="J287" s="17"/>
      <c r="K287" s="17"/>
      <c r="L287" s="17"/>
    </row>
    <row r="288" spans="1:12">
      <c r="A288" s="37"/>
      <c r="B288" s="36">
        <v>3</v>
      </c>
      <c r="C288" s="19" t="s">
        <v>328</v>
      </c>
      <c r="D288" s="20">
        <v>2</v>
      </c>
      <c r="E288" s="21">
        <f t="shared" si="23"/>
        <v>330</v>
      </c>
      <c r="F288" s="20">
        <f t="shared" ref="F288:F302" si="24">D288*E288</f>
        <v>660</v>
      </c>
      <c r="G288" s="21">
        <v>203.54166666666666</v>
      </c>
      <c r="H288" s="20">
        <f t="shared" ref="H288:H302" si="25">F288*G288</f>
        <v>134337.5</v>
      </c>
      <c r="I288" s="2"/>
      <c r="J288" s="17"/>
      <c r="K288" s="17"/>
      <c r="L288" s="17"/>
    </row>
    <row r="289" spans="1:12">
      <c r="A289" s="37"/>
      <c r="B289" s="36">
        <v>4</v>
      </c>
      <c r="C289" s="19" t="s">
        <v>329</v>
      </c>
      <c r="D289" s="20">
        <v>1</v>
      </c>
      <c r="E289" s="21">
        <f t="shared" si="23"/>
        <v>330</v>
      </c>
      <c r="F289" s="20">
        <f t="shared" si="24"/>
        <v>330</v>
      </c>
      <c r="G289" s="21">
        <v>75.833333333333329</v>
      </c>
      <c r="H289" s="20">
        <f t="shared" si="25"/>
        <v>25025</v>
      </c>
      <c r="I289" s="2"/>
      <c r="J289" s="17"/>
      <c r="K289" s="17"/>
      <c r="L289" s="17"/>
    </row>
    <row r="290" spans="1:12">
      <c r="A290" s="37"/>
      <c r="B290" s="36">
        <v>5</v>
      </c>
      <c r="C290" s="19" t="s">
        <v>330</v>
      </c>
      <c r="D290" s="20">
        <v>1</v>
      </c>
      <c r="E290" s="21">
        <f t="shared" si="23"/>
        <v>330</v>
      </c>
      <c r="F290" s="20">
        <f t="shared" si="24"/>
        <v>330</v>
      </c>
      <c r="G290" s="21">
        <v>264.47916666666669</v>
      </c>
      <c r="H290" s="20">
        <f t="shared" si="25"/>
        <v>87278.125</v>
      </c>
      <c r="I290" s="2"/>
      <c r="J290" s="17"/>
      <c r="K290" s="17"/>
      <c r="L290" s="17"/>
    </row>
    <row r="291" spans="1:12">
      <c r="A291" s="37"/>
      <c r="B291" s="36">
        <v>6</v>
      </c>
      <c r="C291" s="19" t="s">
        <v>331</v>
      </c>
      <c r="D291" s="20">
        <v>1</v>
      </c>
      <c r="E291" s="21">
        <f t="shared" si="23"/>
        <v>330</v>
      </c>
      <c r="F291" s="20">
        <f t="shared" si="24"/>
        <v>330</v>
      </c>
      <c r="G291" s="21">
        <v>176.77083333333334</v>
      </c>
      <c r="H291" s="20">
        <f t="shared" si="25"/>
        <v>58334.375</v>
      </c>
      <c r="I291" s="2"/>
      <c r="J291" s="17"/>
      <c r="K291" s="17"/>
      <c r="L291" s="17"/>
    </row>
    <row r="292" spans="1:12">
      <c r="A292" s="37"/>
      <c r="B292" s="36">
        <v>7</v>
      </c>
      <c r="C292" s="19" t="s">
        <v>332</v>
      </c>
      <c r="D292" s="20">
        <v>1</v>
      </c>
      <c r="E292" s="21">
        <f t="shared" si="23"/>
        <v>330</v>
      </c>
      <c r="F292" s="20">
        <f t="shared" si="24"/>
        <v>330</v>
      </c>
      <c r="G292" s="21">
        <v>129.79166666666666</v>
      </c>
      <c r="H292" s="20">
        <f t="shared" si="25"/>
        <v>42831.25</v>
      </c>
      <c r="I292" s="2"/>
      <c r="J292" s="17"/>
      <c r="K292" s="17"/>
      <c r="L292" s="17"/>
    </row>
    <row r="293" spans="1:12">
      <c r="A293" s="37"/>
      <c r="B293" s="36">
        <v>8</v>
      </c>
      <c r="C293" s="19" t="s">
        <v>333</v>
      </c>
      <c r="D293" s="20">
        <v>1</v>
      </c>
      <c r="E293" s="21">
        <f t="shared" si="23"/>
        <v>330</v>
      </c>
      <c r="F293" s="20">
        <f t="shared" si="24"/>
        <v>330</v>
      </c>
      <c r="G293" s="21">
        <v>75.833333333333329</v>
      </c>
      <c r="H293" s="20">
        <f t="shared" si="25"/>
        <v>25025</v>
      </c>
      <c r="I293" s="2"/>
      <c r="J293" s="17"/>
      <c r="K293" s="17"/>
      <c r="L293" s="17"/>
    </row>
    <row r="294" spans="1:12">
      <c r="A294" s="37"/>
      <c r="B294" s="36">
        <v>9</v>
      </c>
      <c r="C294" s="19" t="s">
        <v>334</v>
      </c>
      <c r="D294" s="20">
        <v>1</v>
      </c>
      <c r="E294" s="21">
        <f>3.75*60</f>
        <v>225</v>
      </c>
      <c r="F294" s="20">
        <f t="shared" si="24"/>
        <v>225</v>
      </c>
      <c r="G294" s="21">
        <v>511.45833333333331</v>
      </c>
      <c r="H294" s="20">
        <f t="shared" si="25"/>
        <v>115078.125</v>
      </c>
      <c r="I294" s="2"/>
      <c r="J294" s="17"/>
      <c r="K294" s="17"/>
      <c r="L294" s="17"/>
    </row>
    <row r="295" spans="1:12">
      <c r="A295" s="37"/>
      <c r="B295" s="36">
        <v>10</v>
      </c>
      <c r="C295" s="19" t="s">
        <v>335</v>
      </c>
      <c r="D295" s="20">
        <v>1</v>
      </c>
      <c r="E295" s="21">
        <f>3.75*60</f>
        <v>225</v>
      </c>
      <c r="F295" s="20">
        <f t="shared" si="24"/>
        <v>225</v>
      </c>
      <c r="G295" s="21">
        <v>460.41666666666669</v>
      </c>
      <c r="H295" s="20">
        <f t="shared" si="25"/>
        <v>103593.75</v>
      </c>
      <c r="I295" s="2"/>
      <c r="J295" s="17"/>
      <c r="K295" s="17"/>
      <c r="L295" s="17"/>
    </row>
    <row r="296" spans="1:12">
      <c r="A296" s="37"/>
      <c r="B296" s="36">
        <v>11</v>
      </c>
      <c r="C296" s="19" t="s">
        <v>367</v>
      </c>
      <c r="D296" s="20">
        <v>2</v>
      </c>
      <c r="E296" s="21">
        <f>3.75*60</f>
        <v>225</v>
      </c>
      <c r="F296" s="20">
        <f t="shared" si="24"/>
        <v>450</v>
      </c>
      <c r="G296" s="21">
        <v>432.70833333333331</v>
      </c>
      <c r="H296" s="20">
        <f t="shared" si="25"/>
        <v>194718.75</v>
      </c>
      <c r="I296" s="2"/>
      <c r="J296" s="17"/>
      <c r="K296" s="17"/>
      <c r="L296" s="17"/>
    </row>
    <row r="297" spans="1:12">
      <c r="A297" s="37"/>
      <c r="B297" s="36">
        <v>12</v>
      </c>
      <c r="C297" s="19" t="s">
        <v>336</v>
      </c>
      <c r="D297" s="20">
        <v>0</v>
      </c>
      <c r="E297" s="21">
        <v>1</v>
      </c>
      <c r="F297" s="20">
        <f t="shared" si="24"/>
        <v>0</v>
      </c>
      <c r="G297" s="21">
        <v>460.41666666666669</v>
      </c>
      <c r="H297" s="20">
        <f t="shared" si="25"/>
        <v>0</v>
      </c>
      <c r="I297" s="2"/>
      <c r="J297" s="17"/>
      <c r="K297" s="17"/>
      <c r="L297" s="17"/>
    </row>
    <row r="298" spans="1:12">
      <c r="A298" s="37"/>
      <c r="B298" s="36">
        <v>13</v>
      </c>
      <c r="C298" s="19" t="s">
        <v>337</v>
      </c>
      <c r="D298" s="20">
        <v>0</v>
      </c>
      <c r="E298" s="21">
        <v>1</v>
      </c>
      <c r="F298" s="20">
        <f t="shared" si="24"/>
        <v>0</v>
      </c>
      <c r="G298" s="21">
        <v>357.39583333333331</v>
      </c>
      <c r="H298" s="20">
        <f t="shared" si="25"/>
        <v>0</v>
      </c>
      <c r="I298" s="2"/>
      <c r="J298" s="17"/>
      <c r="K298" s="17"/>
      <c r="L298" s="17"/>
    </row>
    <row r="299" spans="1:12">
      <c r="A299" s="37"/>
      <c r="B299" s="36">
        <v>14</v>
      </c>
      <c r="C299" s="19" t="s">
        <v>338</v>
      </c>
      <c r="D299" s="20">
        <v>0</v>
      </c>
      <c r="E299" s="21">
        <v>1</v>
      </c>
      <c r="F299" s="20">
        <f t="shared" si="24"/>
        <v>0</v>
      </c>
      <c r="G299" s="21">
        <v>203.54166666666666</v>
      </c>
      <c r="H299" s="20">
        <f t="shared" si="25"/>
        <v>0</v>
      </c>
      <c r="I299" s="2"/>
      <c r="J299" s="17"/>
      <c r="K299" s="17"/>
      <c r="L299" s="17"/>
    </row>
    <row r="300" spans="1:12">
      <c r="A300" s="37"/>
      <c r="B300" s="36">
        <v>15</v>
      </c>
      <c r="C300" s="19" t="s">
        <v>339</v>
      </c>
      <c r="D300" s="20">
        <v>0</v>
      </c>
      <c r="E300" s="21">
        <v>1</v>
      </c>
      <c r="F300" s="20">
        <f t="shared" si="24"/>
        <v>0</v>
      </c>
      <c r="G300" s="21">
        <v>210.41666666666666</v>
      </c>
      <c r="H300" s="20">
        <f t="shared" si="25"/>
        <v>0</v>
      </c>
      <c r="I300" s="2"/>
      <c r="J300" s="17"/>
      <c r="K300" s="17"/>
      <c r="L300" s="17"/>
    </row>
    <row r="301" spans="1:12">
      <c r="A301" s="37"/>
      <c r="B301" s="36">
        <v>16</v>
      </c>
      <c r="C301" s="19"/>
      <c r="D301" s="20">
        <v>0</v>
      </c>
      <c r="E301" s="21">
        <v>1</v>
      </c>
      <c r="F301" s="20">
        <f t="shared" si="24"/>
        <v>0</v>
      </c>
      <c r="G301" s="21">
        <v>210.41666666666666</v>
      </c>
      <c r="H301" s="20">
        <f t="shared" si="25"/>
        <v>0</v>
      </c>
      <c r="I301" s="2"/>
      <c r="J301" s="17"/>
      <c r="K301" s="17"/>
      <c r="L301" s="17"/>
    </row>
    <row r="302" spans="1:12">
      <c r="A302" s="37"/>
      <c r="B302" s="36">
        <v>17</v>
      </c>
      <c r="C302" s="19"/>
      <c r="D302" s="20">
        <v>0</v>
      </c>
      <c r="E302" s="21">
        <v>1</v>
      </c>
      <c r="F302" s="20">
        <f t="shared" si="24"/>
        <v>0</v>
      </c>
      <c r="G302" s="21">
        <v>112</v>
      </c>
      <c r="H302" s="20">
        <f t="shared" si="25"/>
        <v>0</v>
      </c>
      <c r="I302" s="2"/>
      <c r="J302" s="17"/>
      <c r="K302" s="17"/>
      <c r="L302" s="17"/>
    </row>
    <row r="303" spans="1:12">
      <c r="A303" s="37"/>
      <c r="B303" s="36">
        <v>18</v>
      </c>
      <c r="C303" s="19"/>
      <c r="D303" s="20">
        <v>0</v>
      </c>
      <c r="E303" s="21">
        <v>1</v>
      </c>
      <c r="F303" s="20">
        <f>D303*E303</f>
        <v>0</v>
      </c>
      <c r="G303" s="21">
        <v>102</v>
      </c>
      <c r="H303" s="20">
        <f>F303*G303</f>
        <v>0</v>
      </c>
      <c r="I303" s="2"/>
      <c r="J303" s="17"/>
      <c r="K303" s="17"/>
      <c r="L303" s="17"/>
    </row>
    <row r="304" spans="1:12">
      <c r="A304" s="37"/>
      <c r="B304" s="36"/>
      <c r="C304" s="14" t="s">
        <v>150</v>
      </c>
      <c r="D304" s="20"/>
      <c r="F304" s="20"/>
      <c r="H304" s="25">
        <f>SUM(H286:H303)</f>
        <v>938159.375</v>
      </c>
      <c r="I304" s="2"/>
      <c r="J304" s="17"/>
      <c r="K304" s="17"/>
      <c r="L304" s="17"/>
    </row>
    <row r="305" spans="1:12">
      <c r="A305" s="37"/>
      <c r="B305" s="35"/>
      <c r="C305" s="14"/>
      <c r="D305" s="20"/>
      <c r="F305" s="20"/>
      <c r="H305" s="20"/>
      <c r="I305" s="2"/>
      <c r="J305" s="17"/>
      <c r="K305" s="17"/>
      <c r="L305" s="17"/>
    </row>
    <row r="306" spans="1:12">
      <c r="A306" s="37"/>
      <c r="B306" s="38"/>
      <c r="C306" s="14" t="s">
        <v>151</v>
      </c>
      <c r="D306" s="20"/>
      <c r="F306" s="20"/>
      <c r="H306" s="20"/>
      <c r="I306" s="2"/>
      <c r="J306" s="17"/>
      <c r="K306" s="17"/>
      <c r="L306" s="17"/>
    </row>
    <row r="307" spans="1:12">
      <c r="A307" s="37"/>
      <c r="B307" s="36">
        <v>1</v>
      </c>
      <c r="C307" s="19" t="s">
        <v>368</v>
      </c>
      <c r="D307" s="20">
        <v>1</v>
      </c>
      <c r="E307" s="21">
        <f>5.5*60</f>
        <v>330</v>
      </c>
      <c r="F307" s="20">
        <f>D307*E307</f>
        <v>330</v>
      </c>
      <c r="G307" s="21">
        <v>25.046375570776256</v>
      </c>
      <c r="H307" s="20">
        <f>F307*G307</f>
        <v>8265.3039383561645</v>
      </c>
      <c r="I307" s="2"/>
      <c r="J307" s="17"/>
      <c r="K307" s="17"/>
      <c r="L307" s="17"/>
    </row>
    <row r="308" spans="1:12">
      <c r="A308" s="37"/>
      <c r="B308" s="36">
        <v>2</v>
      </c>
      <c r="C308" s="19" t="s">
        <v>369</v>
      </c>
      <c r="D308" s="20">
        <v>1</v>
      </c>
      <c r="E308" s="21">
        <f t="shared" ref="E308:E317" si="26">5.5*60</f>
        <v>330</v>
      </c>
      <c r="F308" s="20">
        <f t="shared" ref="F308:F318" si="27">D308*E308</f>
        <v>330</v>
      </c>
      <c r="G308" s="21">
        <v>4.6696632420091326</v>
      </c>
      <c r="H308" s="20">
        <f t="shared" ref="H308:H318" si="28">F308*G308</f>
        <v>1540.9888698630139</v>
      </c>
      <c r="I308" s="2"/>
      <c r="J308" s="17"/>
      <c r="K308" s="17"/>
      <c r="L308" s="17"/>
    </row>
    <row r="309" spans="1:12">
      <c r="A309" s="37"/>
      <c r="B309" s="36">
        <v>3</v>
      </c>
      <c r="C309" s="19" t="s">
        <v>370</v>
      </c>
      <c r="D309" s="20">
        <v>1</v>
      </c>
      <c r="E309" s="21">
        <f t="shared" si="26"/>
        <v>330</v>
      </c>
      <c r="F309" s="20">
        <f t="shared" si="27"/>
        <v>330</v>
      </c>
      <c r="G309" s="21">
        <v>2.365717375630858</v>
      </c>
      <c r="H309" s="20">
        <f t="shared" si="28"/>
        <v>780.68673395818314</v>
      </c>
      <c r="I309" s="2"/>
      <c r="J309" s="17"/>
      <c r="K309" s="17"/>
      <c r="L309" s="17"/>
    </row>
    <row r="310" spans="1:12">
      <c r="A310" s="37"/>
      <c r="B310" s="36">
        <v>4</v>
      </c>
      <c r="C310" s="19" t="s">
        <v>371</v>
      </c>
      <c r="D310" s="20">
        <v>1</v>
      </c>
      <c r="E310" s="21">
        <f t="shared" si="26"/>
        <v>330</v>
      </c>
      <c r="F310" s="20">
        <f t="shared" si="27"/>
        <v>330</v>
      </c>
      <c r="G310" s="21">
        <v>2.4408195145397742</v>
      </c>
      <c r="H310" s="20">
        <f t="shared" si="28"/>
        <v>805.47043979812554</v>
      </c>
      <c r="I310" s="2"/>
      <c r="J310" s="17"/>
      <c r="K310" s="17"/>
      <c r="L310" s="17"/>
    </row>
    <row r="311" spans="1:12">
      <c r="A311" s="37"/>
      <c r="B311" s="36">
        <v>5</v>
      </c>
      <c r="C311" s="19" t="s">
        <v>372</v>
      </c>
      <c r="D311" s="20">
        <v>1</v>
      </c>
      <c r="E311" s="21">
        <f t="shared" si="26"/>
        <v>330</v>
      </c>
      <c r="F311" s="20">
        <f t="shared" si="27"/>
        <v>330</v>
      </c>
      <c r="G311" s="21">
        <v>3.7551069454458061E-2</v>
      </c>
      <c r="H311" s="20">
        <f t="shared" si="28"/>
        <v>12.391852919971161</v>
      </c>
      <c r="I311" s="2"/>
      <c r="J311" s="17"/>
      <c r="K311" s="17"/>
      <c r="L311" s="17"/>
    </row>
    <row r="312" spans="1:12">
      <c r="A312" s="37"/>
      <c r="B312" s="36">
        <v>6</v>
      </c>
      <c r="C312" s="19" t="s">
        <v>373</v>
      </c>
      <c r="D312" s="20">
        <v>1</v>
      </c>
      <c r="E312" s="21">
        <f t="shared" si="26"/>
        <v>330</v>
      </c>
      <c r="F312" s="20">
        <f t="shared" si="27"/>
        <v>330</v>
      </c>
      <c r="G312" s="21">
        <v>0.34171473203556835</v>
      </c>
      <c r="H312" s="20">
        <f t="shared" si="28"/>
        <v>112.76586157173756</v>
      </c>
      <c r="I312" s="2"/>
      <c r="J312" s="17"/>
      <c r="K312" s="17"/>
      <c r="L312" s="17"/>
    </row>
    <row r="313" spans="1:12">
      <c r="A313" s="37"/>
      <c r="B313" s="36">
        <v>7</v>
      </c>
      <c r="C313" s="19" t="s">
        <v>374</v>
      </c>
      <c r="D313" s="20">
        <v>1</v>
      </c>
      <c r="E313" s="21">
        <f t="shared" si="26"/>
        <v>330</v>
      </c>
      <c r="F313" s="20">
        <f t="shared" si="27"/>
        <v>330</v>
      </c>
      <c r="G313" s="21">
        <v>3.3961187214611872</v>
      </c>
      <c r="H313" s="20">
        <f t="shared" si="28"/>
        <v>1120.7191780821918</v>
      </c>
      <c r="I313" s="2"/>
      <c r="J313" s="17"/>
      <c r="K313" s="17"/>
      <c r="L313" s="17"/>
    </row>
    <row r="314" spans="1:12">
      <c r="A314" s="37"/>
      <c r="B314" s="36">
        <v>8</v>
      </c>
      <c r="C314" s="19" t="s">
        <v>375</v>
      </c>
      <c r="D314" s="20">
        <v>1</v>
      </c>
      <c r="E314" s="21">
        <f t="shared" si="26"/>
        <v>330</v>
      </c>
      <c r="F314" s="20">
        <f t="shared" si="27"/>
        <v>330</v>
      </c>
      <c r="G314" s="21">
        <v>0.81485820716173996</v>
      </c>
      <c r="H314" s="20">
        <f t="shared" si="28"/>
        <v>268.90320836337418</v>
      </c>
      <c r="I314" s="2"/>
      <c r="J314" s="17"/>
      <c r="K314" s="17"/>
      <c r="L314" s="17"/>
    </row>
    <row r="315" spans="1:12">
      <c r="A315" s="37"/>
      <c r="B315" s="36">
        <v>9</v>
      </c>
      <c r="C315" s="19" t="s">
        <v>376</v>
      </c>
      <c r="D315" s="20">
        <v>1</v>
      </c>
      <c r="E315" s="21">
        <f t="shared" si="26"/>
        <v>330</v>
      </c>
      <c r="F315" s="20">
        <f t="shared" si="27"/>
        <v>330</v>
      </c>
      <c r="G315" s="21">
        <v>0.75102138908916127</v>
      </c>
      <c r="H315" s="20">
        <f t="shared" si="28"/>
        <v>247.83705839942323</v>
      </c>
      <c r="I315" s="2"/>
      <c r="J315" s="17"/>
      <c r="K315" s="17"/>
      <c r="L315" s="17"/>
    </row>
    <row r="316" spans="1:12">
      <c r="A316" s="37"/>
      <c r="B316" s="36">
        <v>10</v>
      </c>
      <c r="C316" s="39" t="s">
        <v>377</v>
      </c>
      <c r="D316" s="20">
        <v>2</v>
      </c>
      <c r="E316" s="21">
        <f t="shared" si="26"/>
        <v>330</v>
      </c>
      <c r="F316" s="20">
        <f t="shared" si="27"/>
        <v>660</v>
      </c>
      <c r="G316" s="21">
        <v>2.6360850757029559</v>
      </c>
      <c r="H316" s="20">
        <f t="shared" si="28"/>
        <v>1739.8161499639509</v>
      </c>
      <c r="I316" s="2"/>
      <c r="J316" s="17"/>
      <c r="K316" s="17"/>
      <c r="L316" s="17"/>
    </row>
    <row r="317" spans="1:12">
      <c r="A317" s="37"/>
      <c r="B317" s="36">
        <v>11</v>
      </c>
      <c r="C317" s="19" t="s">
        <v>378</v>
      </c>
      <c r="D317" s="20">
        <v>1</v>
      </c>
      <c r="E317" s="21">
        <f t="shared" si="26"/>
        <v>330</v>
      </c>
      <c r="F317" s="20">
        <f t="shared" si="27"/>
        <v>330</v>
      </c>
      <c r="G317" s="21">
        <v>0.93877673636145154</v>
      </c>
      <c r="H317" s="20">
        <f t="shared" si="28"/>
        <v>309.79632299927903</v>
      </c>
      <c r="I317" s="2"/>
      <c r="J317" s="17"/>
      <c r="K317" s="17"/>
      <c r="L317" s="17"/>
    </row>
    <row r="318" spans="1:12">
      <c r="A318" s="37"/>
      <c r="B318" s="36">
        <v>12</v>
      </c>
      <c r="C318" s="19"/>
      <c r="D318" s="20">
        <v>0</v>
      </c>
      <c r="E318" s="21">
        <v>1</v>
      </c>
      <c r="F318" s="20">
        <f t="shared" si="27"/>
        <v>0</v>
      </c>
      <c r="G318" s="21">
        <v>0</v>
      </c>
      <c r="H318" s="20">
        <f t="shared" si="28"/>
        <v>0</v>
      </c>
      <c r="I318" s="2"/>
      <c r="J318" s="17"/>
      <c r="K318" s="17"/>
      <c r="L318" s="17"/>
    </row>
    <row r="319" spans="1:12">
      <c r="A319" s="37"/>
      <c r="B319" s="36">
        <v>13</v>
      </c>
      <c r="C319" s="19"/>
      <c r="D319" s="20">
        <v>0</v>
      </c>
      <c r="E319" s="21">
        <v>1</v>
      </c>
      <c r="F319" s="20">
        <f>D319*E319</f>
        <v>0</v>
      </c>
      <c r="G319" s="21">
        <v>0</v>
      </c>
      <c r="H319" s="20">
        <f>F319*G319</f>
        <v>0</v>
      </c>
      <c r="I319" s="2"/>
      <c r="J319" s="17"/>
      <c r="K319" s="17"/>
      <c r="L319" s="17"/>
    </row>
    <row r="320" spans="1:12">
      <c r="A320" s="37"/>
      <c r="B320" s="36"/>
      <c r="C320" s="14" t="s">
        <v>152</v>
      </c>
      <c r="D320" s="20"/>
      <c r="F320" s="20"/>
      <c r="H320" s="25">
        <f>SUM(H307:H319)</f>
        <v>15204.679614275417</v>
      </c>
      <c r="I320" s="2"/>
      <c r="J320" s="17"/>
      <c r="K320" s="17"/>
      <c r="L320" s="17"/>
    </row>
    <row r="321" spans="1:12">
      <c r="A321" s="37"/>
      <c r="B321" s="38"/>
      <c r="C321" s="14"/>
      <c r="D321" s="20"/>
      <c r="F321" s="20"/>
      <c r="H321" s="20"/>
      <c r="I321" s="2"/>
      <c r="J321" s="17"/>
      <c r="K321" s="17"/>
      <c r="L321" s="17"/>
    </row>
    <row r="322" spans="1:12">
      <c r="A322" s="37"/>
      <c r="B322" s="38"/>
      <c r="C322" s="14" t="s">
        <v>153</v>
      </c>
      <c r="D322" s="20"/>
      <c r="F322" s="20"/>
      <c r="H322" s="20"/>
      <c r="I322" s="2"/>
      <c r="J322" s="17"/>
      <c r="K322" s="17"/>
      <c r="L322" s="17"/>
    </row>
    <row r="323" spans="1:12">
      <c r="A323" s="37"/>
      <c r="B323" s="36">
        <v>1</v>
      </c>
      <c r="C323" s="19" t="s">
        <v>379</v>
      </c>
      <c r="D323" s="20">
        <v>1</v>
      </c>
      <c r="E323" s="21">
        <f t="shared" ref="E323:E337" si="29">5.5*60</f>
        <v>330</v>
      </c>
      <c r="F323" s="20">
        <f>D323*E323</f>
        <v>330</v>
      </c>
      <c r="G323" s="21">
        <v>1.6843006488824801</v>
      </c>
      <c r="H323" s="20">
        <f>F323*G323</f>
        <v>555.81921413121847</v>
      </c>
      <c r="I323" s="2"/>
      <c r="J323" s="17"/>
      <c r="K323" s="17"/>
      <c r="L323" s="17"/>
    </row>
    <row r="324" spans="1:12">
      <c r="A324" s="37"/>
      <c r="B324" s="36">
        <v>2</v>
      </c>
      <c r="C324" s="19" t="s">
        <v>380</v>
      </c>
      <c r="D324" s="20">
        <v>11</v>
      </c>
      <c r="E324" s="21">
        <f t="shared" si="29"/>
        <v>330</v>
      </c>
      <c r="F324" s="20">
        <f t="shared" ref="F324:F345" si="30">D324*E324</f>
        <v>3630</v>
      </c>
      <c r="G324" s="21">
        <v>1.2016342225426579E-2</v>
      </c>
      <c r="H324" s="20">
        <f t="shared" ref="H324:H345" si="31">F324*G324</f>
        <v>43.619322278298483</v>
      </c>
      <c r="I324" s="2"/>
      <c r="J324" s="17"/>
      <c r="K324" s="17"/>
      <c r="L324" s="17"/>
    </row>
    <row r="325" spans="1:12">
      <c r="A325" s="37"/>
      <c r="B325" s="36">
        <v>3</v>
      </c>
      <c r="C325" s="19" t="s">
        <v>381</v>
      </c>
      <c r="D325" s="20">
        <v>1</v>
      </c>
      <c r="E325" s="21">
        <f t="shared" si="29"/>
        <v>330</v>
      </c>
      <c r="F325" s="20">
        <f t="shared" si="30"/>
        <v>330</v>
      </c>
      <c r="G325" s="21">
        <v>9.0122566690699346E-2</v>
      </c>
      <c r="H325" s="20">
        <f t="shared" si="31"/>
        <v>29.740447007930783</v>
      </c>
      <c r="I325" s="2"/>
      <c r="J325" s="17"/>
      <c r="K325" s="17"/>
      <c r="L325" s="17"/>
    </row>
    <row r="326" spans="1:12">
      <c r="A326" s="37"/>
      <c r="B326" s="36">
        <v>4</v>
      </c>
      <c r="C326" s="19" t="s">
        <v>382</v>
      </c>
      <c r="D326" s="20">
        <v>1</v>
      </c>
      <c r="E326" s="21">
        <f t="shared" si="29"/>
        <v>330</v>
      </c>
      <c r="F326" s="20">
        <f t="shared" si="30"/>
        <v>330</v>
      </c>
      <c r="G326" s="21">
        <v>0.54674357125690942</v>
      </c>
      <c r="H326" s="20">
        <f t="shared" si="31"/>
        <v>180.42537851478011</v>
      </c>
      <c r="I326" s="2"/>
      <c r="J326" s="17"/>
      <c r="K326" s="17"/>
      <c r="L326" s="17"/>
    </row>
    <row r="327" spans="1:12">
      <c r="A327" s="37"/>
      <c r="B327" s="36">
        <v>5</v>
      </c>
      <c r="C327" s="19" t="s">
        <v>383</v>
      </c>
      <c r="D327" s="20">
        <v>1</v>
      </c>
      <c r="E327" s="21">
        <f t="shared" si="29"/>
        <v>330</v>
      </c>
      <c r="F327" s="20">
        <f t="shared" si="30"/>
        <v>330</v>
      </c>
      <c r="G327" s="21">
        <v>0.50468637346791634</v>
      </c>
      <c r="H327" s="20">
        <f t="shared" si="31"/>
        <v>166.54650324441238</v>
      </c>
      <c r="I327" s="2"/>
      <c r="J327" s="17"/>
      <c r="K327" s="17"/>
      <c r="L327" s="17"/>
    </row>
    <row r="328" spans="1:12">
      <c r="A328" s="37"/>
      <c r="B328" s="36">
        <v>6</v>
      </c>
      <c r="C328" s="19" t="s">
        <v>384</v>
      </c>
      <c r="D328" s="20">
        <v>1</v>
      </c>
      <c r="E328" s="21">
        <f t="shared" si="29"/>
        <v>330</v>
      </c>
      <c r="F328" s="20">
        <f t="shared" si="30"/>
        <v>330</v>
      </c>
      <c r="G328" s="21">
        <v>1.5020427781783225</v>
      </c>
      <c r="H328" s="20">
        <f t="shared" si="31"/>
        <v>495.67411679884646</v>
      </c>
      <c r="I328" s="2"/>
      <c r="J328" s="17"/>
      <c r="K328" s="17"/>
      <c r="L328" s="17"/>
    </row>
    <row r="329" spans="1:12">
      <c r="A329" s="37"/>
      <c r="B329" s="36">
        <v>7</v>
      </c>
      <c r="C329" s="19" t="s">
        <v>385</v>
      </c>
      <c r="D329" s="20">
        <v>6</v>
      </c>
      <c r="E329" s="21">
        <f t="shared" si="29"/>
        <v>330</v>
      </c>
      <c r="F329" s="20">
        <f t="shared" si="30"/>
        <v>1980</v>
      </c>
      <c r="G329" s="21">
        <v>0.65176640230713767</v>
      </c>
      <c r="H329" s="20">
        <f t="shared" si="31"/>
        <v>1290.4974765681327</v>
      </c>
      <c r="I329" s="2"/>
      <c r="J329" s="17"/>
      <c r="K329" s="17"/>
      <c r="L329" s="17"/>
    </row>
    <row r="330" spans="1:12">
      <c r="A330" s="37"/>
      <c r="B330" s="36">
        <v>8</v>
      </c>
      <c r="C330" s="19" t="s">
        <v>386</v>
      </c>
      <c r="D330" s="20">
        <v>1</v>
      </c>
      <c r="E330" s="21">
        <f t="shared" si="29"/>
        <v>330</v>
      </c>
      <c r="F330" s="20">
        <f t="shared" si="30"/>
        <v>330</v>
      </c>
      <c r="G330" s="21">
        <v>9.0122566690699344</v>
      </c>
      <c r="H330" s="20">
        <f t="shared" si="31"/>
        <v>2974.0447007930784</v>
      </c>
      <c r="I330" s="2"/>
      <c r="J330" s="17"/>
      <c r="K330" s="17"/>
      <c r="L330" s="17"/>
    </row>
    <row r="331" spans="1:12">
      <c r="A331" s="37"/>
      <c r="B331" s="36">
        <v>9</v>
      </c>
      <c r="C331" s="40" t="s">
        <v>387</v>
      </c>
      <c r="D331" s="68">
        <v>1</v>
      </c>
      <c r="E331" s="21">
        <f t="shared" si="29"/>
        <v>330</v>
      </c>
      <c r="F331" s="68">
        <f t="shared" si="30"/>
        <v>330</v>
      </c>
      <c r="G331" s="69">
        <v>1.6822879115597211</v>
      </c>
      <c r="H331" s="68">
        <f t="shared" si="31"/>
        <v>555.15501081470802</v>
      </c>
      <c r="I331" s="2"/>
      <c r="J331" s="17"/>
      <c r="K331" s="17"/>
      <c r="L331" s="17"/>
    </row>
    <row r="332" spans="1:12">
      <c r="A332" s="37"/>
      <c r="B332" s="36">
        <v>10</v>
      </c>
      <c r="C332" s="19" t="s">
        <v>388</v>
      </c>
      <c r="D332" s="20">
        <v>4</v>
      </c>
      <c r="E332" s="21">
        <f t="shared" si="29"/>
        <v>330</v>
      </c>
      <c r="F332" s="20">
        <f t="shared" si="30"/>
        <v>1320</v>
      </c>
      <c r="G332" s="21">
        <v>0.18024513338139869</v>
      </c>
      <c r="H332" s="20">
        <f t="shared" si="31"/>
        <v>237.92357606344626</v>
      </c>
      <c r="I332" s="2"/>
      <c r="J332" s="17"/>
      <c r="K332" s="17"/>
      <c r="L332" s="17"/>
    </row>
    <row r="333" spans="1:12">
      <c r="A333" s="37"/>
      <c r="B333" s="36">
        <v>11</v>
      </c>
      <c r="C333" s="19" t="s">
        <v>389</v>
      </c>
      <c r="D333" s="20">
        <v>2</v>
      </c>
      <c r="E333" s="21">
        <f t="shared" si="29"/>
        <v>330</v>
      </c>
      <c r="F333" s="20">
        <f t="shared" si="30"/>
        <v>660</v>
      </c>
      <c r="G333" s="21">
        <v>7.2098053352559477E-2</v>
      </c>
      <c r="H333" s="20">
        <f t="shared" si="31"/>
        <v>47.584715212689254</v>
      </c>
      <c r="I333" s="2"/>
      <c r="J333" s="17"/>
      <c r="K333" s="17"/>
      <c r="L333" s="17"/>
    </row>
    <row r="334" spans="1:12">
      <c r="A334" s="37"/>
      <c r="B334" s="36">
        <v>12</v>
      </c>
      <c r="C334" s="19" t="s">
        <v>390</v>
      </c>
      <c r="D334" s="20">
        <v>1</v>
      </c>
      <c r="E334" s="21">
        <f t="shared" si="29"/>
        <v>330</v>
      </c>
      <c r="F334" s="20">
        <f t="shared" si="30"/>
        <v>330</v>
      </c>
      <c r="G334" s="21">
        <v>7.8106224465272767E-2</v>
      </c>
      <c r="H334" s="20">
        <f t="shared" si="31"/>
        <v>25.775054073540012</v>
      </c>
      <c r="I334" s="2"/>
      <c r="J334" s="17"/>
      <c r="K334" s="17"/>
      <c r="L334" s="17"/>
    </row>
    <row r="335" spans="1:12">
      <c r="A335" s="37"/>
      <c r="B335" s="36">
        <v>13</v>
      </c>
      <c r="C335" s="19" t="s">
        <v>391</v>
      </c>
      <c r="D335" s="20">
        <v>11</v>
      </c>
      <c r="E335" s="21">
        <f t="shared" si="29"/>
        <v>330</v>
      </c>
      <c r="F335" s="20">
        <f t="shared" si="30"/>
        <v>3630</v>
      </c>
      <c r="G335" s="21">
        <v>9.0122566690699346E-2</v>
      </c>
      <c r="H335" s="20">
        <f t="shared" si="31"/>
        <v>327.14491708723864</v>
      </c>
      <c r="I335" s="2"/>
      <c r="J335" s="17"/>
      <c r="K335" s="17"/>
      <c r="L335" s="17"/>
    </row>
    <row r="336" spans="1:12">
      <c r="A336" s="37"/>
      <c r="B336" s="36">
        <v>14</v>
      </c>
      <c r="C336" s="19" t="s">
        <v>392</v>
      </c>
      <c r="D336" s="20">
        <v>1</v>
      </c>
      <c r="E336" s="21">
        <f t="shared" si="29"/>
        <v>330</v>
      </c>
      <c r="F336" s="20">
        <f t="shared" si="30"/>
        <v>330</v>
      </c>
      <c r="G336" s="21">
        <v>0.14419610670511895</v>
      </c>
      <c r="H336" s="20">
        <f t="shared" si="31"/>
        <v>47.584715212689254</v>
      </c>
      <c r="I336" s="2"/>
      <c r="J336" s="17"/>
      <c r="K336" s="17"/>
      <c r="L336" s="17"/>
    </row>
    <row r="337" spans="1:12">
      <c r="A337" s="37"/>
      <c r="B337" s="36">
        <v>15</v>
      </c>
      <c r="C337" s="19" t="s">
        <v>393</v>
      </c>
      <c r="D337" s="20">
        <v>5</v>
      </c>
      <c r="E337" s="21">
        <f t="shared" si="29"/>
        <v>330</v>
      </c>
      <c r="F337" s="20">
        <f t="shared" si="30"/>
        <v>1650</v>
      </c>
      <c r="G337" s="21">
        <v>0.19526556116318192</v>
      </c>
      <c r="H337" s="20">
        <f t="shared" si="31"/>
        <v>322.18817591925017</v>
      </c>
      <c r="I337" s="2"/>
      <c r="J337" s="17"/>
      <c r="K337" s="17"/>
      <c r="L337" s="17"/>
    </row>
    <row r="338" spans="1:12">
      <c r="A338" s="37"/>
      <c r="B338" s="36">
        <v>16</v>
      </c>
      <c r="C338" s="19"/>
      <c r="D338" s="20"/>
      <c r="E338" s="21">
        <v>0</v>
      </c>
      <c r="F338" s="20">
        <f t="shared" si="30"/>
        <v>0</v>
      </c>
      <c r="G338" s="21">
        <v>109</v>
      </c>
      <c r="H338" s="20">
        <f t="shared" si="31"/>
        <v>0</v>
      </c>
      <c r="I338" s="2"/>
      <c r="J338" s="17"/>
      <c r="K338" s="17"/>
      <c r="L338" s="17"/>
    </row>
    <row r="339" spans="1:12">
      <c r="A339" s="37"/>
      <c r="B339" s="36">
        <v>17</v>
      </c>
      <c r="C339" s="19"/>
      <c r="D339" s="20"/>
      <c r="E339" s="21">
        <v>0</v>
      </c>
      <c r="F339" s="20">
        <f t="shared" si="30"/>
        <v>0</v>
      </c>
      <c r="G339" s="21">
        <v>110</v>
      </c>
      <c r="H339" s="20">
        <f t="shared" si="31"/>
        <v>0</v>
      </c>
      <c r="I339" s="2"/>
      <c r="J339" s="17"/>
      <c r="K339" s="17"/>
      <c r="L339" s="17"/>
    </row>
    <row r="340" spans="1:12">
      <c r="A340" s="37"/>
      <c r="B340" s="36">
        <v>18</v>
      </c>
      <c r="C340" s="19"/>
      <c r="D340" s="20"/>
      <c r="E340" s="21">
        <v>0</v>
      </c>
      <c r="F340" s="20">
        <f t="shared" si="30"/>
        <v>0</v>
      </c>
      <c r="G340" s="21">
        <v>111</v>
      </c>
      <c r="H340" s="20">
        <f t="shared" si="31"/>
        <v>0</v>
      </c>
      <c r="I340" s="2"/>
      <c r="J340" s="17"/>
      <c r="K340" s="17"/>
      <c r="L340" s="17"/>
    </row>
    <row r="341" spans="1:12">
      <c r="A341" s="37"/>
      <c r="B341" s="36">
        <v>19</v>
      </c>
      <c r="C341" s="19"/>
      <c r="D341" s="20"/>
      <c r="E341" s="21">
        <v>0</v>
      </c>
      <c r="F341" s="20">
        <f t="shared" si="30"/>
        <v>0</v>
      </c>
      <c r="G341" s="21">
        <v>112</v>
      </c>
      <c r="H341" s="20">
        <f t="shared" si="31"/>
        <v>0</v>
      </c>
      <c r="I341" s="2"/>
      <c r="J341" s="17"/>
      <c r="K341" s="17"/>
      <c r="L341" s="17"/>
    </row>
    <row r="342" spans="1:12">
      <c r="A342" s="37"/>
      <c r="B342" s="36">
        <v>20</v>
      </c>
      <c r="C342" s="19"/>
      <c r="D342" s="20">
        <v>0</v>
      </c>
      <c r="E342" s="21">
        <v>0</v>
      </c>
      <c r="F342" s="20">
        <f t="shared" si="30"/>
        <v>0</v>
      </c>
      <c r="G342" s="21">
        <v>108</v>
      </c>
      <c r="H342" s="20">
        <f t="shared" si="31"/>
        <v>0</v>
      </c>
      <c r="I342" s="2"/>
      <c r="J342" s="17"/>
      <c r="K342" s="17"/>
      <c r="L342" s="17"/>
    </row>
    <row r="343" spans="1:12">
      <c r="A343" s="37"/>
      <c r="B343" s="36">
        <v>21</v>
      </c>
      <c r="C343" s="19"/>
      <c r="D343" s="20">
        <v>0</v>
      </c>
      <c r="E343" s="21">
        <v>0</v>
      </c>
      <c r="F343" s="20">
        <f t="shared" si="30"/>
        <v>0</v>
      </c>
      <c r="G343" s="21">
        <v>109</v>
      </c>
      <c r="H343" s="20">
        <f t="shared" si="31"/>
        <v>0</v>
      </c>
      <c r="I343" s="2"/>
      <c r="J343" s="17"/>
      <c r="K343" s="17"/>
      <c r="L343" s="17"/>
    </row>
    <row r="344" spans="1:12">
      <c r="A344" s="37"/>
      <c r="B344" s="36">
        <v>22</v>
      </c>
      <c r="C344" s="19"/>
      <c r="D344" s="20">
        <v>0</v>
      </c>
      <c r="E344" s="21">
        <v>0</v>
      </c>
      <c r="F344" s="20">
        <f t="shared" si="30"/>
        <v>0</v>
      </c>
      <c r="G344" s="21">
        <v>110</v>
      </c>
      <c r="H344" s="20">
        <f t="shared" si="31"/>
        <v>0</v>
      </c>
      <c r="I344" s="2"/>
      <c r="J344" s="17"/>
      <c r="K344" s="17"/>
      <c r="L344" s="17"/>
    </row>
    <row r="345" spans="1:12">
      <c r="A345" s="37"/>
      <c r="B345" s="36">
        <v>23</v>
      </c>
      <c r="C345" s="19"/>
      <c r="D345" s="20">
        <v>0</v>
      </c>
      <c r="E345" s="21">
        <v>0</v>
      </c>
      <c r="F345" s="20">
        <f t="shared" si="30"/>
        <v>0</v>
      </c>
      <c r="G345" s="21">
        <v>111</v>
      </c>
      <c r="H345" s="20">
        <f t="shared" si="31"/>
        <v>0</v>
      </c>
      <c r="I345" s="2"/>
      <c r="J345" s="17"/>
      <c r="K345" s="17"/>
      <c r="L345" s="17"/>
    </row>
    <row r="346" spans="1:12">
      <c r="A346" s="37"/>
      <c r="B346" s="36">
        <v>24</v>
      </c>
      <c r="C346" s="19"/>
      <c r="D346" s="20">
        <v>0</v>
      </c>
      <c r="E346" s="21">
        <v>0</v>
      </c>
      <c r="F346" s="20">
        <f>D346*E346</f>
        <v>0</v>
      </c>
      <c r="G346" s="21">
        <v>102</v>
      </c>
      <c r="H346" s="20">
        <f>F346*G346</f>
        <v>0</v>
      </c>
      <c r="I346" s="2"/>
      <c r="J346" s="17"/>
      <c r="K346" s="17"/>
      <c r="L346" s="17"/>
    </row>
    <row r="347" spans="1:12">
      <c r="A347" s="37"/>
      <c r="B347" s="36"/>
      <c r="C347" s="14" t="s">
        <v>154</v>
      </c>
      <c r="D347" s="20"/>
      <c r="F347" s="20"/>
      <c r="H347" s="25">
        <f>SUM(H323:H346)</f>
        <v>7299.7233237202581</v>
      </c>
      <c r="I347" s="2"/>
      <c r="J347" s="17"/>
      <c r="K347" s="17"/>
      <c r="L347" s="17"/>
    </row>
    <row r="348" spans="1:12">
      <c r="A348" s="37"/>
      <c r="B348" s="38"/>
      <c r="C348" s="14"/>
      <c r="D348" s="20"/>
      <c r="F348" s="20"/>
      <c r="H348" s="20"/>
      <c r="I348" s="2"/>
      <c r="J348" s="17"/>
      <c r="K348" s="17"/>
      <c r="L348" s="17"/>
    </row>
    <row r="349" spans="1:12">
      <c r="A349" s="37"/>
      <c r="B349" s="38"/>
      <c r="C349" s="14" t="s">
        <v>155</v>
      </c>
      <c r="D349" s="20"/>
      <c r="F349" s="20"/>
      <c r="H349" s="20"/>
      <c r="I349" s="2"/>
      <c r="J349" s="17"/>
      <c r="K349" s="17"/>
      <c r="L349" s="17"/>
    </row>
    <row r="350" spans="1:12">
      <c r="A350" s="37"/>
      <c r="B350" s="36">
        <v>1</v>
      </c>
      <c r="C350" s="19" t="s">
        <v>394</v>
      </c>
      <c r="D350" s="15">
        <v>5</v>
      </c>
      <c r="E350" s="21">
        <v>1</v>
      </c>
      <c r="F350" s="20">
        <f>D350*E350</f>
        <v>5</v>
      </c>
      <c r="G350" s="69">
        <v>19384</v>
      </c>
      <c r="H350" s="20">
        <f>F350*G350</f>
        <v>96920</v>
      </c>
      <c r="I350" s="2"/>
      <c r="J350" s="17"/>
      <c r="K350" s="17"/>
      <c r="L350" s="17"/>
    </row>
    <row r="351" spans="1:12">
      <c r="A351" s="37"/>
      <c r="B351" s="36">
        <v>2</v>
      </c>
      <c r="C351" s="19" t="s">
        <v>395</v>
      </c>
      <c r="D351" s="15">
        <v>1</v>
      </c>
      <c r="E351" s="21">
        <v>1</v>
      </c>
      <c r="F351" s="20">
        <f t="shared" ref="F351:F414" si="32">D351*E351</f>
        <v>1</v>
      </c>
      <c r="G351" s="69">
        <v>13290</v>
      </c>
      <c r="H351" s="20">
        <f t="shared" ref="H351:H414" si="33">F351*G351</f>
        <v>13290</v>
      </c>
      <c r="I351" s="2"/>
      <c r="J351" s="17"/>
      <c r="K351" s="17"/>
      <c r="L351" s="17"/>
    </row>
    <row r="352" spans="1:12">
      <c r="A352" s="37"/>
      <c r="B352" s="36">
        <v>3</v>
      </c>
      <c r="C352" s="19" t="s">
        <v>396</v>
      </c>
      <c r="D352" s="15">
        <v>1</v>
      </c>
      <c r="E352" s="21">
        <v>1</v>
      </c>
      <c r="F352" s="20">
        <f t="shared" si="32"/>
        <v>1</v>
      </c>
      <c r="G352" s="69">
        <v>34581</v>
      </c>
      <c r="H352" s="20">
        <f t="shared" si="33"/>
        <v>34581</v>
      </c>
      <c r="I352" s="2"/>
      <c r="J352" s="17"/>
      <c r="K352" s="17"/>
      <c r="L352" s="17"/>
    </row>
    <row r="353" spans="1:12">
      <c r="A353" s="37"/>
      <c r="B353" s="36">
        <v>4</v>
      </c>
      <c r="C353" s="19" t="s">
        <v>397</v>
      </c>
      <c r="D353" s="15">
        <v>0.5</v>
      </c>
      <c r="E353" s="21">
        <v>1</v>
      </c>
      <c r="F353" s="20">
        <f t="shared" si="32"/>
        <v>0.5</v>
      </c>
      <c r="G353" s="69">
        <v>5000</v>
      </c>
      <c r="H353" s="20">
        <f t="shared" si="33"/>
        <v>2500</v>
      </c>
      <c r="I353" s="2"/>
      <c r="J353" s="17"/>
      <c r="K353" s="17"/>
      <c r="L353" s="17"/>
    </row>
    <row r="354" spans="1:12">
      <c r="A354" s="37"/>
      <c r="B354" s="36">
        <v>5</v>
      </c>
      <c r="C354" s="19" t="s">
        <v>398</v>
      </c>
      <c r="D354" s="15">
        <v>1</v>
      </c>
      <c r="E354" s="21">
        <v>1</v>
      </c>
      <c r="F354" s="20">
        <f t="shared" si="32"/>
        <v>1</v>
      </c>
      <c r="G354" s="69">
        <v>14889</v>
      </c>
      <c r="H354" s="20">
        <f t="shared" si="33"/>
        <v>14889</v>
      </c>
      <c r="I354" s="2"/>
      <c r="J354" s="17"/>
      <c r="K354" s="17"/>
      <c r="L354" s="17"/>
    </row>
    <row r="355" spans="1:12">
      <c r="A355" s="37"/>
      <c r="B355" s="36">
        <v>6</v>
      </c>
      <c r="C355" s="19" t="s">
        <v>399</v>
      </c>
      <c r="D355" s="15">
        <v>1</v>
      </c>
      <c r="E355" s="21">
        <v>1</v>
      </c>
      <c r="F355" s="20">
        <f t="shared" si="32"/>
        <v>1</v>
      </c>
      <c r="G355" s="69">
        <v>60205</v>
      </c>
      <c r="H355" s="20">
        <f t="shared" si="33"/>
        <v>60205</v>
      </c>
      <c r="I355" s="2"/>
      <c r="J355" s="17"/>
      <c r="K355" s="17"/>
      <c r="L355" s="17"/>
    </row>
    <row r="356" spans="1:12">
      <c r="A356" s="37"/>
      <c r="B356" s="36">
        <v>7</v>
      </c>
      <c r="C356" s="19" t="s">
        <v>400</v>
      </c>
      <c r="D356" s="15">
        <v>1</v>
      </c>
      <c r="E356" s="21">
        <v>1</v>
      </c>
      <c r="F356" s="20">
        <f t="shared" si="32"/>
        <v>1</v>
      </c>
      <c r="G356" s="69">
        <v>10961</v>
      </c>
      <c r="H356" s="20">
        <f t="shared" si="33"/>
        <v>10961</v>
      </c>
      <c r="I356" s="2"/>
      <c r="J356" s="17"/>
      <c r="K356" s="17"/>
      <c r="L356" s="17"/>
    </row>
    <row r="357" spans="1:12">
      <c r="A357" s="37"/>
      <c r="B357" s="36">
        <v>8</v>
      </c>
      <c r="C357" s="19" t="s">
        <v>401</v>
      </c>
      <c r="D357" s="15">
        <v>1</v>
      </c>
      <c r="E357" s="21">
        <v>1</v>
      </c>
      <c r="F357" s="20">
        <f t="shared" si="32"/>
        <v>1</v>
      </c>
      <c r="G357" s="69">
        <v>1015</v>
      </c>
      <c r="H357" s="20">
        <f t="shared" si="33"/>
        <v>1015</v>
      </c>
      <c r="I357" s="2"/>
      <c r="J357" s="17"/>
      <c r="K357" s="17"/>
      <c r="L357" s="17"/>
    </row>
    <row r="358" spans="1:12">
      <c r="A358" s="37"/>
      <c r="B358" s="36">
        <v>9</v>
      </c>
      <c r="C358" s="19" t="s">
        <v>402</v>
      </c>
      <c r="D358" s="15">
        <v>1</v>
      </c>
      <c r="E358" s="21">
        <v>1</v>
      </c>
      <c r="F358" s="20">
        <f t="shared" si="32"/>
        <v>1</v>
      </c>
      <c r="G358" s="69">
        <v>592</v>
      </c>
      <c r="H358" s="20">
        <f t="shared" si="33"/>
        <v>592</v>
      </c>
      <c r="I358" s="2"/>
      <c r="J358" s="17"/>
      <c r="K358" s="17"/>
      <c r="L358" s="17"/>
    </row>
    <row r="359" spans="1:12">
      <c r="A359" s="37"/>
      <c r="B359" s="36">
        <v>10</v>
      </c>
      <c r="C359" s="19" t="s">
        <v>403</v>
      </c>
      <c r="D359" s="15">
        <v>0.5</v>
      </c>
      <c r="E359" s="21">
        <v>1</v>
      </c>
      <c r="F359" s="20">
        <f t="shared" si="32"/>
        <v>0.5</v>
      </c>
      <c r="G359" s="69">
        <v>5640</v>
      </c>
      <c r="H359" s="20">
        <f t="shared" si="33"/>
        <v>2820</v>
      </c>
      <c r="I359" s="2"/>
      <c r="J359" s="17"/>
      <c r="K359" s="17"/>
      <c r="L359" s="17"/>
    </row>
    <row r="360" spans="1:12">
      <c r="A360" s="37"/>
      <c r="B360" s="36">
        <v>11</v>
      </c>
      <c r="C360" s="19" t="s">
        <v>404</v>
      </c>
      <c r="D360" s="15">
        <v>0.5</v>
      </c>
      <c r="E360" s="21">
        <v>1</v>
      </c>
      <c r="F360" s="20">
        <f t="shared" si="32"/>
        <v>0.5</v>
      </c>
      <c r="G360" s="69">
        <v>13461</v>
      </c>
      <c r="H360" s="20">
        <f t="shared" si="33"/>
        <v>6730.5</v>
      </c>
      <c r="I360" s="2"/>
      <c r="J360" s="17"/>
      <c r="K360" s="17"/>
      <c r="L360" s="17"/>
    </row>
    <row r="361" spans="1:12">
      <c r="A361" s="37"/>
      <c r="B361" s="36">
        <v>12</v>
      </c>
      <c r="C361" s="19" t="s">
        <v>405</v>
      </c>
      <c r="D361" s="15">
        <v>40</v>
      </c>
      <c r="E361" s="21">
        <v>1</v>
      </c>
      <c r="F361" s="20">
        <f t="shared" si="32"/>
        <v>40</v>
      </c>
      <c r="G361" s="69">
        <v>1184</v>
      </c>
      <c r="H361" s="20">
        <f t="shared" si="33"/>
        <v>47360</v>
      </c>
      <c r="I361" s="2"/>
      <c r="J361" s="17"/>
      <c r="K361" s="17"/>
      <c r="L361" s="17"/>
    </row>
    <row r="362" spans="1:12">
      <c r="A362" s="37"/>
      <c r="B362" s="36">
        <v>13</v>
      </c>
      <c r="C362" s="19" t="s">
        <v>406</v>
      </c>
      <c r="D362" s="15">
        <v>0.1</v>
      </c>
      <c r="E362" s="21">
        <v>1</v>
      </c>
      <c r="F362" s="20">
        <f t="shared" si="32"/>
        <v>0.1</v>
      </c>
      <c r="G362" s="69">
        <v>91538</v>
      </c>
      <c r="H362" s="20">
        <f t="shared" si="33"/>
        <v>9153.8000000000011</v>
      </c>
      <c r="I362" s="2"/>
      <c r="J362" s="17"/>
      <c r="K362" s="17"/>
      <c r="L362" s="17"/>
    </row>
    <row r="363" spans="1:12">
      <c r="A363" s="37"/>
      <c r="B363" s="36">
        <v>14</v>
      </c>
      <c r="C363" s="19" t="s">
        <v>407</v>
      </c>
      <c r="D363" s="15">
        <v>4</v>
      </c>
      <c r="E363" s="21">
        <v>1</v>
      </c>
      <c r="F363" s="20">
        <f t="shared" si="32"/>
        <v>4</v>
      </c>
      <c r="G363" s="69">
        <v>930</v>
      </c>
      <c r="H363" s="20">
        <f t="shared" si="33"/>
        <v>3720</v>
      </c>
      <c r="I363" s="2"/>
      <c r="J363" s="17"/>
      <c r="K363" s="17"/>
      <c r="L363" s="17"/>
    </row>
    <row r="364" spans="1:12">
      <c r="A364" s="37"/>
      <c r="B364" s="36">
        <v>15</v>
      </c>
      <c r="C364" s="19" t="s">
        <v>408</v>
      </c>
      <c r="D364" s="15">
        <v>1</v>
      </c>
      <c r="E364" s="21">
        <v>1</v>
      </c>
      <c r="F364" s="20">
        <f t="shared" si="32"/>
        <v>1</v>
      </c>
      <c r="G364" s="69">
        <v>10000</v>
      </c>
      <c r="H364" s="20">
        <f t="shared" si="33"/>
        <v>10000</v>
      </c>
      <c r="I364" s="2"/>
      <c r="J364" s="17"/>
      <c r="K364" s="17"/>
      <c r="L364" s="17"/>
    </row>
    <row r="365" spans="1:12">
      <c r="A365" s="37"/>
      <c r="B365" s="36">
        <v>16</v>
      </c>
      <c r="C365" s="19" t="s">
        <v>409</v>
      </c>
      <c r="D365" s="15">
        <v>0.1</v>
      </c>
      <c r="E365" s="21">
        <v>1</v>
      </c>
      <c r="F365" s="20">
        <f t="shared" si="32"/>
        <v>0.1</v>
      </c>
      <c r="G365" s="69">
        <v>129230</v>
      </c>
      <c r="H365" s="20">
        <f t="shared" si="33"/>
        <v>12923</v>
      </c>
      <c r="I365" s="2"/>
      <c r="J365" s="17"/>
      <c r="K365" s="17"/>
      <c r="L365" s="17"/>
    </row>
    <row r="366" spans="1:12">
      <c r="A366" s="37"/>
      <c r="B366" s="36">
        <v>17</v>
      </c>
      <c r="C366" s="19" t="s">
        <v>410</v>
      </c>
      <c r="D366" s="15">
        <v>1</v>
      </c>
      <c r="E366" s="21">
        <v>1</v>
      </c>
      <c r="F366" s="20">
        <f t="shared" si="32"/>
        <v>1</v>
      </c>
      <c r="G366" s="69">
        <v>230769</v>
      </c>
      <c r="H366" s="20">
        <f t="shared" si="33"/>
        <v>230769</v>
      </c>
      <c r="I366" s="2"/>
      <c r="J366" s="17"/>
      <c r="K366" s="17"/>
      <c r="L366" s="17"/>
    </row>
    <row r="367" spans="1:12">
      <c r="A367" s="37"/>
      <c r="B367" s="36">
        <v>18</v>
      </c>
      <c r="C367" s="19" t="s">
        <v>411</v>
      </c>
      <c r="D367" s="15">
        <v>2</v>
      </c>
      <c r="E367" s="21">
        <v>1</v>
      </c>
      <c r="F367" s="20">
        <f t="shared" si="32"/>
        <v>2</v>
      </c>
      <c r="G367" s="69">
        <v>1607</v>
      </c>
      <c r="H367" s="20">
        <f t="shared" si="33"/>
        <v>3214</v>
      </c>
      <c r="I367" s="2"/>
      <c r="J367" s="17"/>
      <c r="K367" s="17"/>
      <c r="L367" s="17"/>
    </row>
    <row r="368" spans="1:12">
      <c r="A368" s="37"/>
      <c r="B368" s="36">
        <v>19</v>
      </c>
      <c r="C368" s="19" t="s">
        <v>412</v>
      </c>
      <c r="D368" s="15">
        <v>1</v>
      </c>
      <c r="E368" s="21">
        <v>1</v>
      </c>
      <c r="F368" s="20">
        <f t="shared" si="32"/>
        <v>1</v>
      </c>
      <c r="G368" s="69">
        <v>846</v>
      </c>
      <c r="H368" s="20">
        <f t="shared" si="33"/>
        <v>846</v>
      </c>
      <c r="I368" s="2"/>
      <c r="J368" s="17"/>
      <c r="K368" s="17"/>
      <c r="L368" s="17"/>
    </row>
    <row r="369" spans="1:12">
      <c r="A369" s="37"/>
      <c r="B369" s="36">
        <v>20</v>
      </c>
      <c r="C369" s="19" t="s">
        <v>413</v>
      </c>
      <c r="D369" s="15">
        <v>1</v>
      </c>
      <c r="E369" s="21">
        <v>1</v>
      </c>
      <c r="F369" s="20">
        <f t="shared" si="32"/>
        <v>1</v>
      </c>
      <c r="G369" s="69">
        <v>9230</v>
      </c>
      <c r="H369" s="20">
        <f t="shared" si="33"/>
        <v>9230</v>
      </c>
      <c r="I369" s="2"/>
      <c r="J369" s="17"/>
      <c r="K369" s="17"/>
      <c r="L369" s="17"/>
    </row>
    <row r="370" spans="1:12">
      <c r="A370" s="37"/>
      <c r="B370" s="36">
        <v>21</v>
      </c>
      <c r="C370" s="19" t="s">
        <v>414</v>
      </c>
      <c r="D370" s="15">
        <v>0.5</v>
      </c>
      <c r="E370" s="21">
        <v>1</v>
      </c>
      <c r="F370" s="20">
        <f t="shared" si="32"/>
        <v>0.5</v>
      </c>
      <c r="G370" s="69">
        <v>60000</v>
      </c>
      <c r="H370" s="20">
        <f t="shared" si="33"/>
        <v>30000</v>
      </c>
      <c r="I370" s="2"/>
      <c r="J370" s="17"/>
      <c r="K370" s="17"/>
      <c r="L370" s="17"/>
    </row>
    <row r="371" spans="1:12">
      <c r="A371" s="37"/>
      <c r="B371" s="36">
        <v>22</v>
      </c>
      <c r="C371" s="19" t="s">
        <v>415</v>
      </c>
      <c r="D371" s="15">
        <v>1</v>
      </c>
      <c r="E371" s="21">
        <v>1</v>
      </c>
      <c r="F371" s="20">
        <f t="shared" si="32"/>
        <v>1</v>
      </c>
      <c r="G371" s="69">
        <v>4307</v>
      </c>
      <c r="H371" s="20">
        <f t="shared" si="33"/>
        <v>4307</v>
      </c>
      <c r="I371" s="2"/>
      <c r="J371" s="17"/>
      <c r="K371" s="17"/>
      <c r="L371" s="17"/>
    </row>
    <row r="372" spans="1:12">
      <c r="A372" s="37"/>
      <c r="B372" s="36">
        <v>23</v>
      </c>
      <c r="C372" s="19" t="s">
        <v>416</v>
      </c>
      <c r="D372" s="15">
        <v>8</v>
      </c>
      <c r="E372" s="21">
        <v>1</v>
      </c>
      <c r="F372" s="20">
        <f t="shared" si="32"/>
        <v>8</v>
      </c>
      <c r="G372" s="69">
        <v>1000</v>
      </c>
      <c r="H372" s="20">
        <f t="shared" si="33"/>
        <v>8000</v>
      </c>
      <c r="I372" s="2"/>
      <c r="J372" s="17"/>
      <c r="K372" s="17"/>
      <c r="L372" s="17"/>
    </row>
    <row r="373" spans="1:12">
      <c r="A373" s="37"/>
      <c r="B373" s="36">
        <v>24</v>
      </c>
      <c r="C373" s="19" t="s">
        <v>417</v>
      </c>
      <c r="D373" s="15">
        <v>1</v>
      </c>
      <c r="E373" s="21">
        <v>1</v>
      </c>
      <c r="F373" s="20">
        <f t="shared" si="32"/>
        <v>1</v>
      </c>
      <c r="G373" s="69">
        <v>49538</v>
      </c>
      <c r="H373" s="20">
        <f t="shared" si="33"/>
        <v>49538</v>
      </c>
      <c r="I373" s="2"/>
      <c r="J373" s="17"/>
      <c r="K373" s="17"/>
      <c r="L373" s="17"/>
    </row>
    <row r="374" spans="1:12">
      <c r="A374" s="37"/>
      <c r="B374" s="36">
        <v>25</v>
      </c>
      <c r="C374" s="19" t="s">
        <v>418</v>
      </c>
      <c r="D374" s="15">
        <v>2</v>
      </c>
      <c r="E374" s="21">
        <v>1</v>
      </c>
      <c r="F374" s="20">
        <f t="shared" si="32"/>
        <v>2</v>
      </c>
      <c r="G374" s="69">
        <v>2000</v>
      </c>
      <c r="H374" s="20">
        <f t="shared" si="33"/>
        <v>4000</v>
      </c>
      <c r="I374" s="2"/>
      <c r="J374" s="17"/>
      <c r="K374" s="17"/>
      <c r="L374" s="17"/>
    </row>
    <row r="375" spans="1:12">
      <c r="A375" s="37"/>
      <c r="B375" s="36">
        <v>26</v>
      </c>
      <c r="C375" s="19" t="s">
        <v>419</v>
      </c>
      <c r="D375" s="15">
        <v>5</v>
      </c>
      <c r="E375" s="21">
        <v>1</v>
      </c>
      <c r="F375" s="20">
        <f t="shared" si="32"/>
        <v>5</v>
      </c>
      <c r="G375" s="69">
        <v>346</v>
      </c>
      <c r="H375" s="20">
        <f t="shared" si="33"/>
        <v>1730</v>
      </c>
      <c r="I375" s="2"/>
      <c r="J375" s="17"/>
      <c r="K375" s="17"/>
      <c r="L375" s="17"/>
    </row>
    <row r="376" spans="1:12">
      <c r="A376" s="37"/>
      <c r="B376" s="36">
        <v>27</v>
      </c>
      <c r="C376" s="19" t="s">
        <v>420</v>
      </c>
      <c r="D376" s="15">
        <v>5</v>
      </c>
      <c r="E376" s="21">
        <v>1</v>
      </c>
      <c r="F376" s="20">
        <f t="shared" si="32"/>
        <v>5</v>
      </c>
      <c r="G376" s="69">
        <v>542</v>
      </c>
      <c r="H376" s="20">
        <f t="shared" si="33"/>
        <v>2710</v>
      </c>
      <c r="I376" s="2"/>
      <c r="J376" s="17"/>
      <c r="K376" s="17"/>
      <c r="L376" s="17"/>
    </row>
    <row r="377" spans="1:12">
      <c r="A377" s="37"/>
      <c r="B377" s="36">
        <v>28</v>
      </c>
      <c r="C377" s="19" t="s">
        <v>421</v>
      </c>
      <c r="D377" s="15">
        <v>15</v>
      </c>
      <c r="E377" s="21">
        <v>1</v>
      </c>
      <c r="F377" s="20">
        <f t="shared" si="32"/>
        <v>15</v>
      </c>
      <c r="G377" s="69">
        <v>222</v>
      </c>
      <c r="H377" s="20">
        <f t="shared" si="33"/>
        <v>3330</v>
      </c>
      <c r="I377" s="2"/>
      <c r="J377" s="17"/>
      <c r="K377" s="17"/>
      <c r="L377" s="17"/>
    </row>
    <row r="378" spans="1:12">
      <c r="A378" s="37"/>
      <c r="B378" s="36">
        <v>29</v>
      </c>
      <c r="C378" s="19" t="s">
        <v>422</v>
      </c>
      <c r="D378" s="15">
        <v>15</v>
      </c>
      <c r="E378" s="21">
        <v>1</v>
      </c>
      <c r="F378" s="20">
        <f t="shared" si="32"/>
        <v>15</v>
      </c>
      <c r="G378" s="69">
        <v>255</v>
      </c>
      <c r="H378" s="20">
        <f t="shared" si="33"/>
        <v>3825</v>
      </c>
      <c r="I378" s="2"/>
      <c r="J378" s="17"/>
      <c r="K378" s="17"/>
      <c r="L378" s="17"/>
    </row>
    <row r="379" spans="1:12">
      <c r="A379" s="37"/>
      <c r="B379" s="36">
        <v>30</v>
      </c>
      <c r="C379" s="19" t="s">
        <v>423</v>
      </c>
      <c r="D379" s="15">
        <v>15</v>
      </c>
      <c r="E379" s="21">
        <v>1</v>
      </c>
      <c r="F379" s="20">
        <f t="shared" si="32"/>
        <v>15</v>
      </c>
      <c r="G379" s="69">
        <v>307</v>
      </c>
      <c r="H379" s="20">
        <f t="shared" si="33"/>
        <v>4605</v>
      </c>
      <c r="I379" s="2"/>
      <c r="J379" s="17"/>
      <c r="K379" s="17"/>
      <c r="L379" s="17"/>
    </row>
    <row r="380" spans="1:12">
      <c r="A380" s="37"/>
      <c r="B380" s="36">
        <v>31</v>
      </c>
      <c r="C380" s="19" t="s">
        <v>424</v>
      </c>
      <c r="D380" s="15">
        <v>10</v>
      </c>
      <c r="E380" s="21">
        <v>1</v>
      </c>
      <c r="F380" s="20">
        <f t="shared" si="32"/>
        <v>10</v>
      </c>
      <c r="G380" s="69">
        <v>727</v>
      </c>
      <c r="H380" s="20">
        <f t="shared" si="33"/>
        <v>7270</v>
      </c>
      <c r="I380" s="2"/>
      <c r="J380" s="17"/>
      <c r="K380" s="17"/>
      <c r="L380" s="17"/>
    </row>
    <row r="381" spans="1:12">
      <c r="A381" s="37"/>
      <c r="B381" s="36">
        <v>32</v>
      </c>
      <c r="C381" s="19" t="s">
        <v>425</v>
      </c>
      <c r="D381" s="15">
        <v>3</v>
      </c>
      <c r="E381" s="21">
        <v>1</v>
      </c>
      <c r="F381" s="20">
        <f t="shared" si="32"/>
        <v>3</v>
      </c>
      <c r="G381" s="69">
        <v>1666</v>
      </c>
      <c r="H381" s="20">
        <f t="shared" si="33"/>
        <v>4998</v>
      </c>
      <c r="I381" s="2"/>
      <c r="J381" s="17"/>
      <c r="K381" s="17"/>
      <c r="L381" s="17"/>
    </row>
    <row r="382" spans="1:12">
      <c r="A382" s="37"/>
      <c r="B382" s="36">
        <v>33</v>
      </c>
      <c r="C382" s="19" t="s">
        <v>426</v>
      </c>
      <c r="D382" s="15">
        <v>4</v>
      </c>
      <c r="E382" s="21">
        <v>1</v>
      </c>
      <c r="F382" s="20">
        <f t="shared" si="32"/>
        <v>4</v>
      </c>
      <c r="G382" s="69">
        <v>7413</v>
      </c>
      <c r="H382" s="20">
        <f t="shared" si="33"/>
        <v>29652</v>
      </c>
      <c r="I382" s="2"/>
      <c r="J382" s="17"/>
      <c r="K382" s="17"/>
      <c r="L382" s="17"/>
    </row>
    <row r="383" spans="1:12">
      <c r="A383" s="37"/>
      <c r="B383" s="36">
        <v>34</v>
      </c>
      <c r="C383" s="19" t="s">
        <v>427</v>
      </c>
      <c r="D383" s="15">
        <v>1</v>
      </c>
      <c r="E383" s="21">
        <v>1</v>
      </c>
      <c r="F383" s="20">
        <f t="shared" si="32"/>
        <v>1</v>
      </c>
      <c r="G383" s="69">
        <v>146111</v>
      </c>
      <c r="H383" s="20">
        <f t="shared" si="33"/>
        <v>146111</v>
      </c>
      <c r="I383" s="2"/>
      <c r="J383" s="17"/>
      <c r="K383" s="17"/>
      <c r="L383" s="17"/>
    </row>
    <row r="384" spans="1:12">
      <c r="A384" s="37"/>
      <c r="B384" s="36">
        <v>35</v>
      </c>
      <c r="C384" s="19" t="s">
        <v>428</v>
      </c>
      <c r="D384" s="15">
        <v>0.25</v>
      </c>
      <c r="E384" s="21">
        <v>1</v>
      </c>
      <c r="F384" s="20">
        <f t="shared" si="32"/>
        <v>0.25</v>
      </c>
      <c r="G384" s="69">
        <v>82831</v>
      </c>
      <c r="H384" s="20">
        <f t="shared" si="33"/>
        <v>20707.75</v>
      </c>
      <c r="I384" s="2"/>
      <c r="J384" s="17"/>
      <c r="K384" s="17"/>
      <c r="L384" s="17"/>
    </row>
    <row r="385" spans="1:12">
      <c r="A385" s="37"/>
      <c r="B385" s="36">
        <v>36</v>
      </c>
      <c r="C385" s="19" t="s">
        <v>429</v>
      </c>
      <c r="D385" s="15">
        <v>1</v>
      </c>
      <c r="E385" s="21">
        <v>1</v>
      </c>
      <c r="F385" s="20">
        <f t="shared" si="32"/>
        <v>1</v>
      </c>
      <c r="G385" s="69">
        <v>25000</v>
      </c>
      <c r="H385" s="20">
        <f t="shared" si="33"/>
        <v>25000</v>
      </c>
      <c r="I385" s="2"/>
      <c r="J385" s="17"/>
      <c r="K385" s="17"/>
      <c r="L385" s="17"/>
    </row>
    <row r="386" spans="1:12">
      <c r="A386" s="37"/>
      <c r="B386" s="36">
        <v>37</v>
      </c>
      <c r="C386" s="19" t="s">
        <v>430</v>
      </c>
      <c r="D386" s="15">
        <v>1</v>
      </c>
      <c r="E386" s="21">
        <v>1</v>
      </c>
      <c r="F386" s="20">
        <f t="shared" si="32"/>
        <v>1</v>
      </c>
      <c r="G386" s="69">
        <v>350</v>
      </c>
      <c r="H386" s="20">
        <f t="shared" si="33"/>
        <v>350</v>
      </c>
      <c r="I386" s="2"/>
      <c r="J386" s="17"/>
      <c r="K386" s="17"/>
      <c r="L386" s="17"/>
    </row>
    <row r="387" spans="1:12">
      <c r="A387" s="37"/>
      <c r="B387" s="36">
        <v>38</v>
      </c>
      <c r="C387" s="19" t="s">
        <v>431</v>
      </c>
      <c r="D387" s="15">
        <v>1</v>
      </c>
      <c r="E387" s="21">
        <v>1</v>
      </c>
      <c r="F387" s="20">
        <f t="shared" si="32"/>
        <v>1</v>
      </c>
      <c r="G387" s="69">
        <v>3846</v>
      </c>
      <c r="H387" s="20">
        <f t="shared" si="33"/>
        <v>3846</v>
      </c>
      <c r="I387" s="2"/>
      <c r="J387" s="17"/>
      <c r="K387" s="17"/>
      <c r="L387" s="17"/>
    </row>
    <row r="388" spans="1:12">
      <c r="A388" s="37"/>
      <c r="B388" s="36">
        <v>39</v>
      </c>
      <c r="C388" s="19" t="s">
        <v>432</v>
      </c>
      <c r="D388" s="15">
        <v>1</v>
      </c>
      <c r="E388" s="21">
        <v>1</v>
      </c>
      <c r="F388" s="20">
        <f t="shared" si="32"/>
        <v>1</v>
      </c>
      <c r="G388" s="69">
        <v>6923</v>
      </c>
      <c r="H388" s="20">
        <f t="shared" si="33"/>
        <v>6923</v>
      </c>
      <c r="I388" s="2"/>
      <c r="J388" s="17"/>
      <c r="K388" s="17"/>
      <c r="L388" s="17"/>
    </row>
    <row r="389" spans="1:12">
      <c r="A389" s="37"/>
      <c r="B389" s="36">
        <v>40</v>
      </c>
      <c r="C389" s="19" t="s">
        <v>433</v>
      </c>
      <c r="D389" s="15">
        <v>3</v>
      </c>
      <c r="E389" s="21">
        <v>1</v>
      </c>
      <c r="F389" s="20">
        <f t="shared" si="32"/>
        <v>3</v>
      </c>
      <c r="G389" s="69">
        <v>558</v>
      </c>
      <c r="H389" s="20">
        <f t="shared" si="33"/>
        <v>1674</v>
      </c>
      <c r="I389" s="2"/>
      <c r="J389" s="17"/>
      <c r="K389" s="17"/>
      <c r="L389" s="17"/>
    </row>
    <row r="390" spans="1:12">
      <c r="A390" s="37"/>
      <c r="B390" s="36">
        <v>41</v>
      </c>
      <c r="C390" s="19" t="s">
        <v>434</v>
      </c>
      <c r="D390" s="15">
        <v>2</v>
      </c>
      <c r="E390" s="21">
        <v>1</v>
      </c>
      <c r="F390" s="20">
        <f t="shared" si="32"/>
        <v>2</v>
      </c>
      <c r="G390" s="69">
        <v>9692</v>
      </c>
      <c r="H390" s="20">
        <f t="shared" si="33"/>
        <v>19384</v>
      </c>
      <c r="I390" s="2"/>
      <c r="J390" s="17"/>
      <c r="K390" s="17"/>
      <c r="L390" s="17"/>
    </row>
    <row r="391" spans="1:12">
      <c r="A391" s="37"/>
      <c r="B391" s="36">
        <v>42</v>
      </c>
      <c r="C391" s="19" t="s">
        <v>435</v>
      </c>
      <c r="D391" s="15">
        <v>2</v>
      </c>
      <c r="E391" s="21">
        <v>1</v>
      </c>
      <c r="F391" s="20">
        <f t="shared" si="32"/>
        <v>2</v>
      </c>
      <c r="G391" s="69">
        <v>3692</v>
      </c>
      <c r="H391" s="20">
        <f t="shared" si="33"/>
        <v>7384</v>
      </c>
      <c r="I391" s="2"/>
      <c r="J391" s="17"/>
      <c r="K391" s="17"/>
      <c r="L391" s="17"/>
    </row>
    <row r="392" spans="1:12">
      <c r="A392" s="37"/>
      <c r="B392" s="36">
        <v>43</v>
      </c>
      <c r="C392" s="19" t="s">
        <v>436</v>
      </c>
      <c r="D392" s="15">
        <v>25</v>
      </c>
      <c r="E392" s="21">
        <v>1</v>
      </c>
      <c r="F392" s="20">
        <f t="shared" si="32"/>
        <v>25</v>
      </c>
      <c r="G392" s="69">
        <v>1489</v>
      </c>
      <c r="H392" s="20">
        <f t="shared" si="33"/>
        <v>37225</v>
      </c>
      <c r="I392" s="2"/>
      <c r="J392" s="17"/>
      <c r="K392" s="17"/>
      <c r="L392" s="17"/>
    </row>
    <row r="393" spans="1:12">
      <c r="A393" s="37"/>
      <c r="B393" s="36">
        <v>44</v>
      </c>
      <c r="C393" s="19" t="s">
        <v>437</v>
      </c>
      <c r="D393" s="15">
        <v>6</v>
      </c>
      <c r="E393" s="21">
        <v>1</v>
      </c>
      <c r="F393" s="20">
        <f t="shared" si="32"/>
        <v>6</v>
      </c>
      <c r="G393" s="69">
        <v>1489</v>
      </c>
      <c r="H393" s="20">
        <f t="shared" si="33"/>
        <v>8934</v>
      </c>
      <c r="I393" s="2"/>
      <c r="J393" s="17"/>
      <c r="K393" s="17"/>
      <c r="L393" s="17"/>
    </row>
    <row r="394" spans="1:12">
      <c r="A394" s="37"/>
      <c r="B394" s="36">
        <v>45</v>
      </c>
      <c r="C394" s="19" t="s">
        <v>438</v>
      </c>
      <c r="D394" s="15">
        <v>2</v>
      </c>
      <c r="E394" s="21">
        <v>1</v>
      </c>
      <c r="F394" s="20">
        <f t="shared" si="32"/>
        <v>2</v>
      </c>
      <c r="G394" s="69">
        <v>24679</v>
      </c>
      <c r="H394" s="20">
        <f t="shared" si="33"/>
        <v>49358</v>
      </c>
      <c r="I394" s="2"/>
      <c r="J394" s="17"/>
      <c r="K394" s="17"/>
      <c r="L394" s="17"/>
    </row>
    <row r="395" spans="1:12">
      <c r="A395" s="37"/>
      <c r="B395" s="36">
        <v>46</v>
      </c>
      <c r="C395" s="19" t="s">
        <v>439</v>
      </c>
      <c r="D395" s="15">
        <v>2</v>
      </c>
      <c r="E395" s="21">
        <v>1</v>
      </c>
      <c r="F395" s="20">
        <f t="shared" si="32"/>
        <v>2</v>
      </c>
      <c r="G395" s="69">
        <v>13559</v>
      </c>
      <c r="H395" s="20">
        <f t="shared" si="33"/>
        <v>27118</v>
      </c>
      <c r="I395" s="2"/>
      <c r="J395" s="17"/>
      <c r="K395" s="17"/>
      <c r="L395" s="17"/>
    </row>
    <row r="396" spans="1:12">
      <c r="A396" s="37"/>
      <c r="B396" s="36">
        <v>47</v>
      </c>
      <c r="C396" s="19" t="s">
        <v>440</v>
      </c>
      <c r="D396" s="15">
        <v>2</v>
      </c>
      <c r="E396" s="21">
        <v>1</v>
      </c>
      <c r="F396" s="20">
        <f t="shared" si="32"/>
        <v>2</v>
      </c>
      <c r="G396" s="69">
        <v>3846</v>
      </c>
      <c r="H396" s="20">
        <f t="shared" si="33"/>
        <v>7692</v>
      </c>
      <c r="I396" s="2"/>
      <c r="J396" s="17"/>
      <c r="K396" s="17"/>
      <c r="L396" s="17"/>
    </row>
    <row r="397" spans="1:12">
      <c r="A397" s="37"/>
      <c r="B397" s="36">
        <v>48</v>
      </c>
      <c r="C397" s="19" t="s">
        <v>441</v>
      </c>
      <c r="D397" s="15">
        <v>2</v>
      </c>
      <c r="E397" s="21">
        <v>1</v>
      </c>
      <c r="F397" s="20">
        <f t="shared" si="32"/>
        <v>2</v>
      </c>
      <c r="G397" s="69">
        <v>3846</v>
      </c>
      <c r="H397" s="20">
        <f t="shared" si="33"/>
        <v>7692</v>
      </c>
      <c r="I397" s="2"/>
      <c r="J397" s="17"/>
      <c r="K397" s="17"/>
      <c r="L397" s="17"/>
    </row>
    <row r="398" spans="1:12">
      <c r="A398" s="37"/>
      <c r="B398" s="36">
        <v>49</v>
      </c>
      <c r="C398" s="19" t="s">
        <v>442</v>
      </c>
      <c r="D398" s="15">
        <v>6</v>
      </c>
      <c r="E398" s="21">
        <v>1</v>
      </c>
      <c r="F398" s="20">
        <f t="shared" si="32"/>
        <v>6</v>
      </c>
      <c r="G398" s="69">
        <v>1666</v>
      </c>
      <c r="H398" s="20">
        <f t="shared" si="33"/>
        <v>9996</v>
      </c>
      <c r="I398" s="2"/>
      <c r="J398" s="17"/>
      <c r="K398" s="17"/>
      <c r="L398" s="17"/>
    </row>
    <row r="399" spans="1:12">
      <c r="A399" s="37"/>
      <c r="B399" s="36">
        <v>50</v>
      </c>
      <c r="C399" s="19" t="s">
        <v>443</v>
      </c>
      <c r="D399" s="15">
        <v>4</v>
      </c>
      <c r="E399" s="21">
        <v>1</v>
      </c>
      <c r="F399" s="20">
        <f t="shared" si="32"/>
        <v>4</v>
      </c>
      <c r="G399" s="69">
        <v>10758</v>
      </c>
      <c r="H399" s="20">
        <f t="shared" si="33"/>
        <v>43032</v>
      </c>
      <c r="I399" s="2"/>
      <c r="J399" s="17"/>
      <c r="K399" s="17"/>
      <c r="L399" s="17"/>
    </row>
    <row r="400" spans="1:12">
      <c r="A400" s="37"/>
      <c r="B400" s="36">
        <v>51</v>
      </c>
      <c r="C400" s="19" t="s">
        <v>444</v>
      </c>
      <c r="D400" s="15">
        <v>1</v>
      </c>
      <c r="E400" s="21">
        <v>1</v>
      </c>
      <c r="F400" s="20">
        <f t="shared" si="32"/>
        <v>1</v>
      </c>
      <c r="G400" s="69">
        <v>2900</v>
      </c>
      <c r="H400" s="20">
        <f t="shared" si="33"/>
        <v>2900</v>
      </c>
      <c r="I400" s="2"/>
      <c r="J400" s="17"/>
      <c r="K400" s="17"/>
      <c r="L400" s="17"/>
    </row>
    <row r="401" spans="1:12">
      <c r="A401" s="37"/>
      <c r="B401" s="36">
        <v>52</v>
      </c>
      <c r="C401" s="19" t="s">
        <v>445</v>
      </c>
      <c r="D401" s="15">
        <v>15</v>
      </c>
      <c r="E401" s="21">
        <v>1</v>
      </c>
      <c r="F401" s="20">
        <f t="shared" si="32"/>
        <v>15</v>
      </c>
      <c r="G401" s="69">
        <v>100</v>
      </c>
      <c r="H401" s="20">
        <f t="shared" si="33"/>
        <v>1500</v>
      </c>
      <c r="I401" s="2"/>
      <c r="J401" s="17"/>
      <c r="K401" s="17"/>
      <c r="L401" s="17"/>
    </row>
    <row r="402" spans="1:12">
      <c r="A402" s="37"/>
      <c r="B402" s="36">
        <v>53</v>
      </c>
      <c r="C402" s="19" t="s">
        <v>446</v>
      </c>
      <c r="D402" s="15">
        <v>1</v>
      </c>
      <c r="E402" s="21">
        <v>1</v>
      </c>
      <c r="F402" s="20">
        <f t="shared" si="32"/>
        <v>1</v>
      </c>
      <c r="G402" s="69">
        <v>4615</v>
      </c>
      <c r="H402" s="20">
        <f t="shared" si="33"/>
        <v>4615</v>
      </c>
      <c r="I402" s="2"/>
      <c r="J402" s="17"/>
      <c r="K402" s="17"/>
      <c r="L402" s="17"/>
    </row>
    <row r="403" spans="1:12">
      <c r="A403" s="37"/>
      <c r="B403" s="36">
        <v>54</v>
      </c>
      <c r="C403" s="19" t="s">
        <v>447</v>
      </c>
      <c r="D403" s="15">
        <v>1</v>
      </c>
      <c r="E403" s="21">
        <v>1</v>
      </c>
      <c r="F403" s="20">
        <f t="shared" si="32"/>
        <v>1</v>
      </c>
      <c r="G403" s="69">
        <v>19500</v>
      </c>
      <c r="H403" s="20">
        <f t="shared" si="33"/>
        <v>19500</v>
      </c>
      <c r="I403" s="2"/>
      <c r="J403" s="17"/>
      <c r="K403" s="17"/>
      <c r="L403" s="17"/>
    </row>
    <row r="404" spans="1:12">
      <c r="A404" s="37"/>
      <c r="B404" s="36">
        <v>55</v>
      </c>
      <c r="C404" s="19" t="s">
        <v>448</v>
      </c>
      <c r="D404" s="15">
        <v>2</v>
      </c>
      <c r="E404" s="21">
        <v>1</v>
      </c>
      <c r="F404" s="20">
        <f t="shared" si="32"/>
        <v>2</v>
      </c>
      <c r="G404" s="69">
        <v>2407</v>
      </c>
      <c r="H404" s="20">
        <f t="shared" si="33"/>
        <v>4814</v>
      </c>
      <c r="I404" s="2"/>
      <c r="J404" s="17"/>
      <c r="K404" s="17"/>
      <c r="L404" s="17"/>
    </row>
    <row r="405" spans="1:12">
      <c r="A405" s="37"/>
      <c r="B405" s="36">
        <v>56</v>
      </c>
      <c r="C405" s="19" t="s">
        <v>449</v>
      </c>
      <c r="D405" s="15">
        <v>2</v>
      </c>
      <c r="E405" s="21">
        <v>1</v>
      </c>
      <c r="F405" s="20">
        <f t="shared" si="32"/>
        <v>2</v>
      </c>
      <c r="G405" s="69">
        <v>6000</v>
      </c>
      <c r="H405" s="20">
        <f t="shared" si="33"/>
        <v>12000</v>
      </c>
      <c r="I405" s="2"/>
      <c r="J405" s="17"/>
      <c r="K405" s="17"/>
      <c r="L405" s="17"/>
    </row>
    <row r="406" spans="1:12">
      <c r="A406" s="37"/>
      <c r="B406" s="36">
        <v>57</v>
      </c>
      <c r="C406" s="19" t="s">
        <v>450</v>
      </c>
      <c r="D406" s="15">
        <v>1</v>
      </c>
      <c r="E406" s="21">
        <v>1</v>
      </c>
      <c r="F406" s="20">
        <f t="shared" si="32"/>
        <v>1</v>
      </c>
      <c r="G406" s="69">
        <v>2000</v>
      </c>
      <c r="H406" s="20">
        <f t="shared" si="33"/>
        <v>2000</v>
      </c>
      <c r="I406" s="2"/>
      <c r="J406" s="17"/>
      <c r="K406" s="17"/>
      <c r="L406" s="17"/>
    </row>
    <row r="407" spans="1:12">
      <c r="A407" s="37"/>
      <c r="B407" s="36">
        <v>58</v>
      </c>
      <c r="C407" s="19" t="s">
        <v>451</v>
      </c>
      <c r="D407" s="15">
        <v>5</v>
      </c>
      <c r="E407" s="21">
        <v>1</v>
      </c>
      <c r="F407" s="20">
        <f t="shared" si="32"/>
        <v>5</v>
      </c>
      <c r="G407" s="69">
        <v>2140</v>
      </c>
      <c r="H407" s="20">
        <f t="shared" si="33"/>
        <v>10700</v>
      </c>
      <c r="I407" s="2"/>
      <c r="J407" s="17"/>
      <c r="K407" s="17"/>
      <c r="L407" s="17"/>
    </row>
    <row r="408" spans="1:12">
      <c r="A408" s="37"/>
      <c r="B408" s="36">
        <v>59</v>
      </c>
      <c r="C408" s="19" t="s">
        <v>452</v>
      </c>
      <c r="D408" s="15">
        <v>5</v>
      </c>
      <c r="E408" s="21">
        <v>1</v>
      </c>
      <c r="F408" s="20">
        <f t="shared" si="32"/>
        <v>5</v>
      </c>
      <c r="G408" s="69">
        <v>2084</v>
      </c>
      <c r="H408" s="20">
        <f t="shared" si="33"/>
        <v>10420</v>
      </c>
      <c r="I408" s="2"/>
      <c r="J408" s="17"/>
      <c r="K408" s="17"/>
      <c r="L408" s="17"/>
    </row>
    <row r="409" spans="1:12">
      <c r="A409" s="37"/>
      <c r="B409" s="36">
        <v>60</v>
      </c>
      <c r="C409" s="19" t="s">
        <v>453</v>
      </c>
      <c r="D409" s="15">
        <v>0</v>
      </c>
      <c r="E409" s="21">
        <v>1</v>
      </c>
      <c r="F409" s="20">
        <f t="shared" si="32"/>
        <v>0</v>
      </c>
      <c r="G409" s="69">
        <v>5000</v>
      </c>
      <c r="H409" s="20">
        <f t="shared" si="33"/>
        <v>0</v>
      </c>
      <c r="I409" s="2"/>
      <c r="J409" s="17"/>
      <c r="K409" s="17"/>
      <c r="L409" s="17"/>
    </row>
    <row r="410" spans="1:12">
      <c r="A410" s="37"/>
      <c r="B410" s="36">
        <v>61</v>
      </c>
      <c r="C410" s="19" t="s">
        <v>454</v>
      </c>
      <c r="D410" s="15">
        <v>1</v>
      </c>
      <c r="E410" s="21">
        <v>1</v>
      </c>
      <c r="F410" s="20">
        <f t="shared" si="32"/>
        <v>1</v>
      </c>
      <c r="G410" s="69">
        <v>269.23</v>
      </c>
      <c r="H410" s="20">
        <f t="shared" si="33"/>
        <v>269.23</v>
      </c>
      <c r="I410" s="2"/>
      <c r="J410" s="17"/>
      <c r="K410" s="17"/>
      <c r="L410" s="17"/>
    </row>
    <row r="411" spans="1:12">
      <c r="A411" s="37"/>
      <c r="B411" s="36">
        <v>62</v>
      </c>
      <c r="C411" s="19" t="s">
        <v>455</v>
      </c>
      <c r="D411" s="15">
        <v>1</v>
      </c>
      <c r="E411" s="21">
        <v>1</v>
      </c>
      <c r="F411" s="20">
        <f t="shared" si="32"/>
        <v>1</v>
      </c>
      <c r="G411" s="69">
        <v>211.54</v>
      </c>
      <c r="H411" s="20">
        <f t="shared" si="33"/>
        <v>211.54</v>
      </c>
      <c r="I411" s="2"/>
      <c r="J411" s="17"/>
      <c r="K411" s="17"/>
      <c r="L411" s="17"/>
    </row>
    <row r="412" spans="1:12">
      <c r="A412" s="37"/>
      <c r="B412" s="36">
        <v>63</v>
      </c>
      <c r="C412" s="19" t="s">
        <v>456</v>
      </c>
      <c r="D412" s="15">
        <v>3</v>
      </c>
      <c r="E412" s="21">
        <v>1</v>
      </c>
      <c r="F412" s="20">
        <f t="shared" si="32"/>
        <v>3</v>
      </c>
      <c r="G412" s="69">
        <v>211.54</v>
      </c>
      <c r="H412" s="20">
        <f t="shared" si="33"/>
        <v>634.62</v>
      </c>
      <c r="I412" s="2"/>
      <c r="J412" s="17"/>
      <c r="K412" s="17"/>
      <c r="L412" s="17"/>
    </row>
    <row r="413" spans="1:12">
      <c r="A413" s="37"/>
      <c r="B413" s="36">
        <v>64</v>
      </c>
      <c r="C413" s="19" t="s">
        <v>457</v>
      </c>
      <c r="D413" s="15">
        <v>2</v>
      </c>
      <c r="E413" s="21">
        <v>1</v>
      </c>
      <c r="F413" s="20">
        <f t="shared" si="32"/>
        <v>2</v>
      </c>
      <c r="G413" s="69">
        <v>211.54</v>
      </c>
      <c r="H413" s="20">
        <f t="shared" si="33"/>
        <v>423.08</v>
      </c>
      <c r="I413" s="2"/>
      <c r="J413" s="17"/>
      <c r="K413" s="17"/>
      <c r="L413" s="17"/>
    </row>
    <row r="414" spans="1:12">
      <c r="A414" s="37"/>
      <c r="B414" s="36">
        <v>65</v>
      </c>
      <c r="C414" s="19" t="s">
        <v>458</v>
      </c>
      <c r="D414" s="15">
        <v>5</v>
      </c>
      <c r="E414" s="21">
        <v>1</v>
      </c>
      <c r="F414" s="20">
        <f t="shared" si="32"/>
        <v>5</v>
      </c>
      <c r="G414" s="69">
        <v>73000</v>
      </c>
      <c r="H414" s="20">
        <f t="shared" si="33"/>
        <v>365000</v>
      </c>
      <c r="I414" s="2"/>
      <c r="J414" s="17"/>
      <c r="K414" s="17"/>
      <c r="L414" s="17"/>
    </row>
    <row r="415" spans="1:12">
      <c r="A415" s="37"/>
      <c r="B415" s="36">
        <v>66</v>
      </c>
      <c r="C415" s="19" t="s">
        <v>459</v>
      </c>
      <c r="D415" s="15">
        <v>1</v>
      </c>
      <c r="E415" s="21">
        <v>1</v>
      </c>
      <c r="F415" s="20">
        <f t="shared" ref="F415:F425" si="34">D415*E415</f>
        <v>1</v>
      </c>
      <c r="G415" s="69">
        <v>48024</v>
      </c>
      <c r="H415" s="20">
        <f t="shared" ref="H415:H425" si="35">F415*G415</f>
        <v>48024</v>
      </c>
      <c r="I415" s="2"/>
      <c r="J415" s="17"/>
      <c r="K415" s="17"/>
      <c r="L415" s="17"/>
    </row>
    <row r="416" spans="1:12">
      <c r="A416" s="37"/>
      <c r="B416" s="36">
        <v>67</v>
      </c>
      <c r="C416" s="19" t="s">
        <v>460</v>
      </c>
      <c r="D416" s="15">
        <v>1</v>
      </c>
      <c r="E416" s="21">
        <v>1</v>
      </c>
      <c r="F416" s="20">
        <f t="shared" si="34"/>
        <v>1</v>
      </c>
      <c r="G416" s="69">
        <v>846</v>
      </c>
      <c r="H416" s="20">
        <f t="shared" si="35"/>
        <v>846</v>
      </c>
      <c r="I416" s="2"/>
      <c r="J416" s="17"/>
      <c r="K416" s="17"/>
      <c r="L416" s="17"/>
    </row>
    <row r="417" spans="1:12">
      <c r="A417" s="37"/>
      <c r="B417" s="36">
        <v>68</v>
      </c>
      <c r="C417" s="19" t="s">
        <v>461</v>
      </c>
      <c r="D417" s="15">
        <v>1</v>
      </c>
      <c r="E417" s="21">
        <v>1</v>
      </c>
      <c r="F417" s="20">
        <f t="shared" si="34"/>
        <v>1</v>
      </c>
      <c r="G417" s="69">
        <v>1607.69</v>
      </c>
      <c r="H417" s="20">
        <f t="shared" si="35"/>
        <v>1607.69</v>
      </c>
      <c r="I417" s="2"/>
      <c r="J417" s="17"/>
      <c r="K417" s="17"/>
      <c r="L417" s="17"/>
    </row>
    <row r="418" spans="1:12">
      <c r="A418" s="37"/>
      <c r="B418" s="36">
        <v>69</v>
      </c>
      <c r="C418" s="19" t="s">
        <v>462</v>
      </c>
      <c r="D418" s="15">
        <v>2</v>
      </c>
      <c r="E418" s="21">
        <v>1</v>
      </c>
      <c r="F418" s="20">
        <f t="shared" si="34"/>
        <v>2</v>
      </c>
      <c r="G418" s="69">
        <v>30000</v>
      </c>
      <c r="H418" s="20">
        <f t="shared" si="35"/>
        <v>60000</v>
      </c>
      <c r="I418" s="2"/>
      <c r="J418" s="17"/>
      <c r="K418" s="17"/>
      <c r="L418" s="17"/>
    </row>
    <row r="419" spans="1:12">
      <c r="A419" s="37"/>
      <c r="B419" s="36">
        <v>70</v>
      </c>
      <c r="C419" s="19" t="s">
        <v>463</v>
      </c>
      <c r="D419" s="15">
        <v>1</v>
      </c>
      <c r="E419" s="21">
        <v>1</v>
      </c>
      <c r="F419" s="20">
        <f t="shared" si="34"/>
        <v>1</v>
      </c>
      <c r="G419" s="69">
        <v>15000</v>
      </c>
      <c r="H419" s="20">
        <f t="shared" si="35"/>
        <v>15000</v>
      </c>
      <c r="I419" s="2"/>
      <c r="J419" s="17"/>
      <c r="K419" s="17"/>
      <c r="L419" s="17"/>
    </row>
    <row r="420" spans="1:12">
      <c r="A420" s="37"/>
      <c r="B420" s="36">
        <v>71</v>
      </c>
      <c r="C420" s="19" t="s">
        <v>464</v>
      </c>
      <c r="D420" s="15">
        <v>1</v>
      </c>
      <c r="E420" s="21">
        <v>1</v>
      </c>
      <c r="F420" s="20">
        <f t="shared" si="34"/>
        <v>1</v>
      </c>
      <c r="G420" s="69">
        <v>2560</v>
      </c>
      <c r="H420" s="20">
        <f t="shared" si="35"/>
        <v>2560</v>
      </c>
      <c r="I420" s="2"/>
      <c r="J420" s="17"/>
      <c r="K420" s="17"/>
      <c r="L420" s="17"/>
    </row>
    <row r="421" spans="1:12">
      <c r="A421" s="37"/>
      <c r="B421" s="36">
        <v>72</v>
      </c>
      <c r="C421" s="19" t="s">
        <v>465</v>
      </c>
      <c r="D421" s="15">
        <v>1</v>
      </c>
      <c r="E421" s="21">
        <v>1</v>
      </c>
      <c r="F421" s="20">
        <f t="shared" si="34"/>
        <v>1</v>
      </c>
      <c r="G421" s="69">
        <v>75450</v>
      </c>
      <c r="H421" s="20">
        <f t="shared" si="35"/>
        <v>75450</v>
      </c>
      <c r="I421" s="2"/>
      <c r="J421" s="17"/>
      <c r="K421" s="17"/>
      <c r="L421" s="17"/>
    </row>
    <row r="422" spans="1:12">
      <c r="A422" s="37"/>
      <c r="B422" s="36">
        <v>73</v>
      </c>
      <c r="C422" s="19" t="s">
        <v>466</v>
      </c>
      <c r="D422" s="20">
        <v>0</v>
      </c>
      <c r="E422" s="21">
        <v>1</v>
      </c>
      <c r="F422" s="20">
        <f t="shared" si="34"/>
        <v>0</v>
      </c>
      <c r="G422" s="69">
        <v>2637462.6800000002</v>
      </c>
      <c r="H422" s="20">
        <f t="shared" si="35"/>
        <v>0</v>
      </c>
      <c r="I422" s="2"/>
      <c r="J422" s="17"/>
      <c r="K422" s="17"/>
      <c r="L422" s="17"/>
    </row>
    <row r="423" spans="1:12">
      <c r="A423" s="37"/>
      <c r="B423" s="36">
        <v>74</v>
      </c>
      <c r="C423" s="19" t="s">
        <v>467</v>
      </c>
      <c r="D423" s="20">
        <v>1</v>
      </c>
      <c r="E423" s="21">
        <v>1</v>
      </c>
      <c r="F423" s="20">
        <f t="shared" si="34"/>
        <v>1</v>
      </c>
      <c r="G423" s="69">
        <v>32000</v>
      </c>
      <c r="H423" s="20">
        <f t="shared" si="35"/>
        <v>32000</v>
      </c>
      <c r="I423" s="2"/>
      <c r="J423" s="17"/>
      <c r="K423" s="17"/>
      <c r="L423" s="17"/>
    </row>
    <row r="424" spans="1:12">
      <c r="A424" s="37"/>
      <c r="B424" s="36">
        <v>75</v>
      </c>
      <c r="C424" s="19" t="s">
        <v>468</v>
      </c>
      <c r="D424" s="20">
        <v>2</v>
      </c>
      <c r="E424" s="21">
        <v>1</v>
      </c>
      <c r="F424" s="20">
        <f t="shared" si="34"/>
        <v>2</v>
      </c>
      <c r="G424" s="69">
        <v>12000</v>
      </c>
      <c r="H424" s="20">
        <f t="shared" si="35"/>
        <v>24000</v>
      </c>
      <c r="I424" s="2"/>
      <c r="J424" s="17"/>
      <c r="K424" s="17"/>
      <c r="L424" s="17"/>
    </row>
    <row r="425" spans="1:12">
      <c r="A425" s="37"/>
      <c r="B425" s="36">
        <v>76</v>
      </c>
      <c r="C425" s="19"/>
      <c r="D425" s="20">
        <v>0</v>
      </c>
      <c r="E425" s="21">
        <v>0</v>
      </c>
      <c r="F425" s="20">
        <f t="shared" si="34"/>
        <v>0</v>
      </c>
      <c r="G425" s="69">
        <v>176</v>
      </c>
      <c r="H425" s="20">
        <f t="shared" si="35"/>
        <v>0</v>
      </c>
      <c r="I425" s="2"/>
      <c r="J425" s="17"/>
      <c r="K425" s="17"/>
      <c r="L425" s="17"/>
    </row>
    <row r="426" spans="1:12">
      <c r="A426" s="37"/>
      <c r="B426" s="36">
        <v>77</v>
      </c>
      <c r="C426" s="19"/>
      <c r="D426" s="20">
        <v>0</v>
      </c>
      <c r="E426" s="21">
        <v>0</v>
      </c>
      <c r="F426" s="20">
        <f>D426*E426</f>
        <v>0</v>
      </c>
      <c r="G426" s="69">
        <v>102</v>
      </c>
      <c r="H426" s="20">
        <f>F426*G426</f>
        <v>0</v>
      </c>
      <c r="I426" s="2"/>
      <c r="J426" s="17"/>
      <c r="K426" s="17"/>
      <c r="L426" s="17"/>
    </row>
    <row r="427" spans="1:12">
      <c r="A427" s="37"/>
      <c r="B427" s="36"/>
      <c r="C427" s="14" t="s">
        <v>156</v>
      </c>
      <c r="D427" s="20"/>
      <c r="F427" s="20"/>
      <c r="H427" s="25">
        <f>SUM(H350:H426)</f>
        <v>1842586.2100000002</v>
      </c>
      <c r="I427" s="2"/>
      <c r="J427" s="17"/>
      <c r="K427" s="17"/>
      <c r="L427" s="17"/>
    </row>
    <row r="428" spans="1:12">
      <c r="A428" s="37"/>
      <c r="B428" s="38"/>
      <c r="C428" s="14"/>
      <c r="D428" s="20"/>
      <c r="F428" s="20"/>
      <c r="H428" s="20"/>
      <c r="I428" s="2"/>
      <c r="J428" s="17"/>
      <c r="K428" s="17"/>
      <c r="L428" s="17"/>
    </row>
    <row r="429" spans="1:12">
      <c r="A429" s="37"/>
      <c r="B429" s="38"/>
      <c r="C429" s="14" t="s">
        <v>157</v>
      </c>
      <c r="D429" s="20"/>
      <c r="F429" s="20"/>
      <c r="H429" s="20"/>
      <c r="I429" s="2"/>
      <c r="J429" s="17"/>
      <c r="K429" s="17"/>
      <c r="L429" s="17"/>
    </row>
    <row r="430" spans="1:12">
      <c r="A430" s="37"/>
      <c r="B430" s="36">
        <v>1</v>
      </c>
      <c r="C430" s="19" t="s">
        <v>469</v>
      </c>
      <c r="D430" s="20">
        <v>2</v>
      </c>
      <c r="E430" s="21">
        <v>1</v>
      </c>
      <c r="F430" s="20">
        <f>D430*E430</f>
        <v>2</v>
      </c>
      <c r="G430" s="21">
        <v>7371.538461538461</v>
      </c>
      <c r="H430" s="20">
        <f>F430*G430</f>
        <v>14743.076923076922</v>
      </c>
      <c r="I430" s="2"/>
      <c r="J430" s="17"/>
      <c r="K430" s="17"/>
      <c r="L430" s="17"/>
    </row>
    <row r="431" spans="1:12">
      <c r="A431" s="37"/>
      <c r="B431" s="36">
        <v>2</v>
      </c>
      <c r="C431" s="19" t="s">
        <v>470</v>
      </c>
      <c r="D431" s="20">
        <v>1</v>
      </c>
      <c r="E431" s="21">
        <v>1</v>
      </c>
      <c r="F431" s="20">
        <f t="shared" ref="F431:F458" si="36">D431*E431</f>
        <v>1</v>
      </c>
      <c r="G431" s="21">
        <v>976.15384615384608</v>
      </c>
      <c r="H431" s="20">
        <f t="shared" ref="H431:H458" si="37">F431*G431</f>
        <v>976.15384615384608</v>
      </c>
      <c r="I431" s="2"/>
      <c r="J431" s="17"/>
      <c r="K431" s="17"/>
      <c r="L431" s="17"/>
    </row>
    <row r="432" spans="1:12">
      <c r="A432" s="37"/>
      <c r="B432" s="36">
        <v>3</v>
      </c>
      <c r="C432" s="19" t="s">
        <v>471</v>
      </c>
      <c r="D432" s="20">
        <v>0.33333333300000001</v>
      </c>
      <c r="E432" s="21">
        <v>1</v>
      </c>
      <c r="F432" s="20">
        <f t="shared" si="36"/>
        <v>0.33333333300000001</v>
      </c>
      <c r="G432" s="21">
        <v>2461.5384615384614</v>
      </c>
      <c r="H432" s="20">
        <f t="shared" si="37"/>
        <v>820.51281969230763</v>
      </c>
      <c r="I432" s="2"/>
      <c r="J432" s="17"/>
      <c r="K432" s="17"/>
      <c r="L432" s="17"/>
    </row>
    <row r="433" spans="1:12">
      <c r="A433" s="37"/>
      <c r="B433" s="36">
        <v>4</v>
      </c>
      <c r="C433" s="19" t="s">
        <v>472</v>
      </c>
      <c r="D433" s="20">
        <v>1</v>
      </c>
      <c r="E433" s="21">
        <v>1</v>
      </c>
      <c r="F433" s="20">
        <f t="shared" si="36"/>
        <v>1</v>
      </c>
      <c r="G433" s="21">
        <v>4307.6923076923076</v>
      </c>
      <c r="H433" s="20">
        <f t="shared" si="37"/>
        <v>4307.6923076923076</v>
      </c>
      <c r="I433" s="2"/>
      <c r="J433" s="17"/>
      <c r="K433" s="17"/>
      <c r="L433" s="17"/>
    </row>
    <row r="434" spans="1:12">
      <c r="A434" s="37"/>
      <c r="B434" s="36">
        <v>5</v>
      </c>
      <c r="C434" s="19" t="s">
        <v>473</v>
      </c>
      <c r="D434" s="20">
        <v>3</v>
      </c>
      <c r="E434" s="21">
        <v>1</v>
      </c>
      <c r="F434" s="20">
        <f t="shared" si="36"/>
        <v>3</v>
      </c>
      <c r="G434" s="21">
        <v>41461.538461538461</v>
      </c>
      <c r="H434" s="20">
        <f t="shared" si="37"/>
        <v>124384.61538461538</v>
      </c>
      <c r="I434" s="2"/>
      <c r="J434" s="17"/>
      <c r="K434" s="17"/>
      <c r="L434" s="17"/>
    </row>
    <row r="435" spans="1:12">
      <c r="A435" s="37"/>
      <c r="B435" s="36">
        <v>6</v>
      </c>
      <c r="C435" s="19" t="s">
        <v>474</v>
      </c>
      <c r="D435" s="20">
        <v>4</v>
      </c>
      <c r="E435" s="21">
        <v>1</v>
      </c>
      <c r="F435" s="20">
        <f t="shared" si="36"/>
        <v>4</v>
      </c>
      <c r="G435" s="21">
        <v>1929.2307692307691</v>
      </c>
      <c r="H435" s="20">
        <f t="shared" si="37"/>
        <v>7716.9230769230762</v>
      </c>
      <c r="I435" s="2"/>
      <c r="J435" s="17"/>
      <c r="K435" s="17"/>
      <c r="L435" s="17"/>
    </row>
    <row r="436" spans="1:12">
      <c r="A436" s="37"/>
      <c r="B436" s="36">
        <v>7</v>
      </c>
      <c r="C436" s="19" t="s">
        <v>475</v>
      </c>
      <c r="D436" s="20">
        <v>1</v>
      </c>
      <c r="E436" s="21">
        <v>1</v>
      </c>
      <c r="F436" s="20">
        <f t="shared" si="36"/>
        <v>1</v>
      </c>
      <c r="G436" s="21">
        <v>558.46153846153845</v>
      </c>
      <c r="H436" s="20">
        <f t="shared" si="37"/>
        <v>558.46153846153845</v>
      </c>
      <c r="I436" s="2"/>
      <c r="J436" s="17"/>
      <c r="K436" s="17"/>
      <c r="L436" s="17"/>
    </row>
    <row r="437" spans="1:12">
      <c r="A437" s="37"/>
      <c r="B437" s="36">
        <v>8</v>
      </c>
      <c r="C437" s="19" t="s">
        <v>476</v>
      </c>
      <c r="D437" s="20">
        <v>0</v>
      </c>
      <c r="E437" s="21">
        <v>1</v>
      </c>
      <c r="F437" s="20">
        <f t="shared" si="36"/>
        <v>0</v>
      </c>
      <c r="G437" s="21">
        <v>5538.4615384615381</v>
      </c>
      <c r="H437" s="20">
        <f t="shared" si="37"/>
        <v>0</v>
      </c>
      <c r="I437" s="2"/>
      <c r="J437" s="17"/>
      <c r="K437" s="17"/>
      <c r="L437" s="17"/>
    </row>
    <row r="438" spans="1:12">
      <c r="A438" s="37"/>
      <c r="B438" s="36">
        <v>9</v>
      </c>
      <c r="C438" s="19" t="s">
        <v>477</v>
      </c>
      <c r="D438" s="20">
        <v>2</v>
      </c>
      <c r="E438" s="21">
        <v>1</v>
      </c>
      <c r="F438" s="20">
        <f t="shared" si="36"/>
        <v>2</v>
      </c>
      <c r="G438" s="21">
        <v>981.53846153846155</v>
      </c>
      <c r="H438" s="20">
        <f t="shared" si="37"/>
        <v>1963.0769230769231</v>
      </c>
      <c r="I438" s="2"/>
      <c r="J438" s="17"/>
      <c r="K438" s="17"/>
      <c r="L438" s="17"/>
    </row>
    <row r="439" spans="1:12">
      <c r="A439" s="37"/>
      <c r="B439" s="36">
        <v>10</v>
      </c>
      <c r="C439" s="19" t="s">
        <v>478</v>
      </c>
      <c r="D439" s="20">
        <v>1</v>
      </c>
      <c r="E439" s="21">
        <v>1</v>
      </c>
      <c r="F439" s="20">
        <f t="shared" si="36"/>
        <v>1</v>
      </c>
      <c r="G439" s="21">
        <v>7692.3076923076924</v>
      </c>
      <c r="H439" s="20">
        <f t="shared" si="37"/>
        <v>7692.3076923076924</v>
      </c>
      <c r="I439" s="2"/>
      <c r="J439" s="17"/>
      <c r="K439" s="17"/>
      <c r="L439" s="17"/>
    </row>
    <row r="440" spans="1:12">
      <c r="A440" s="37"/>
      <c r="B440" s="36">
        <v>11</v>
      </c>
      <c r="C440" s="19" t="s">
        <v>479</v>
      </c>
      <c r="D440" s="20">
        <v>2</v>
      </c>
      <c r="E440" s="21">
        <v>1</v>
      </c>
      <c r="F440" s="20">
        <f t="shared" si="36"/>
        <v>2</v>
      </c>
      <c r="G440" s="21">
        <v>4923.0769230769229</v>
      </c>
      <c r="H440" s="20">
        <f t="shared" si="37"/>
        <v>9846.1538461538457</v>
      </c>
      <c r="I440" s="2"/>
      <c r="J440" s="17"/>
      <c r="K440" s="17"/>
      <c r="L440" s="17"/>
    </row>
    <row r="441" spans="1:12">
      <c r="A441" s="37"/>
      <c r="B441" s="36">
        <v>12</v>
      </c>
      <c r="C441" s="19" t="s">
        <v>480</v>
      </c>
      <c r="D441" s="20">
        <v>1</v>
      </c>
      <c r="E441" s="21">
        <v>1</v>
      </c>
      <c r="F441" s="20">
        <f t="shared" si="36"/>
        <v>1</v>
      </c>
      <c r="G441" s="21">
        <v>11846.153846153846</v>
      </c>
      <c r="H441" s="20">
        <f t="shared" si="37"/>
        <v>11846.153846153846</v>
      </c>
      <c r="I441" s="2"/>
      <c r="J441" s="17"/>
      <c r="K441" s="17"/>
      <c r="L441" s="17"/>
    </row>
    <row r="442" spans="1:12">
      <c r="A442" s="37"/>
      <c r="B442" s="36">
        <v>13</v>
      </c>
      <c r="C442" s="19" t="s">
        <v>481</v>
      </c>
      <c r="D442" s="20">
        <v>0</v>
      </c>
      <c r="E442" s="21">
        <v>1</v>
      </c>
      <c r="F442" s="20">
        <f t="shared" si="36"/>
        <v>0</v>
      </c>
      <c r="G442" s="21">
        <v>846.15384615384608</v>
      </c>
      <c r="H442" s="20">
        <f t="shared" si="37"/>
        <v>0</v>
      </c>
      <c r="I442" s="2"/>
      <c r="J442" s="17"/>
      <c r="K442" s="17"/>
      <c r="L442" s="17"/>
    </row>
    <row r="443" spans="1:12">
      <c r="A443" s="37"/>
      <c r="B443" s="36">
        <v>14</v>
      </c>
      <c r="C443" s="19" t="s">
        <v>482</v>
      </c>
      <c r="D443" s="20">
        <v>2</v>
      </c>
      <c r="E443" s="21">
        <v>1</v>
      </c>
      <c r="F443" s="20">
        <f t="shared" si="36"/>
        <v>2</v>
      </c>
      <c r="G443" s="21">
        <v>15992.307692307691</v>
      </c>
      <c r="H443" s="20">
        <f t="shared" si="37"/>
        <v>31984.615384615383</v>
      </c>
      <c r="I443" s="2"/>
      <c r="J443" s="17"/>
      <c r="K443" s="17"/>
      <c r="L443" s="17"/>
    </row>
    <row r="444" spans="1:12">
      <c r="A444" s="37"/>
      <c r="B444" s="36">
        <v>15</v>
      </c>
      <c r="C444" s="19" t="s">
        <v>483</v>
      </c>
      <c r="D444" s="20">
        <v>1</v>
      </c>
      <c r="E444" s="21">
        <v>1</v>
      </c>
      <c r="F444" s="20">
        <f t="shared" si="36"/>
        <v>1</v>
      </c>
      <c r="G444" s="21">
        <v>6769.2307692307686</v>
      </c>
      <c r="H444" s="20">
        <f t="shared" si="37"/>
        <v>6769.2307692307686</v>
      </c>
      <c r="I444" s="2"/>
      <c r="J444" s="17"/>
      <c r="K444" s="17"/>
      <c r="L444" s="17"/>
    </row>
    <row r="445" spans="1:12">
      <c r="A445" s="37"/>
      <c r="B445" s="36">
        <v>16</v>
      </c>
      <c r="C445" s="19" t="s">
        <v>484</v>
      </c>
      <c r="D445" s="20">
        <v>0</v>
      </c>
      <c r="E445" s="21">
        <v>1</v>
      </c>
      <c r="F445" s="20">
        <f t="shared" si="36"/>
        <v>0</v>
      </c>
      <c r="G445" s="21">
        <v>1442.3076923076922</v>
      </c>
      <c r="H445" s="20">
        <f t="shared" si="37"/>
        <v>0</v>
      </c>
      <c r="I445" s="2"/>
      <c r="J445" s="17"/>
      <c r="K445" s="17"/>
      <c r="L445" s="17"/>
    </row>
    <row r="446" spans="1:12">
      <c r="A446" s="37"/>
      <c r="B446" s="36">
        <v>17</v>
      </c>
      <c r="C446" s="19" t="s">
        <v>485</v>
      </c>
      <c r="D446" s="20">
        <v>0</v>
      </c>
      <c r="E446" s="21">
        <v>1</v>
      </c>
      <c r="F446" s="20">
        <f t="shared" si="36"/>
        <v>0</v>
      </c>
      <c r="G446" s="21">
        <v>1530</v>
      </c>
      <c r="H446" s="20">
        <f t="shared" si="37"/>
        <v>0</v>
      </c>
      <c r="I446" s="2"/>
      <c r="J446" s="17"/>
      <c r="K446" s="17"/>
      <c r="L446" s="17"/>
    </row>
    <row r="447" spans="1:12">
      <c r="A447" s="37"/>
      <c r="B447" s="36">
        <v>18</v>
      </c>
      <c r="C447" s="19" t="s">
        <v>486</v>
      </c>
      <c r="D447" s="20">
        <v>0.2</v>
      </c>
      <c r="E447" s="21">
        <v>1</v>
      </c>
      <c r="F447" s="20">
        <f t="shared" si="36"/>
        <v>0.2</v>
      </c>
      <c r="G447" s="21">
        <v>6923.0769230769229</v>
      </c>
      <c r="H447" s="20">
        <f t="shared" si="37"/>
        <v>1384.6153846153848</v>
      </c>
      <c r="I447" s="2"/>
      <c r="J447" s="17"/>
      <c r="K447" s="17"/>
      <c r="L447" s="17"/>
    </row>
    <row r="448" spans="1:12">
      <c r="A448" s="37"/>
      <c r="B448" s="36">
        <v>19</v>
      </c>
      <c r="C448" s="19" t="s">
        <v>487</v>
      </c>
      <c r="D448" s="20">
        <v>2</v>
      </c>
      <c r="E448" s="21">
        <v>1</v>
      </c>
      <c r="F448" s="20">
        <f t="shared" si="36"/>
        <v>2</v>
      </c>
      <c r="G448" s="21">
        <v>1353.8461538461538</v>
      </c>
      <c r="H448" s="20">
        <f t="shared" si="37"/>
        <v>2707.6923076923076</v>
      </c>
      <c r="I448" s="2"/>
      <c r="J448" s="17"/>
      <c r="K448" s="17"/>
      <c r="L448" s="17"/>
    </row>
    <row r="449" spans="1:12">
      <c r="A449" s="37"/>
      <c r="B449" s="36">
        <v>20</v>
      </c>
      <c r="C449" s="19" t="s">
        <v>488</v>
      </c>
      <c r="D449" s="20">
        <v>1</v>
      </c>
      <c r="E449" s="21">
        <v>1</v>
      </c>
      <c r="F449" s="20">
        <f t="shared" si="36"/>
        <v>1</v>
      </c>
      <c r="G449" s="21">
        <v>664812.30769230763</v>
      </c>
      <c r="H449" s="20">
        <f t="shared" si="37"/>
        <v>664812.30769230763</v>
      </c>
      <c r="I449" s="2"/>
      <c r="J449" s="17"/>
      <c r="K449" s="17"/>
      <c r="L449" s="17"/>
    </row>
    <row r="450" spans="1:12">
      <c r="A450" s="37"/>
      <c r="B450" s="36">
        <v>21</v>
      </c>
      <c r="C450" s="19" t="s">
        <v>489</v>
      </c>
      <c r="D450" s="20">
        <v>1</v>
      </c>
      <c r="E450" s="21">
        <v>1</v>
      </c>
      <c r="F450" s="20">
        <f t="shared" si="36"/>
        <v>1</v>
      </c>
      <c r="G450" s="21">
        <v>3665.3846153846152</v>
      </c>
      <c r="H450" s="20">
        <f t="shared" si="37"/>
        <v>3665.3846153846152</v>
      </c>
      <c r="I450" s="2"/>
      <c r="J450" s="17"/>
      <c r="K450" s="17"/>
      <c r="L450" s="17"/>
    </row>
    <row r="451" spans="1:12">
      <c r="A451" s="37"/>
      <c r="B451" s="36">
        <v>22</v>
      </c>
      <c r="C451" s="19" t="s">
        <v>490</v>
      </c>
      <c r="D451" s="20">
        <v>2</v>
      </c>
      <c r="E451" s="21">
        <v>1</v>
      </c>
      <c r="F451" s="20">
        <f t="shared" si="36"/>
        <v>2</v>
      </c>
      <c r="G451" s="21">
        <v>1356.9230769230769</v>
      </c>
      <c r="H451" s="20">
        <f t="shared" si="37"/>
        <v>2713.8461538461538</v>
      </c>
      <c r="I451" s="2"/>
      <c r="J451" s="17"/>
      <c r="K451" s="17"/>
      <c r="L451" s="17"/>
    </row>
    <row r="452" spans="1:12">
      <c r="A452" s="37"/>
      <c r="B452" s="36">
        <v>23</v>
      </c>
      <c r="C452" s="19" t="s">
        <v>354</v>
      </c>
      <c r="D452" s="20">
        <v>1</v>
      </c>
      <c r="E452" s="21">
        <v>1</v>
      </c>
      <c r="F452" s="20">
        <f t="shared" si="36"/>
        <v>1</v>
      </c>
      <c r="G452" s="21">
        <v>230.76923076923077</v>
      </c>
      <c r="H452" s="20">
        <f t="shared" si="37"/>
        <v>230.76923076923077</v>
      </c>
      <c r="I452" s="2"/>
      <c r="J452" s="17"/>
      <c r="K452" s="17"/>
      <c r="L452" s="17"/>
    </row>
    <row r="453" spans="1:12">
      <c r="A453" s="37"/>
      <c r="B453" s="36">
        <v>24</v>
      </c>
      <c r="C453" s="19" t="s">
        <v>491</v>
      </c>
      <c r="D453" s="20">
        <v>0</v>
      </c>
      <c r="E453" s="21">
        <v>1</v>
      </c>
      <c r="F453" s="20">
        <f t="shared" si="36"/>
        <v>0</v>
      </c>
      <c r="G453" s="21">
        <v>3507.6923076923076</v>
      </c>
      <c r="H453" s="20">
        <f t="shared" si="37"/>
        <v>0</v>
      </c>
      <c r="I453" s="2"/>
      <c r="J453" s="17"/>
      <c r="K453" s="17"/>
      <c r="L453" s="17"/>
    </row>
    <row r="454" spans="1:12">
      <c r="A454" s="37"/>
      <c r="B454" s="36">
        <v>25</v>
      </c>
      <c r="C454" s="19"/>
      <c r="D454" s="20">
        <v>0</v>
      </c>
      <c r="E454" s="21">
        <v>1</v>
      </c>
      <c r="F454" s="20">
        <f t="shared" si="36"/>
        <v>0</v>
      </c>
      <c r="G454" s="21">
        <v>125</v>
      </c>
      <c r="H454" s="20">
        <f t="shared" si="37"/>
        <v>0</v>
      </c>
      <c r="I454" s="2"/>
      <c r="J454" s="17"/>
      <c r="K454" s="17"/>
      <c r="L454" s="17"/>
    </row>
    <row r="455" spans="1:12">
      <c r="A455" s="37"/>
      <c r="B455" s="36">
        <v>26</v>
      </c>
      <c r="C455" s="19"/>
      <c r="D455" s="20">
        <v>0</v>
      </c>
      <c r="E455" s="21">
        <v>1</v>
      </c>
      <c r="F455" s="20">
        <f t="shared" si="36"/>
        <v>0</v>
      </c>
      <c r="G455" s="21">
        <v>126</v>
      </c>
      <c r="H455" s="20">
        <f t="shared" si="37"/>
        <v>0</v>
      </c>
      <c r="I455" s="2"/>
      <c r="J455" s="17"/>
      <c r="K455" s="17"/>
      <c r="L455" s="17"/>
    </row>
    <row r="456" spans="1:12">
      <c r="A456" s="37"/>
      <c r="B456" s="36">
        <v>27</v>
      </c>
      <c r="C456" s="19"/>
      <c r="D456" s="20">
        <v>0</v>
      </c>
      <c r="E456" s="21">
        <v>1</v>
      </c>
      <c r="F456" s="20">
        <f t="shared" si="36"/>
        <v>0</v>
      </c>
      <c r="G456" s="21">
        <v>127</v>
      </c>
      <c r="H456" s="20">
        <f t="shared" si="37"/>
        <v>0</v>
      </c>
      <c r="I456" s="2"/>
      <c r="J456" s="17"/>
      <c r="K456" s="17"/>
      <c r="L456" s="17"/>
    </row>
    <row r="457" spans="1:12">
      <c r="A457" s="37"/>
      <c r="B457" s="36">
        <v>28</v>
      </c>
      <c r="C457" s="19"/>
      <c r="D457" s="20">
        <v>0</v>
      </c>
      <c r="E457" s="21">
        <v>1</v>
      </c>
      <c r="F457" s="20">
        <f t="shared" si="36"/>
        <v>0</v>
      </c>
      <c r="G457" s="21">
        <v>128</v>
      </c>
      <c r="H457" s="20">
        <f t="shared" si="37"/>
        <v>0</v>
      </c>
      <c r="I457" s="2"/>
      <c r="J457" s="17"/>
      <c r="K457" s="17"/>
      <c r="L457" s="17"/>
    </row>
    <row r="458" spans="1:12">
      <c r="A458" s="37"/>
      <c r="B458" s="36">
        <v>29</v>
      </c>
      <c r="C458" s="19"/>
      <c r="D458" s="20">
        <v>0</v>
      </c>
      <c r="E458" s="21">
        <v>1</v>
      </c>
      <c r="F458" s="20">
        <f t="shared" si="36"/>
        <v>0</v>
      </c>
      <c r="G458" s="21">
        <v>129</v>
      </c>
      <c r="H458" s="20">
        <f t="shared" si="37"/>
        <v>0</v>
      </c>
      <c r="I458" s="2"/>
      <c r="J458" s="17"/>
      <c r="K458" s="17"/>
      <c r="L458" s="17"/>
    </row>
    <row r="459" spans="1:12">
      <c r="A459" s="37"/>
      <c r="B459" s="36">
        <v>30</v>
      </c>
      <c r="C459" s="19"/>
      <c r="D459" s="20">
        <v>0</v>
      </c>
      <c r="E459" s="21">
        <v>1</v>
      </c>
      <c r="F459" s="20">
        <f>D459*E459</f>
        <v>0</v>
      </c>
      <c r="G459" s="21">
        <v>102</v>
      </c>
      <c r="H459" s="20">
        <f>F459*G459</f>
        <v>0</v>
      </c>
      <c r="I459" s="2"/>
      <c r="J459" s="17"/>
      <c r="K459" s="17"/>
      <c r="L459" s="17"/>
    </row>
    <row r="460" spans="1:12">
      <c r="A460" s="37"/>
      <c r="B460" s="36"/>
      <c r="C460" s="14" t="s">
        <v>158</v>
      </c>
      <c r="D460" s="20"/>
      <c r="F460" s="20"/>
      <c r="H460" s="25">
        <f>SUM(H430:H459)</f>
        <v>899123.58974276914</v>
      </c>
      <c r="I460" s="2"/>
      <c r="J460" s="17"/>
      <c r="K460" s="17"/>
      <c r="L460" s="17"/>
    </row>
    <row r="461" spans="1:12">
      <c r="A461" s="37"/>
      <c r="B461" s="38"/>
      <c r="C461" s="14"/>
      <c r="D461" s="20"/>
      <c r="F461" s="20"/>
      <c r="H461" s="20"/>
      <c r="I461" s="2"/>
      <c r="J461" s="17"/>
      <c r="K461" s="17"/>
      <c r="L461" s="17"/>
    </row>
    <row r="462" spans="1:12">
      <c r="A462" s="37"/>
      <c r="B462" s="38"/>
      <c r="C462" s="14" t="s">
        <v>159</v>
      </c>
      <c r="D462" s="20"/>
      <c r="F462" s="20"/>
      <c r="H462" s="20"/>
      <c r="I462" s="2"/>
      <c r="J462" s="17"/>
      <c r="K462" s="17"/>
      <c r="L462" s="17"/>
    </row>
    <row r="463" spans="1:12">
      <c r="A463" s="37"/>
      <c r="B463" s="36">
        <v>1</v>
      </c>
      <c r="C463" s="19"/>
      <c r="D463" s="20">
        <v>0</v>
      </c>
      <c r="E463" s="21">
        <v>1</v>
      </c>
      <c r="F463" s="20">
        <f>D463*E463</f>
        <v>0</v>
      </c>
      <c r="G463" s="21">
        <v>101</v>
      </c>
      <c r="H463" s="20">
        <f>F463*G463</f>
        <v>0</v>
      </c>
      <c r="I463" s="2"/>
      <c r="J463" s="17"/>
      <c r="K463" s="17"/>
      <c r="L463" s="17"/>
    </row>
    <row r="464" spans="1:12">
      <c r="A464" s="37"/>
      <c r="B464" s="36">
        <v>2</v>
      </c>
      <c r="C464" s="19"/>
      <c r="D464" s="20">
        <v>0</v>
      </c>
      <c r="E464" s="21">
        <v>1</v>
      </c>
      <c r="F464" s="20">
        <f t="shared" ref="F464:F467" si="38">D464*E464</f>
        <v>0</v>
      </c>
      <c r="G464" s="21">
        <v>102</v>
      </c>
      <c r="H464" s="20">
        <f t="shared" ref="H464:H467" si="39">F464*G464</f>
        <v>0</v>
      </c>
      <c r="I464" s="2"/>
      <c r="J464" s="17"/>
      <c r="K464" s="17"/>
      <c r="L464" s="17"/>
    </row>
    <row r="465" spans="1:12">
      <c r="A465" s="37"/>
      <c r="B465" s="36">
        <v>3</v>
      </c>
      <c r="C465" s="19"/>
      <c r="D465" s="20">
        <v>0</v>
      </c>
      <c r="E465" s="21">
        <v>1</v>
      </c>
      <c r="F465" s="20">
        <f t="shared" si="38"/>
        <v>0</v>
      </c>
      <c r="G465" s="21">
        <v>103</v>
      </c>
      <c r="H465" s="20">
        <f t="shared" si="39"/>
        <v>0</v>
      </c>
      <c r="I465" s="2"/>
      <c r="J465" s="17"/>
      <c r="K465" s="17"/>
      <c r="L465" s="17"/>
    </row>
    <row r="466" spans="1:12">
      <c r="A466" s="37"/>
      <c r="B466" s="36">
        <v>4</v>
      </c>
      <c r="C466" s="19"/>
      <c r="D466" s="20">
        <v>0</v>
      </c>
      <c r="E466" s="21">
        <v>1</v>
      </c>
      <c r="F466" s="20">
        <f t="shared" si="38"/>
        <v>0</v>
      </c>
      <c r="G466" s="21">
        <v>104</v>
      </c>
      <c r="H466" s="20">
        <f t="shared" si="39"/>
        <v>0</v>
      </c>
      <c r="I466" s="2"/>
      <c r="J466" s="17"/>
      <c r="K466" s="17"/>
      <c r="L466" s="17"/>
    </row>
    <row r="467" spans="1:12">
      <c r="A467" s="37"/>
      <c r="B467" s="36">
        <v>5</v>
      </c>
      <c r="C467" s="19"/>
      <c r="D467" s="20">
        <v>0</v>
      </c>
      <c r="E467" s="21">
        <v>1</v>
      </c>
      <c r="F467" s="20">
        <f t="shared" si="38"/>
        <v>0</v>
      </c>
      <c r="G467" s="21">
        <v>105</v>
      </c>
      <c r="H467" s="20">
        <f t="shared" si="39"/>
        <v>0</v>
      </c>
      <c r="I467" s="2"/>
      <c r="J467" s="17"/>
      <c r="K467" s="17"/>
      <c r="L467" s="17"/>
    </row>
    <row r="468" spans="1:12">
      <c r="A468" s="37"/>
      <c r="B468" s="36"/>
      <c r="C468" s="14" t="s">
        <v>160</v>
      </c>
      <c r="D468" s="20"/>
      <c r="F468" s="20"/>
      <c r="H468" s="25">
        <f>SUM(H463:H467)</f>
        <v>0</v>
      </c>
      <c r="I468" s="2"/>
      <c r="J468" s="17"/>
      <c r="K468" s="17"/>
      <c r="L468" s="17"/>
    </row>
    <row r="469" spans="1:12">
      <c r="A469" s="37"/>
      <c r="B469" s="38"/>
      <c r="C469" s="14"/>
      <c r="D469" s="20"/>
      <c r="F469" s="20"/>
      <c r="H469" s="20"/>
      <c r="I469" s="2"/>
      <c r="J469" s="17"/>
      <c r="K469" s="17"/>
      <c r="L469" s="17"/>
    </row>
    <row r="470" spans="1:12">
      <c r="A470" s="37"/>
      <c r="B470" s="38"/>
      <c r="C470" s="14" t="s">
        <v>161</v>
      </c>
      <c r="D470" s="20"/>
      <c r="F470" s="20"/>
      <c r="H470" s="20"/>
      <c r="I470" s="2"/>
      <c r="J470" s="17"/>
      <c r="K470" s="17"/>
      <c r="L470" s="17"/>
    </row>
    <row r="471" spans="1:12">
      <c r="A471" s="37"/>
      <c r="B471" s="36">
        <v>1</v>
      </c>
      <c r="C471" s="19" t="s">
        <v>356</v>
      </c>
      <c r="D471" s="20">
        <v>0</v>
      </c>
      <c r="E471" s="21">
        <v>0</v>
      </c>
      <c r="F471" s="20">
        <f>D471*E471</f>
        <v>0</v>
      </c>
      <c r="G471" s="69">
        <v>22076</v>
      </c>
      <c r="H471" s="20">
        <f>F471*G471</f>
        <v>0</v>
      </c>
      <c r="I471" s="2"/>
      <c r="J471" s="17"/>
      <c r="K471" s="17"/>
      <c r="L471" s="17"/>
    </row>
    <row r="472" spans="1:12">
      <c r="A472" s="37"/>
      <c r="B472" s="36">
        <v>2</v>
      </c>
      <c r="C472" s="19" t="s">
        <v>357</v>
      </c>
      <c r="D472" s="20">
        <v>2</v>
      </c>
      <c r="E472" s="21">
        <v>1</v>
      </c>
      <c r="F472" s="20">
        <f t="shared" ref="F472:F482" si="40">D472*E472</f>
        <v>2</v>
      </c>
      <c r="G472" s="69">
        <v>12507</v>
      </c>
      <c r="H472" s="20">
        <f t="shared" ref="H472:H482" si="41">F472*G472</f>
        <v>25014</v>
      </c>
      <c r="I472" s="2"/>
      <c r="J472" s="17"/>
      <c r="K472" s="17"/>
      <c r="L472" s="17"/>
    </row>
    <row r="473" spans="1:12">
      <c r="A473" s="37"/>
      <c r="B473" s="36">
        <v>3</v>
      </c>
      <c r="C473" s="19" t="s">
        <v>219</v>
      </c>
      <c r="D473" s="20">
        <v>1</v>
      </c>
      <c r="E473" s="21">
        <v>1</v>
      </c>
      <c r="F473" s="20">
        <f t="shared" si="40"/>
        <v>1</v>
      </c>
      <c r="G473" s="69">
        <v>12507</v>
      </c>
      <c r="H473" s="20">
        <f t="shared" si="41"/>
        <v>12507</v>
      </c>
      <c r="I473" s="2"/>
      <c r="J473" s="17"/>
      <c r="K473" s="17"/>
      <c r="L473" s="17"/>
    </row>
    <row r="474" spans="1:12">
      <c r="A474" s="37"/>
      <c r="B474" s="36">
        <v>4</v>
      </c>
      <c r="C474" s="19" t="s">
        <v>64</v>
      </c>
      <c r="D474" s="20">
        <v>1</v>
      </c>
      <c r="E474" s="21">
        <v>1</v>
      </c>
      <c r="F474" s="20">
        <f t="shared" si="40"/>
        <v>1</v>
      </c>
      <c r="G474" s="69">
        <v>12507</v>
      </c>
      <c r="H474" s="20">
        <f t="shared" si="41"/>
        <v>12507</v>
      </c>
      <c r="I474" s="2"/>
      <c r="J474" s="17"/>
      <c r="K474" s="17"/>
      <c r="L474" s="17"/>
    </row>
    <row r="475" spans="1:12">
      <c r="A475" s="37"/>
      <c r="B475" s="36">
        <v>5</v>
      </c>
      <c r="C475" s="19" t="s">
        <v>65</v>
      </c>
      <c r="D475" s="20">
        <v>1</v>
      </c>
      <c r="E475" s="21">
        <v>1</v>
      </c>
      <c r="F475" s="20">
        <f t="shared" si="40"/>
        <v>1</v>
      </c>
      <c r="G475" s="69">
        <v>12507</v>
      </c>
      <c r="H475" s="20">
        <f t="shared" si="41"/>
        <v>12507</v>
      </c>
      <c r="I475" s="2"/>
      <c r="J475" s="17"/>
      <c r="K475" s="17"/>
      <c r="L475" s="17"/>
    </row>
    <row r="476" spans="1:12">
      <c r="A476" s="37"/>
      <c r="B476" s="36">
        <v>6</v>
      </c>
      <c r="C476" s="19" t="s">
        <v>358</v>
      </c>
      <c r="D476" s="20">
        <v>1</v>
      </c>
      <c r="E476" s="21">
        <v>1</v>
      </c>
      <c r="F476" s="20">
        <f t="shared" si="40"/>
        <v>1</v>
      </c>
      <c r="G476" s="69">
        <v>12507</v>
      </c>
      <c r="H476" s="20">
        <f t="shared" si="41"/>
        <v>12507</v>
      </c>
      <c r="I476" s="2"/>
      <c r="J476" s="17"/>
      <c r="K476" s="17"/>
      <c r="L476" s="17"/>
    </row>
    <row r="477" spans="1:12">
      <c r="A477" s="37"/>
      <c r="B477" s="36">
        <v>7</v>
      </c>
      <c r="C477" s="19" t="s">
        <v>222</v>
      </c>
      <c r="D477" s="20">
        <v>7.2</v>
      </c>
      <c r="E477" s="21">
        <v>1</v>
      </c>
      <c r="F477" s="20">
        <f t="shared" si="40"/>
        <v>7.2</v>
      </c>
      <c r="G477" s="69">
        <v>12507</v>
      </c>
      <c r="H477" s="20">
        <f t="shared" si="41"/>
        <v>90050.400000000009</v>
      </c>
      <c r="I477" s="2"/>
      <c r="J477" s="17"/>
      <c r="K477" s="17"/>
      <c r="L477" s="17"/>
    </row>
    <row r="478" spans="1:12">
      <c r="A478" s="37"/>
      <c r="B478" s="36">
        <v>8</v>
      </c>
      <c r="C478" s="19" t="s">
        <v>359</v>
      </c>
      <c r="D478" s="20">
        <v>0</v>
      </c>
      <c r="E478" s="21">
        <v>1</v>
      </c>
      <c r="F478" s="20">
        <f t="shared" si="40"/>
        <v>0</v>
      </c>
      <c r="G478" s="69">
        <v>12507</v>
      </c>
      <c r="H478" s="20">
        <f t="shared" si="41"/>
        <v>0</v>
      </c>
      <c r="I478" s="2"/>
      <c r="J478" s="17"/>
      <c r="K478" s="17"/>
      <c r="L478" s="17"/>
    </row>
    <row r="479" spans="1:12">
      <c r="A479" s="37"/>
      <c r="B479" s="36">
        <v>9</v>
      </c>
      <c r="C479" s="19" t="s">
        <v>223</v>
      </c>
      <c r="D479" s="20">
        <v>0</v>
      </c>
      <c r="E479" s="21">
        <v>1</v>
      </c>
      <c r="F479" s="20">
        <f t="shared" si="40"/>
        <v>0</v>
      </c>
      <c r="G479" s="69">
        <v>31769</v>
      </c>
      <c r="H479" s="20">
        <f t="shared" si="41"/>
        <v>0</v>
      </c>
      <c r="I479" s="2"/>
      <c r="J479" s="17"/>
      <c r="K479" s="17"/>
      <c r="L479" s="17"/>
    </row>
    <row r="480" spans="1:12">
      <c r="A480" s="37"/>
      <c r="B480" s="36">
        <v>10</v>
      </c>
      <c r="C480" s="19" t="s">
        <v>360</v>
      </c>
      <c r="D480" s="20">
        <v>0</v>
      </c>
      <c r="E480" s="21">
        <v>1</v>
      </c>
      <c r="F480" s="20">
        <f t="shared" si="40"/>
        <v>0</v>
      </c>
      <c r="G480" s="69">
        <v>31769</v>
      </c>
      <c r="H480" s="20">
        <f t="shared" si="41"/>
        <v>0</v>
      </c>
      <c r="I480" s="2"/>
      <c r="J480" s="17"/>
      <c r="K480" s="17"/>
      <c r="L480" s="17"/>
    </row>
    <row r="481" spans="1:12">
      <c r="A481" s="37"/>
      <c r="B481" s="36">
        <v>11</v>
      </c>
      <c r="C481" s="19"/>
      <c r="D481" s="20">
        <v>0</v>
      </c>
      <c r="E481" s="21">
        <v>1</v>
      </c>
      <c r="F481" s="20">
        <f t="shared" si="40"/>
        <v>0</v>
      </c>
      <c r="G481" s="21">
        <v>111</v>
      </c>
      <c r="H481" s="20">
        <f t="shared" si="41"/>
        <v>0</v>
      </c>
      <c r="I481" s="2"/>
      <c r="J481" s="17"/>
      <c r="K481" s="17"/>
      <c r="L481" s="17"/>
    </row>
    <row r="482" spans="1:12">
      <c r="A482" s="37"/>
      <c r="B482" s="36">
        <v>12</v>
      </c>
      <c r="C482" s="19"/>
      <c r="D482" s="20">
        <v>0</v>
      </c>
      <c r="E482" s="21">
        <v>1</v>
      </c>
      <c r="F482" s="20">
        <f t="shared" si="40"/>
        <v>0</v>
      </c>
      <c r="G482" s="21">
        <v>112</v>
      </c>
      <c r="H482" s="20">
        <f t="shared" si="41"/>
        <v>0</v>
      </c>
      <c r="I482" s="2"/>
      <c r="J482" s="17"/>
      <c r="K482" s="17"/>
      <c r="L482" s="17"/>
    </row>
    <row r="483" spans="1:12">
      <c r="A483" s="37"/>
      <c r="B483" s="36">
        <v>13</v>
      </c>
      <c r="C483" s="19"/>
      <c r="D483" s="20">
        <v>0</v>
      </c>
      <c r="E483" s="21">
        <v>1</v>
      </c>
      <c r="F483" s="20">
        <f>D483*E483</f>
        <v>0</v>
      </c>
      <c r="G483" s="21">
        <v>102</v>
      </c>
      <c r="H483" s="20">
        <f>F483*G483</f>
        <v>0</v>
      </c>
      <c r="I483" s="2"/>
      <c r="J483" s="17"/>
      <c r="K483" s="17"/>
      <c r="L483" s="17"/>
    </row>
    <row r="484" spans="1:12">
      <c r="A484" s="37"/>
      <c r="B484" s="36"/>
      <c r="C484" s="14" t="s">
        <v>162</v>
      </c>
      <c r="D484" s="20"/>
      <c r="F484" s="20"/>
      <c r="H484" s="25">
        <f>SUM(H471:H483)</f>
        <v>165092.40000000002</v>
      </c>
      <c r="I484" s="2"/>
      <c r="J484" s="17"/>
      <c r="K484" s="17"/>
      <c r="L484" s="17"/>
    </row>
    <row r="485" spans="1:12">
      <c r="A485" s="37"/>
      <c r="B485" s="36"/>
      <c r="C485" s="14"/>
      <c r="D485" s="20"/>
      <c r="F485" s="20"/>
      <c r="H485" s="25"/>
      <c r="I485" s="2"/>
      <c r="J485" s="17"/>
      <c r="K485" s="17"/>
      <c r="L485" s="17"/>
    </row>
    <row r="486" spans="1:12">
      <c r="A486" s="37"/>
      <c r="B486" s="38"/>
      <c r="C486" s="14" t="s">
        <v>163</v>
      </c>
      <c r="D486" s="20"/>
      <c r="F486" s="20"/>
      <c r="H486" s="20"/>
      <c r="I486" s="2"/>
      <c r="J486" s="17"/>
      <c r="K486" s="17"/>
      <c r="L486" s="17"/>
    </row>
    <row r="487" spans="1:12">
      <c r="A487" s="37"/>
      <c r="B487" s="36">
        <v>1</v>
      </c>
      <c r="C487" s="19"/>
      <c r="D487" s="20">
        <v>0</v>
      </c>
      <c r="E487" s="21">
        <v>1</v>
      </c>
      <c r="F487" s="20">
        <f>D487*E487</f>
        <v>0</v>
      </c>
      <c r="G487" s="21">
        <v>101</v>
      </c>
      <c r="H487" s="20">
        <f>F487*G487</f>
        <v>0</v>
      </c>
      <c r="I487" s="2"/>
      <c r="J487" s="17"/>
      <c r="K487" s="17"/>
      <c r="L487" s="17"/>
    </row>
    <row r="488" spans="1:12">
      <c r="A488" s="37"/>
      <c r="B488" s="36">
        <v>2</v>
      </c>
      <c r="C488" s="19"/>
      <c r="D488" s="20">
        <v>0</v>
      </c>
      <c r="E488" s="21">
        <v>1</v>
      </c>
      <c r="F488" s="20">
        <f t="shared" ref="F488:F490" si="42">D488*E488</f>
        <v>0</v>
      </c>
      <c r="G488" s="21">
        <v>102</v>
      </c>
      <c r="H488" s="20">
        <f t="shared" ref="H488:H490" si="43">F488*G488</f>
        <v>0</v>
      </c>
      <c r="I488" s="2"/>
      <c r="J488" s="17"/>
      <c r="K488" s="17"/>
      <c r="L488" s="17"/>
    </row>
    <row r="489" spans="1:12">
      <c r="A489" s="37"/>
      <c r="B489" s="36">
        <v>3</v>
      </c>
      <c r="C489" s="19"/>
      <c r="D489" s="20">
        <v>0</v>
      </c>
      <c r="E489" s="21">
        <v>1</v>
      </c>
      <c r="F489" s="20">
        <f t="shared" si="42"/>
        <v>0</v>
      </c>
      <c r="G489" s="21">
        <v>103</v>
      </c>
      <c r="H489" s="20">
        <f t="shared" si="43"/>
        <v>0</v>
      </c>
      <c r="I489" s="2"/>
      <c r="J489" s="17"/>
      <c r="K489" s="17"/>
      <c r="L489" s="17"/>
    </row>
    <row r="490" spans="1:12">
      <c r="A490" s="37"/>
      <c r="B490" s="36">
        <v>4</v>
      </c>
      <c r="C490" s="19"/>
      <c r="D490" s="20">
        <v>0</v>
      </c>
      <c r="E490" s="21">
        <v>1</v>
      </c>
      <c r="F490" s="20">
        <f t="shared" si="42"/>
        <v>0</v>
      </c>
      <c r="G490" s="21">
        <v>104</v>
      </c>
      <c r="H490" s="20">
        <f t="shared" si="43"/>
        <v>0</v>
      </c>
      <c r="I490" s="2"/>
      <c r="J490" s="17"/>
      <c r="K490" s="17"/>
      <c r="L490" s="17"/>
    </row>
    <row r="491" spans="1:12">
      <c r="A491" s="37"/>
      <c r="B491" s="36">
        <v>5</v>
      </c>
      <c r="C491" s="19"/>
      <c r="D491" s="20">
        <v>0</v>
      </c>
      <c r="E491" s="21">
        <v>1</v>
      </c>
      <c r="F491" s="20">
        <f>D491*E491</f>
        <v>0</v>
      </c>
      <c r="G491" s="21">
        <v>102</v>
      </c>
      <c r="H491" s="20">
        <f>F491*G491</f>
        <v>0</v>
      </c>
      <c r="I491" s="2"/>
      <c r="J491" s="17"/>
      <c r="K491" s="17"/>
      <c r="L491" s="17"/>
    </row>
    <row r="492" spans="1:12" ht="18" customHeight="1">
      <c r="A492" s="37"/>
      <c r="B492" s="36"/>
      <c r="C492" s="14" t="s">
        <v>165</v>
      </c>
      <c r="D492" s="20"/>
      <c r="F492" s="20"/>
      <c r="H492" s="25">
        <f>SUM(H487:H491)</f>
        <v>0</v>
      </c>
      <c r="I492" s="2"/>
      <c r="J492" s="17"/>
      <c r="K492" s="17"/>
      <c r="L492" s="17"/>
    </row>
    <row r="493" spans="1:12" ht="18" customHeight="1">
      <c r="A493" s="37"/>
      <c r="B493" s="36"/>
      <c r="C493" s="14"/>
      <c r="D493" s="20"/>
      <c r="F493" s="20"/>
      <c r="H493" s="25"/>
      <c r="I493" s="2"/>
      <c r="J493" s="17"/>
      <c r="K493" s="17"/>
      <c r="L493" s="17"/>
    </row>
    <row r="494" spans="1:12">
      <c r="A494" s="37"/>
      <c r="B494" s="38"/>
      <c r="C494" s="14" t="s">
        <v>166</v>
      </c>
      <c r="D494" s="20"/>
      <c r="F494" s="20"/>
      <c r="H494" s="25">
        <f>H304+H320+H347+H427+H460+H468+H484+H492</f>
        <v>3867465.9776807651</v>
      </c>
      <c r="I494" s="2"/>
      <c r="J494" s="17"/>
      <c r="K494" s="17"/>
      <c r="L494" s="17"/>
    </row>
    <row r="495" spans="1:12">
      <c r="A495" s="37"/>
      <c r="B495" s="38"/>
      <c r="C495" s="14"/>
      <c r="D495" s="20"/>
      <c r="F495" s="20"/>
      <c r="H495" s="20"/>
      <c r="I495" s="2"/>
      <c r="J495" s="17"/>
      <c r="K495" s="17"/>
      <c r="L495" s="17"/>
    </row>
    <row r="496" spans="1:12">
      <c r="A496" s="37"/>
      <c r="B496" s="35" t="s">
        <v>492</v>
      </c>
      <c r="C496" s="14" t="s">
        <v>168</v>
      </c>
      <c r="D496" s="20"/>
      <c r="F496" s="20"/>
      <c r="H496" s="20"/>
      <c r="I496" s="2"/>
      <c r="J496" s="17"/>
      <c r="K496" s="17"/>
      <c r="L496" s="17"/>
    </row>
    <row r="497" spans="1:12">
      <c r="A497" s="37"/>
      <c r="B497" s="36">
        <v>1</v>
      </c>
      <c r="C497" s="19"/>
      <c r="D497" s="20">
        <v>0</v>
      </c>
      <c r="E497" s="21">
        <v>1</v>
      </c>
      <c r="F497" s="20">
        <f>D497*E497</f>
        <v>0</v>
      </c>
      <c r="G497" s="21">
        <v>101</v>
      </c>
      <c r="H497" s="20">
        <f>F497*G497</f>
        <v>0</v>
      </c>
      <c r="I497" s="2"/>
      <c r="J497" s="17"/>
      <c r="K497" s="17"/>
      <c r="L497" s="17"/>
    </row>
    <row r="498" spans="1:12">
      <c r="A498" s="37"/>
      <c r="B498" s="36">
        <v>2</v>
      </c>
      <c r="C498" s="19"/>
      <c r="D498" s="20">
        <v>0</v>
      </c>
      <c r="E498" s="21">
        <v>1</v>
      </c>
      <c r="F498" s="20">
        <f>D498*E498</f>
        <v>0</v>
      </c>
      <c r="G498" s="21">
        <v>102</v>
      </c>
      <c r="H498" s="20">
        <f>F498*G498</f>
        <v>0</v>
      </c>
      <c r="I498" s="2"/>
      <c r="J498" s="17"/>
      <c r="K498" s="17"/>
      <c r="L498" s="17"/>
    </row>
    <row r="499" spans="1:12">
      <c r="A499" s="37"/>
      <c r="B499" s="36"/>
      <c r="C499" s="14" t="s">
        <v>169</v>
      </c>
      <c r="D499" s="20"/>
      <c r="F499" s="20"/>
      <c r="H499" s="25">
        <f>SUM(H497:H498)</f>
        <v>0</v>
      </c>
      <c r="I499" s="2"/>
      <c r="J499" s="17"/>
      <c r="K499" s="17"/>
      <c r="L499" s="17"/>
    </row>
    <row r="500" spans="1:12">
      <c r="A500" s="37"/>
      <c r="B500" s="35"/>
      <c r="C500" s="14"/>
      <c r="D500" s="20"/>
      <c r="F500" s="20"/>
      <c r="H500" s="20"/>
      <c r="I500" s="2"/>
      <c r="J500" s="17"/>
      <c r="K500" s="17"/>
      <c r="L500" s="17"/>
    </row>
    <row r="501" spans="1:12">
      <c r="A501" s="37"/>
      <c r="B501" s="38"/>
      <c r="C501" s="14" t="s">
        <v>170</v>
      </c>
      <c r="D501" s="20"/>
      <c r="F501" s="20"/>
      <c r="H501" s="20"/>
      <c r="I501" s="2"/>
      <c r="J501" s="17"/>
      <c r="K501" s="17"/>
      <c r="L501" s="17"/>
    </row>
    <row r="502" spans="1:12">
      <c r="A502" s="37"/>
      <c r="B502" s="36">
        <v>1</v>
      </c>
      <c r="C502" s="19"/>
      <c r="D502" s="20">
        <v>0</v>
      </c>
      <c r="E502" s="21">
        <v>1</v>
      </c>
      <c r="F502" s="20">
        <f>D502*E502</f>
        <v>0</v>
      </c>
      <c r="G502" s="21">
        <v>101</v>
      </c>
      <c r="H502" s="20">
        <f>F502*G502</f>
        <v>0</v>
      </c>
      <c r="I502" s="2"/>
      <c r="J502" s="17"/>
      <c r="K502" s="17"/>
      <c r="L502" s="17"/>
    </row>
    <row r="503" spans="1:12">
      <c r="A503" s="37"/>
      <c r="B503" s="36">
        <v>2</v>
      </c>
      <c r="C503" s="19"/>
      <c r="D503" s="20">
        <v>0</v>
      </c>
      <c r="E503" s="21">
        <v>1</v>
      </c>
      <c r="F503" s="20">
        <f>D503*E503</f>
        <v>0</v>
      </c>
      <c r="G503" s="21">
        <v>102</v>
      </c>
      <c r="H503" s="20">
        <f>F503*G503</f>
        <v>0</v>
      </c>
      <c r="I503" s="2"/>
      <c r="J503" s="17"/>
      <c r="K503" s="17"/>
      <c r="L503" s="17"/>
    </row>
    <row r="504" spans="1:12">
      <c r="A504" s="37"/>
      <c r="B504" s="36"/>
      <c r="C504" s="14" t="s">
        <v>171</v>
      </c>
      <c r="D504" s="20"/>
      <c r="F504" s="20"/>
      <c r="H504" s="25">
        <f>SUM(H502:H503)</f>
        <v>0</v>
      </c>
      <c r="I504" s="2"/>
      <c r="J504" s="17"/>
      <c r="K504" s="17"/>
      <c r="L504" s="17"/>
    </row>
    <row r="505" spans="1:12">
      <c r="A505" s="37"/>
      <c r="B505" s="38"/>
      <c r="C505" s="14"/>
      <c r="D505" s="20"/>
      <c r="F505" s="20"/>
      <c r="H505" s="20"/>
      <c r="I505" s="2"/>
      <c r="J505" s="17"/>
      <c r="K505" s="17"/>
      <c r="L505" s="17"/>
    </row>
    <row r="506" spans="1:12">
      <c r="A506" s="37"/>
      <c r="B506" s="38"/>
      <c r="C506" s="14" t="s">
        <v>172</v>
      </c>
      <c r="D506" s="20"/>
      <c r="F506" s="20"/>
      <c r="H506" s="20"/>
      <c r="I506" s="2"/>
      <c r="J506" s="17"/>
      <c r="K506" s="17"/>
      <c r="L506" s="17"/>
    </row>
    <row r="507" spans="1:12">
      <c r="A507" s="37"/>
      <c r="B507" s="36">
        <v>1</v>
      </c>
      <c r="C507" s="19"/>
      <c r="D507" s="20">
        <v>0</v>
      </c>
      <c r="E507" s="21">
        <v>1</v>
      </c>
      <c r="F507" s="20">
        <f>D507*E507</f>
        <v>0</v>
      </c>
      <c r="G507" s="21">
        <v>101</v>
      </c>
      <c r="H507" s="20">
        <f>F507*G507</f>
        <v>0</v>
      </c>
      <c r="I507" s="2"/>
      <c r="J507" s="17"/>
      <c r="K507" s="17"/>
      <c r="L507" s="17"/>
    </row>
    <row r="508" spans="1:12">
      <c r="A508" s="37"/>
      <c r="B508" s="36">
        <v>2</v>
      </c>
      <c r="C508" s="19"/>
      <c r="D508" s="20">
        <v>0</v>
      </c>
      <c r="E508" s="21">
        <v>1</v>
      </c>
      <c r="F508" s="20">
        <f>D508*E508</f>
        <v>0</v>
      </c>
      <c r="G508" s="21">
        <v>102</v>
      </c>
      <c r="H508" s="20">
        <f>F508*G508</f>
        <v>0</v>
      </c>
      <c r="I508" s="2"/>
      <c r="J508" s="17"/>
      <c r="K508" s="17"/>
      <c r="L508" s="17"/>
    </row>
    <row r="509" spans="1:12">
      <c r="A509" s="37"/>
      <c r="B509" s="36"/>
      <c r="C509" s="14" t="s">
        <v>173</v>
      </c>
      <c r="D509" s="20"/>
      <c r="F509" s="20"/>
      <c r="H509" s="25">
        <f>SUM(H507:H508)</f>
        <v>0</v>
      </c>
      <c r="I509" s="2"/>
      <c r="J509" s="17"/>
      <c r="K509" s="17"/>
      <c r="L509" s="17"/>
    </row>
    <row r="510" spans="1:12">
      <c r="A510" s="37"/>
      <c r="B510" s="38"/>
      <c r="C510" s="14"/>
      <c r="D510" s="20"/>
      <c r="F510" s="20"/>
      <c r="H510" s="20"/>
      <c r="I510" s="2"/>
      <c r="J510" s="17"/>
      <c r="K510" s="17"/>
      <c r="L510" s="17"/>
    </row>
    <row r="511" spans="1:12">
      <c r="A511" s="37"/>
      <c r="B511" s="38"/>
      <c r="C511" s="14" t="s">
        <v>174</v>
      </c>
      <c r="D511" s="20"/>
      <c r="F511" s="20"/>
      <c r="H511" s="20"/>
      <c r="I511" s="2"/>
      <c r="J511" s="17"/>
      <c r="K511" s="17"/>
      <c r="L511" s="17"/>
    </row>
    <row r="512" spans="1:12">
      <c r="A512" s="37"/>
      <c r="B512" s="36">
        <v>1</v>
      </c>
      <c r="C512" s="19"/>
      <c r="D512" s="68">
        <v>0</v>
      </c>
      <c r="E512" s="69">
        <v>1</v>
      </c>
      <c r="F512" s="68">
        <f>D512*E512</f>
        <v>0</v>
      </c>
      <c r="G512" s="69">
        <v>400</v>
      </c>
      <c r="H512" s="30">
        <f>F512*G512</f>
        <v>0</v>
      </c>
      <c r="I512" s="2"/>
      <c r="J512" s="17"/>
      <c r="K512" s="17"/>
      <c r="L512" s="17"/>
    </row>
    <row r="513" spans="1:12">
      <c r="A513" s="37"/>
      <c r="B513" s="36">
        <v>2</v>
      </c>
      <c r="C513" s="19"/>
      <c r="D513" s="68">
        <v>0</v>
      </c>
      <c r="E513" s="69">
        <v>1</v>
      </c>
      <c r="F513" s="68">
        <f t="shared" ref="F513:F519" si="44">D513*E513</f>
        <v>0</v>
      </c>
      <c r="G513" s="69">
        <v>102</v>
      </c>
      <c r="H513" s="30">
        <f t="shared" ref="H513:H519" si="45">F513*G513</f>
        <v>0</v>
      </c>
      <c r="I513" s="2"/>
      <c r="J513" s="17"/>
      <c r="K513" s="17"/>
      <c r="L513" s="17"/>
    </row>
    <row r="514" spans="1:12">
      <c r="A514" s="37"/>
      <c r="B514" s="36">
        <v>3</v>
      </c>
      <c r="C514" s="19"/>
      <c r="D514" s="68">
        <v>0</v>
      </c>
      <c r="E514" s="69">
        <v>1</v>
      </c>
      <c r="F514" s="68">
        <f t="shared" si="44"/>
        <v>0</v>
      </c>
      <c r="G514" s="69">
        <v>770</v>
      </c>
      <c r="H514" s="30">
        <f t="shared" si="45"/>
        <v>0</v>
      </c>
      <c r="I514" s="2"/>
      <c r="J514" s="17"/>
      <c r="K514" s="17"/>
      <c r="L514" s="17"/>
    </row>
    <row r="515" spans="1:12">
      <c r="A515" s="37"/>
      <c r="B515" s="36">
        <v>4</v>
      </c>
      <c r="C515" s="19"/>
      <c r="D515" s="68">
        <v>0</v>
      </c>
      <c r="E515" s="69">
        <v>1</v>
      </c>
      <c r="F515" s="68">
        <f t="shared" si="44"/>
        <v>0</v>
      </c>
      <c r="G515" s="69">
        <v>104</v>
      </c>
      <c r="H515" s="30">
        <f t="shared" si="45"/>
        <v>0</v>
      </c>
      <c r="I515" s="2"/>
      <c r="J515" s="17"/>
      <c r="K515" s="17"/>
      <c r="L515" s="17"/>
    </row>
    <row r="516" spans="1:12">
      <c r="A516" s="37"/>
      <c r="B516" s="36">
        <v>5</v>
      </c>
      <c r="C516" s="19"/>
      <c r="D516" s="68">
        <v>0</v>
      </c>
      <c r="E516" s="69">
        <v>1</v>
      </c>
      <c r="F516" s="68">
        <f t="shared" si="44"/>
        <v>0</v>
      </c>
      <c r="G516" s="69">
        <v>105</v>
      </c>
      <c r="H516" s="30">
        <f t="shared" si="45"/>
        <v>0</v>
      </c>
      <c r="I516" s="2"/>
      <c r="J516" s="17"/>
      <c r="K516" s="17"/>
      <c r="L516" s="17"/>
    </row>
    <row r="517" spans="1:12">
      <c r="A517" s="37"/>
      <c r="B517" s="36">
        <v>6</v>
      </c>
      <c r="C517" s="19"/>
      <c r="D517" s="30">
        <v>0</v>
      </c>
      <c r="E517" s="21">
        <v>1</v>
      </c>
      <c r="F517" s="20">
        <f t="shared" si="44"/>
        <v>0</v>
      </c>
      <c r="G517" s="21">
        <v>106</v>
      </c>
      <c r="H517" s="20">
        <f t="shared" si="45"/>
        <v>0</v>
      </c>
      <c r="I517" s="2"/>
      <c r="J517" s="17"/>
      <c r="K517" s="17"/>
      <c r="L517" s="17"/>
    </row>
    <row r="518" spans="1:12">
      <c r="A518" s="37"/>
      <c r="B518" s="36">
        <v>7</v>
      </c>
      <c r="C518" s="19"/>
      <c r="D518" s="20">
        <v>0</v>
      </c>
      <c r="E518" s="21">
        <v>1</v>
      </c>
      <c r="F518" s="20">
        <f t="shared" si="44"/>
        <v>0</v>
      </c>
      <c r="G518" s="21">
        <v>107</v>
      </c>
      <c r="H518" s="20">
        <f t="shared" si="45"/>
        <v>0</v>
      </c>
      <c r="I518" s="2"/>
      <c r="J518" s="17"/>
      <c r="K518" s="17"/>
      <c r="L518" s="17"/>
    </row>
    <row r="519" spans="1:12">
      <c r="A519" s="37"/>
      <c r="B519" s="36">
        <v>8</v>
      </c>
      <c r="C519" s="19"/>
      <c r="D519" s="20">
        <v>0</v>
      </c>
      <c r="E519" s="21">
        <v>1</v>
      </c>
      <c r="F519" s="20">
        <f t="shared" si="44"/>
        <v>0</v>
      </c>
      <c r="G519" s="21">
        <v>108</v>
      </c>
      <c r="H519" s="20">
        <f t="shared" si="45"/>
        <v>0</v>
      </c>
      <c r="I519" s="2"/>
      <c r="J519" s="17"/>
      <c r="K519" s="17"/>
      <c r="L519" s="17"/>
    </row>
    <row r="520" spans="1:12">
      <c r="A520" s="37"/>
      <c r="B520" s="36"/>
      <c r="C520" s="14" t="s">
        <v>175</v>
      </c>
      <c r="D520" s="20"/>
      <c r="F520" s="20"/>
      <c r="H520" s="25">
        <f>SUM(H512:H519)</f>
        <v>0</v>
      </c>
      <c r="I520" s="2"/>
      <c r="J520" s="17"/>
      <c r="K520" s="17"/>
      <c r="L520" s="17"/>
    </row>
    <row r="521" spans="1:12">
      <c r="A521" s="37"/>
      <c r="B521" s="38"/>
      <c r="C521" s="14"/>
      <c r="D521" s="20"/>
      <c r="F521" s="20"/>
      <c r="H521" s="20"/>
      <c r="I521" s="2"/>
      <c r="J521" s="17"/>
      <c r="K521" s="17"/>
      <c r="L521" s="17"/>
    </row>
    <row r="522" spans="1:12">
      <c r="A522" s="37"/>
      <c r="B522" s="38"/>
      <c r="C522" s="14" t="s">
        <v>176</v>
      </c>
      <c r="D522" s="20"/>
      <c r="F522" s="20"/>
      <c r="H522" s="20"/>
      <c r="I522" s="2"/>
      <c r="J522" s="17"/>
      <c r="K522" s="17"/>
      <c r="L522" s="17"/>
    </row>
    <row r="523" spans="1:12">
      <c r="A523" s="37"/>
      <c r="B523" s="36">
        <v>1</v>
      </c>
      <c r="C523" s="19" t="s">
        <v>493</v>
      </c>
      <c r="D523" s="20">
        <v>5</v>
      </c>
      <c r="E523" s="21">
        <v>1</v>
      </c>
      <c r="F523" s="20">
        <f>D523*E523</f>
        <v>5</v>
      </c>
      <c r="G523" s="69">
        <v>43076.923076923078</v>
      </c>
      <c r="H523" s="20">
        <f>F523*G523</f>
        <v>215384.61538461538</v>
      </c>
      <c r="I523" s="2"/>
      <c r="J523" s="17"/>
      <c r="K523" s="17"/>
      <c r="L523" s="17"/>
    </row>
    <row r="524" spans="1:12">
      <c r="A524" s="37"/>
      <c r="B524" s="36">
        <v>2</v>
      </c>
      <c r="C524" s="19" t="s">
        <v>494</v>
      </c>
      <c r="D524" s="20">
        <v>1.278</v>
      </c>
      <c r="E524" s="21">
        <v>1</v>
      </c>
      <c r="F524" s="20">
        <f t="shared" ref="F524:F542" si="46">D524*E524</f>
        <v>1.278</v>
      </c>
      <c r="G524" s="69">
        <v>500000</v>
      </c>
      <c r="H524" s="20">
        <f t="shared" ref="H524:H542" si="47">F524*G524</f>
        <v>639000</v>
      </c>
      <c r="I524" s="2"/>
      <c r="J524" s="17"/>
      <c r="K524" s="17"/>
      <c r="L524" s="17"/>
    </row>
    <row r="525" spans="1:12">
      <c r="A525" s="37"/>
      <c r="B525" s="36">
        <v>3</v>
      </c>
      <c r="C525" s="19" t="s">
        <v>495</v>
      </c>
      <c r="D525" s="20">
        <v>1.1459999999999999</v>
      </c>
      <c r="E525" s="21">
        <v>1</v>
      </c>
      <c r="F525" s="20">
        <f t="shared" si="46"/>
        <v>1.1459999999999999</v>
      </c>
      <c r="G525" s="69">
        <v>3295162.3076923075</v>
      </c>
      <c r="H525" s="20">
        <f t="shared" si="47"/>
        <v>3776256.0046153842</v>
      </c>
      <c r="I525" s="2"/>
      <c r="J525" s="17"/>
      <c r="K525" s="17"/>
      <c r="L525" s="17"/>
    </row>
    <row r="526" spans="1:12">
      <c r="A526" s="37"/>
      <c r="B526" s="36">
        <v>4</v>
      </c>
      <c r="C526" s="19" t="s">
        <v>496</v>
      </c>
      <c r="D526" s="20">
        <v>42</v>
      </c>
      <c r="E526" s="21">
        <v>1</v>
      </c>
      <c r="F526" s="20">
        <f t="shared" si="46"/>
        <v>42</v>
      </c>
      <c r="G526" s="69">
        <f>K43</f>
        <v>5384.6153846153802</v>
      </c>
      <c r="H526" s="20">
        <f t="shared" si="47"/>
        <v>226153.84615384598</v>
      </c>
      <c r="I526" s="2"/>
      <c r="J526" s="17"/>
      <c r="K526" s="17"/>
      <c r="L526" s="17"/>
    </row>
    <row r="527" spans="1:12">
      <c r="A527" s="37"/>
      <c r="B527" s="36">
        <v>5</v>
      </c>
      <c r="C527" s="19" t="s">
        <v>497</v>
      </c>
      <c r="D527" s="20">
        <v>24</v>
      </c>
      <c r="E527" s="21">
        <v>1</v>
      </c>
      <c r="F527" s="20">
        <f t="shared" si="46"/>
        <v>24</v>
      </c>
      <c r="G527" s="69">
        <f>K44</f>
        <v>8307.6923076923104</v>
      </c>
      <c r="H527" s="20">
        <f t="shared" si="47"/>
        <v>199384.61538461543</v>
      </c>
      <c r="I527" s="2"/>
      <c r="J527" s="17"/>
      <c r="K527" s="17"/>
      <c r="L527" s="17"/>
    </row>
    <row r="528" spans="1:12">
      <c r="A528" s="37"/>
      <c r="B528" s="36">
        <v>6</v>
      </c>
      <c r="C528" s="19" t="s">
        <v>498</v>
      </c>
      <c r="D528" s="20">
        <v>18</v>
      </c>
      <c r="E528" s="21">
        <v>1</v>
      </c>
      <c r="F528" s="20">
        <f t="shared" si="46"/>
        <v>18</v>
      </c>
      <c r="G528" s="69">
        <v>60.769230769230766</v>
      </c>
      <c r="H528" s="20">
        <f t="shared" si="47"/>
        <v>1093.8461538461538</v>
      </c>
      <c r="I528" s="2"/>
      <c r="J528" s="17"/>
      <c r="K528" s="17"/>
      <c r="L528" s="17"/>
    </row>
    <row r="529" spans="1:12">
      <c r="A529" s="37"/>
      <c r="B529" s="36">
        <v>7</v>
      </c>
      <c r="C529" s="19" t="s">
        <v>499</v>
      </c>
      <c r="D529" s="20">
        <v>40</v>
      </c>
      <c r="E529" s="21">
        <v>1</v>
      </c>
      <c r="F529" s="20">
        <f t="shared" si="46"/>
        <v>40</v>
      </c>
      <c r="G529" s="69">
        <v>880</v>
      </c>
      <c r="H529" s="20">
        <f t="shared" si="47"/>
        <v>35200</v>
      </c>
      <c r="I529" s="2"/>
      <c r="J529" s="17"/>
      <c r="K529" s="17"/>
      <c r="L529" s="17"/>
    </row>
    <row r="530" spans="1:12">
      <c r="A530" s="37"/>
      <c r="B530" s="36">
        <v>8</v>
      </c>
      <c r="C530" s="19" t="s">
        <v>500</v>
      </c>
      <c r="D530" s="20">
        <v>15</v>
      </c>
      <c r="E530" s="21">
        <v>1</v>
      </c>
      <c r="F530" s="20">
        <f t="shared" si="46"/>
        <v>15</v>
      </c>
      <c r="G530" s="69">
        <v>3665.3846153846152</v>
      </c>
      <c r="H530" s="20">
        <f t="shared" si="47"/>
        <v>54980.769230769227</v>
      </c>
      <c r="I530" s="2"/>
      <c r="J530" s="17"/>
      <c r="K530" s="17"/>
      <c r="L530" s="17"/>
    </row>
    <row r="531" spans="1:12">
      <c r="A531" s="37"/>
      <c r="B531" s="36">
        <v>9</v>
      </c>
      <c r="C531" s="19" t="s">
        <v>474</v>
      </c>
      <c r="D531" s="20">
        <v>3</v>
      </c>
      <c r="E531" s="21">
        <v>1</v>
      </c>
      <c r="F531" s="20">
        <f t="shared" si="46"/>
        <v>3</v>
      </c>
      <c r="G531" s="69">
        <v>3800</v>
      </c>
      <c r="H531" s="20">
        <f t="shared" si="47"/>
        <v>11400</v>
      </c>
      <c r="I531" s="2"/>
      <c r="J531" s="17"/>
      <c r="K531" s="17"/>
      <c r="L531" s="17"/>
    </row>
    <row r="532" spans="1:12">
      <c r="A532" s="37"/>
      <c r="B532" s="36">
        <v>10</v>
      </c>
      <c r="C532" s="19" t="s">
        <v>501</v>
      </c>
      <c r="D532" s="20">
        <v>0</v>
      </c>
      <c r="E532" s="21">
        <v>1</v>
      </c>
      <c r="F532" s="20">
        <f t="shared" si="46"/>
        <v>0</v>
      </c>
      <c r="G532" s="69">
        <v>1556.1538461538462</v>
      </c>
      <c r="H532" s="20">
        <f t="shared" si="47"/>
        <v>0</v>
      </c>
      <c r="I532" s="2"/>
      <c r="J532" s="17"/>
      <c r="K532" s="17"/>
      <c r="L532" s="17"/>
    </row>
    <row r="533" spans="1:12">
      <c r="A533" s="37"/>
      <c r="B533" s="36">
        <v>11</v>
      </c>
      <c r="C533" s="19" t="s">
        <v>502</v>
      </c>
      <c r="D533" s="20">
        <v>10</v>
      </c>
      <c r="E533" s="21">
        <v>1</v>
      </c>
      <c r="F533" s="20">
        <f t="shared" si="46"/>
        <v>10</v>
      </c>
      <c r="G533" s="69">
        <v>15961.538461538461</v>
      </c>
      <c r="H533" s="20">
        <f t="shared" si="47"/>
        <v>159615.38461538462</v>
      </c>
      <c r="I533" s="2"/>
      <c r="J533" s="17"/>
      <c r="K533" s="17"/>
      <c r="L533" s="17"/>
    </row>
    <row r="534" spans="1:12">
      <c r="A534" s="37"/>
      <c r="B534" s="36">
        <v>12</v>
      </c>
      <c r="C534" s="19" t="s">
        <v>503</v>
      </c>
      <c r="D534" s="20">
        <v>6</v>
      </c>
      <c r="E534" s="21">
        <v>1</v>
      </c>
      <c r="F534" s="20">
        <f t="shared" si="46"/>
        <v>6</v>
      </c>
      <c r="G534" s="69">
        <v>40</v>
      </c>
      <c r="H534" s="20">
        <f t="shared" si="47"/>
        <v>240</v>
      </c>
      <c r="I534" s="2"/>
      <c r="J534" s="17"/>
      <c r="K534" s="17"/>
      <c r="L534" s="17"/>
    </row>
    <row r="535" spans="1:12">
      <c r="A535" s="37"/>
      <c r="B535" s="36">
        <v>13</v>
      </c>
      <c r="C535" s="19" t="s">
        <v>504</v>
      </c>
      <c r="D535" s="20">
        <v>2.556</v>
      </c>
      <c r="E535" s="21">
        <v>1</v>
      </c>
      <c r="F535" s="20">
        <f t="shared" si="46"/>
        <v>2.556</v>
      </c>
      <c r="G535" s="69">
        <v>49000</v>
      </c>
      <c r="H535" s="20">
        <f t="shared" si="47"/>
        <v>125244</v>
      </c>
      <c r="I535" s="2"/>
      <c r="J535" s="17"/>
      <c r="K535" s="17"/>
      <c r="L535" s="17"/>
    </row>
    <row r="536" spans="1:12">
      <c r="A536" s="37"/>
      <c r="B536" s="36">
        <v>14</v>
      </c>
      <c r="C536" s="19" t="s">
        <v>505</v>
      </c>
      <c r="D536" s="20">
        <v>1</v>
      </c>
      <c r="E536" s="21">
        <v>1</v>
      </c>
      <c r="F536" s="20">
        <f t="shared" si="46"/>
        <v>1</v>
      </c>
      <c r="G536" s="69">
        <v>2307.6923076923076</v>
      </c>
      <c r="H536" s="20">
        <f t="shared" si="47"/>
        <v>2307.6923076923076</v>
      </c>
      <c r="I536" s="2"/>
      <c r="J536" s="17"/>
      <c r="K536" s="17"/>
      <c r="L536" s="17"/>
    </row>
    <row r="537" spans="1:12">
      <c r="A537" s="37"/>
      <c r="B537" s="36">
        <v>15</v>
      </c>
      <c r="C537" s="19" t="s">
        <v>506</v>
      </c>
      <c r="D537" s="20">
        <v>0.9</v>
      </c>
      <c r="E537" s="21">
        <v>1</v>
      </c>
      <c r="F537" s="20">
        <f t="shared" si="46"/>
        <v>0.9</v>
      </c>
      <c r="G537" s="69">
        <v>16100</v>
      </c>
      <c r="H537" s="20">
        <f t="shared" si="47"/>
        <v>14490</v>
      </c>
      <c r="I537" s="2"/>
      <c r="J537" s="17"/>
      <c r="K537" s="17"/>
      <c r="L537" s="17"/>
    </row>
    <row r="538" spans="1:12">
      <c r="A538" s="37"/>
      <c r="B538" s="36">
        <v>16</v>
      </c>
      <c r="C538" s="19" t="s">
        <v>507</v>
      </c>
      <c r="D538" s="20">
        <v>6</v>
      </c>
      <c r="E538" s="21">
        <v>1</v>
      </c>
      <c r="F538" s="20">
        <f t="shared" si="46"/>
        <v>6</v>
      </c>
      <c r="G538" s="69">
        <v>230.76923076923077</v>
      </c>
      <c r="H538" s="20">
        <f t="shared" si="47"/>
        <v>1384.6153846153848</v>
      </c>
      <c r="I538" s="2"/>
      <c r="J538" s="17"/>
      <c r="K538" s="17"/>
      <c r="L538" s="17"/>
    </row>
    <row r="539" spans="1:12">
      <c r="A539" s="37"/>
      <c r="B539" s="36">
        <v>17</v>
      </c>
      <c r="C539" s="19" t="s">
        <v>508</v>
      </c>
      <c r="D539" s="20">
        <v>2.4479999999999998E-2</v>
      </c>
      <c r="E539" s="21">
        <v>1</v>
      </c>
      <c r="F539" s="20">
        <f t="shared" si="46"/>
        <v>2.4479999999999998E-2</v>
      </c>
      <c r="G539" s="69">
        <v>9000</v>
      </c>
      <c r="H539" s="20">
        <f t="shared" si="47"/>
        <v>220.32</v>
      </c>
      <c r="I539" s="2"/>
      <c r="J539" s="17"/>
      <c r="K539" s="17"/>
      <c r="L539" s="17"/>
    </row>
    <row r="540" spans="1:12">
      <c r="A540" s="37"/>
      <c r="B540" s="36">
        <v>18</v>
      </c>
      <c r="C540" s="19" t="s">
        <v>352</v>
      </c>
      <c r="D540" s="20">
        <v>2.3279999999999998</v>
      </c>
      <c r="E540" s="21">
        <v>1</v>
      </c>
      <c r="F540" s="20">
        <f t="shared" si="46"/>
        <v>2.3279999999999998</v>
      </c>
      <c r="G540" s="69">
        <v>177.69230769230768</v>
      </c>
      <c r="H540" s="20">
        <f t="shared" si="47"/>
        <v>413.66769230769228</v>
      </c>
      <c r="I540" s="2"/>
      <c r="J540" s="17"/>
      <c r="K540" s="17"/>
      <c r="L540" s="17"/>
    </row>
    <row r="541" spans="1:12">
      <c r="A541" s="37"/>
      <c r="B541" s="36">
        <v>19</v>
      </c>
      <c r="C541" s="19" t="s">
        <v>45</v>
      </c>
      <c r="D541" s="20">
        <v>9.3119999999999994</v>
      </c>
      <c r="E541" s="21">
        <v>1</v>
      </c>
      <c r="F541" s="20">
        <f t="shared" si="46"/>
        <v>9.3119999999999994</v>
      </c>
      <c r="G541" s="69">
        <v>77.692307692307693</v>
      </c>
      <c r="H541" s="20">
        <f t="shared" si="47"/>
        <v>723.47076923076918</v>
      </c>
      <c r="I541" s="2"/>
      <c r="J541" s="17"/>
      <c r="K541" s="17"/>
      <c r="L541" s="17"/>
    </row>
    <row r="542" spans="1:12">
      <c r="A542" s="37"/>
      <c r="B542" s="36">
        <v>20</v>
      </c>
      <c r="C542" s="19" t="s">
        <v>351</v>
      </c>
      <c r="D542" s="20">
        <v>13.968</v>
      </c>
      <c r="E542" s="21">
        <v>1</v>
      </c>
      <c r="F542" s="20">
        <f t="shared" si="46"/>
        <v>13.968</v>
      </c>
      <c r="G542" s="69">
        <v>264.61538461538458</v>
      </c>
      <c r="H542" s="20">
        <f t="shared" si="47"/>
        <v>3696.1476923076921</v>
      </c>
      <c r="I542" s="2"/>
      <c r="J542" s="17"/>
      <c r="K542" s="17"/>
      <c r="L542" s="17"/>
    </row>
    <row r="543" spans="1:12">
      <c r="A543" s="37"/>
      <c r="B543" s="36">
        <v>21</v>
      </c>
      <c r="C543" s="19"/>
      <c r="D543" s="20">
        <v>0</v>
      </c>
      <c r="E543" s="21">
        <v>1</v>
      </c>
      <c r="F543" s="20">
        <f>D543*E543</f>
        <v>0</v>
      </c>
      <c r="G543" s="69">
        <v>102</v>
      </c>
      <c r="H543" s="20">
        <f>F543*G543</f>
        <v>0</v>
      </c>
      <c r="I543" s="2"/>
      <c r="J543" s="17"/>
      <c r="K543" s="17"/>
      <c r="L543" s="17"/>
    </row>
    <row r="544" spans="1:12">
      <c r="A544" s="37"/>
      <c r="B544" s="36"/>
      <c r="C544" s="14" t="s">
        <v>177</v>
      </c>
      <c r="D544" s="20"/>
      <c r="F544" s="20"/>
      <c r="H544" s="25">
        <f>SUM(H523:H543)</f>
        <v>5467188.995384614</v>
      </c>
      <c r="I544" s="2"/>
      <c r="J544" s="17"/>
      <c r="K544" s="17"/>
      <c r="L544" s="17"/>
    </row>
    <row r="545" spans="1:12">
      <c r="A545" s="37"/>
      <c r="B545" s="38"/>
      <c r="C545" s="14"/>
      <c r="D545" s="20"/>
      <c r="F545" s="20"/>
      <c r="H545" s="20"/>
      <c r="I545" s="2"/>
      <c r="J545" s="17"/>
      <c r="K545" s="17"/>
      <c r="L545" s="17"/>
    </row>
    <row r="546" spans="1:12">
      <c r="A546" s="37"/>
      <c r="B546" s="38"/>
      <c r="C546" s="14" t="s">
        <v>178</v>
      </c>
      <c r="D546" s="20"/>
      <c r="F546" s="20"/>
      <c r="H546" s="20"/>
      <c r="I546" s="2"/>
      <c r="J546" s="17"/>
      <c r="K546" s="17"/>
      <c r="L546" s="17"/>
    </row>
    <row r="547" spans="1:12">
      <c r="A547" s="37"/>
      <c r="B547" s="36">
        <v>1</v>
      </c>
      <c r="C547" s="19" t="s">
        <v>284</v>
      </c>
      <c r="D547" s="20">
        <v>1</v>
      </c>
      <c r="E547" s="21">
        <v>1</v>
      </c>
      <c r="F547" s="20">
        <f>D547*E547</f>
        <v>1</v>
      </c>
      <c r="G547" s="21">
        <v>62500</v>
      </c>
      <c r="H547" s="20">
        <f>F547*G547</f>
        <v>62500</v>
      </c>
      <c r="I547" s="2"/>
      <c r="J547" s="17"/>
      <c r="K547" s="17"/>
      <c r="L547" s="17"/>
    </row>
    <row r="548" spans="1:12">
      <c r="A548" s="37"/>
      <c r="B548" s="36">
        <v>2</v>
      </c>
      <c r="C548" s="19" t="s">
        <v>355</v>
      </c>
      <c r="D548" s="20">
        <v>0</v>
      </c>
      <c r="E548" s="21">
        <v>1</v>
      </c>
      <c r="F548" s="20">
        <f>D548*E548</f>
        <v>0</v>
      </c>
      <c r="G548" s="31">
        <v>102</v>
      </c>
      <c r="H548" s="20">
        <f>F548*G548</f>
        <v>0</v>
      </c>
      <c r="I548" s="2"/>
      <c r="J548" s="17"/>
      <c r="K548" s="17"/>
      <c r="L548" s="17"/>
    </row>
    <row r="549" spans="1:12">
      <c r="A549" s="37"/>
      <c r="B549" s="36">
        <v>3</v>
      </c>
      <c r="C549" s="19"/>
      <c r="D549" s="20">
        <v>0</v>
      </c>
      <c r="E549" s="21">
        <v>1</v>
      </c>
      <c r="F549" s="20">
        <f>D549*E549</f>
        <v>0</v>
      </c>
      <c r="G549" s="21">
        <v>103</v>
      </c>
      <c r="H549" s="20">
        <f>F549*G549</f>
        <v>0</v>
      </c>
      <c r="I549" s="2"/>
      <c r="J549" s="17"/>
      <c r="K549" s="17"/>
      <c r="L549" s="17"/>
    </row>
    <row r="550" spans="1:12">
      <c r="A550" s="37"/>
      <c r="B550" s="36">
        <v>4</v>
      </c>
      <c r="C550" s="19"/>
      <c r="D550" s="20">
        <v>0</v>
      </c>
      <c r="E550" s="21">
        <v>1</v>
      </c>
      <c r="F550" s="20">
        <f>D550*E550</f>
        <v>0</v>
      </c>
      <c r="G550" s="21">
        <v>104</v>
      </c>
      <c r="H550" s="20">
        <f>F550*G550</f>
        <v>0</v>
      </c>
      <c r="I550" s="2"/>
      <c r="J550" s="17"/>
      <c r="K550" s="17"/>
      <c r="L550" s="17"/>
    </row>
    <row r="551" spans="1:12">
      <c r="A551" s="37"/>
      <c r="B551" s="36">
        <v>5</v>
      </c>
      <c r="C551" s="19"/>
      <c r="D551" s="20">
        <v>0</v>
      </c>
      <c r="E551" s="21">
        <v>1</v>
      </c>
      <c r="F551" s="20">
        <f>D551*E551</f>
        <v>0</v>
      </c>
      <c r="G551" s="21">
        <v>102</v>
      </c>
      <c r="H551" s="20">
        <f>F551*G551</f>
        <v>0</v>
      </c>
      <c r="I551" s="2"/>
      <c r="J551" s="17"/>
      <c r="K551" s="17"/>
      <c r="L551" s="17"/>
    </row>
    <row r="552" spans="1:12">
      <c r="A552" s="37"/>
      <c r="B552" s="36"/>
      <c r="C552" s="14" t="s">
        <v>179</v>
      </c>
      <c r="D552" s="20"/>
      <c r="F552" s="20"/>
      <c r="H552" s="25">
        <f>SUM(H547:H551)</f>
        <v>62500</v>
      </c>
      <c r="I552" s="2"/>
      <c r="J552" s="17"/>
      <c r="K552" s="17"/>
      <c r="L552" s="17"/>
    </row>
    <row r="553" spans="1:12">
      <c r="A553" s="37"/>
      <c r="B553" s="38"/>
      <c r="C553" s="14"/>
      <c r="D553" s="20"/>
      <c r="F553" s="20"/>
      <c r="H553" s="20"/>
      <c r="I553" s="2"/>
      <c r="J553" s="17"/>
      <c r="K553" s="17"/>
      <c r="L553" s="17"/>
    </row>
    <row r="554" spans="1:12">
      <c r="A554" s="37"/>
      <c r="B554" s="38"/>
      <c r="C554" s="14" t="s">
        <v>180</v>
      </c>
      <c r="D554" s="20"/>
      <c r="F554" s="20"/>
      <c r="H554" s="20"/>
      <c r="I554" s="2"/>
      <c r="J554" s="17"/>
      <c r="K554" s="17"/>
      <c r="L554" s="17"/>
    </row>
    <row r="555" spans="1:12">
      <c r="A555" s="37"/>
      <c r="B555" s="36">
        <v>1</v>
      </c>
      <c r="C555" s="19" t="s">
        <v>356</v>
      </c>
      <c r="D555" s="20">
        <v>0</v>
      </c>
      <c r="E555" s="21">
        <v>1</v>
      </c>
      <c r="F555" s="20">
        <f>D555*E555</f>
        <v>0</v>
      </c>
      <c r="G555" s="69">
        <v>22076</v>
      </c>
      <c r="H555" s="20">
        <f>F555*G555</f>
        <v>0</v>
      </c>
      <c r="I555" s="2"/>
      <c r="J555" s="17"/>
      <c r="K555" s="17"/>
      <c r="L555" s="17"/>
    </row>
    <row r="556" spans="1:12">
      <c r="A556" s="37"/>
      <c r="B556" s="36">
        <v>2</v>
      </c>
      <c r="C556" s="19" t="s">
        <v>357</v>
      </c>
      <c r="D556" s="20">
        <v>0</v>
      </c>
      <c r="E556" s="21">
        <v>1</v>
      </c>
      <c r="F556" s="20">
        <f t="shared" ref="F556:F569" si="48">D556*E556</f>
        <v>0</v>
      </c>
      <c r="G556" s="69">
        <v>12507</v>
      </c>
      <c r="H556" s="20">
        <f t="shared" ref="H556:H569" si="49">F556*G556</f>
        <v>0</v>
      </c>
      <c r="I556" s="2"/>
      <c r="J556" s="17"/>
      <c r="K556" s="17"/>
      <c r="L556" s="17"/>
    </row>
    <row r="557" spans="1:12">
      <c r="A557" s="37"/>
      <c r="B557" s="36">
        <v>3</v>
      </c>
      <c r="C557" s="19" t="s">
        <v>219</v>
      </c>
      <c r="D557" s="20">
        <v>6</v>
      </c>
      <c r="E557" s="21">
        <v>1</v>
      </c>
      <c r="F557" s="20">
        <f t="shared" si="48"/>
        <v>6</v>
      </c>
      <c r="G557" s="69">
        <v>12507</v>
      </c>
      <c r="H557" s="20">
        <f t="shared" si="49"/>
        <v>75042</v>
      </c>
      <c r="I557" s="2"/>
      <c r="J557" s="17"/>
      <c r="K557" s="17"/>
      <c r="L557" s="17"/>
    </row>
    <row r="558" spans="1:12">
      <c r="A558" s="37"/>
      <c r="B558" s="36">
        <v>4</v>
      </c>
      <c r="C558" s="19" t="s">
        <v>64</v>
      </c>
      <c r="D558" s="20">
        <v>6</v>
      </c>
      <c r="E558" s="21">
        <v>1</v>
      </c>
      <c r="F558" s="20">
        <f t="shared" si="48"/>
        <v>6</v>
      </c>
      <c r="G558" s="69">
        <v>12507</v>
      </c>
      <c r="H558" s="20">
        <f t="shared" si="49"/>
        <v>75042</v>
      </c>
      <c r="I558" s="2"/>
      <c r="J558" s="17"/>
      <c r="K558" s="17"/>
      <c r="L558" s="17"/>
    </row>
    <row r="559" spans="1:12">
      <c r="A559" s="37"/>
      <c r="B559" s="36">
        <v>5</v>
      </c>
      <c r="C559" s="19" t="s">
        <v>65</v>
      </c>
      <c r="D559" s="20">
        <v>6</v>
      </c>
      <c r="E559" s="21">
        <v>1</v>
      </c>
      <c r="F559" s="20">
        <f t="shared" si="48"/>
        <v>6</v>
      </c>
      <c r="G559" s="69">
        <v>12507</v>
      </c>
      <c r="H559" s="20">
        <f t="shared" si="49"/>
        <v>75042</v>
      </c>
      <c r="I559" s="2"/>
      <c r="J559" s="17"/>
      <c r="K559" s="17"/>
      <c r="L559" s="17"/>
    </row>
    <row r="560" spans="1:12">
      <c r="A560" s="37"/>
      <c r="B560" s="36">
        <v>6</v>
      </c>
      <c r="C560" s="19" t="s">
        <v>358</v>
      </c>
      <c r="D560" s="20">
        <v>6</v>
      </c>
      <c r="E560" s="21">
        <v>1</v>
      </c>
      <c r="F560" s="20">
        <f t="shared" si="48"/>
        <v>6</v>
      </c>
      <c r="G560" s="69">
        <v>12507</v>
      </c>
      <c r="H560" s="20">
        <f t="shared" si="49"/>
        <v>75042</v>
      </c>
      <c r="I560" s="2"/>
      <c r="J560" s="17"/>
      <c r="K560" s="17"/>
      <c r="L560" s="17"/>
    </row>
    <row r="561" spans="1:12">
      <c r="A561" s="37"/>
      <c r="B561" s="36">
        <v>7</v>
      </c>
      <c r="C561" s="19" t="s">
        <v>222</v>
      </c>
      <c r="D561" s="20">
        <v>34.56</v>
      </c>
      <c r="E561" s="21">
        <v>1</v>
      </c>
      <c r="F561" s="20">
        <f t="shared" si="48"/>
        <v>34.56</v>
      </c>
      <c r="G561" s="69">
        <v>12507</v>
      </c>
      <c r="H561" s="20">
        <f t="shared" si="49"/>
        <v>432241.92000000004</v>
      </c>
      <c r="I561" s="2"/>
      <c r="J561" s="17"/>
      <c r="K561" s="17"/>
      <c r="L561" s="17"/>
    </row>
    <row r="562" spans="1:12">
      <c r="A562" s="37"/>
      <c r="B562" s="36">
        <v>8</v>
      </c>
      <c r="C562" s="19" t="s">
        <v>359</v>
      </c>
      <c r="D562" s="20">
        <v>0</v>
      </c>
      <c r="E562" s="21">
        <v>1</v>
      </c>
      <c r="F562" s="20">
        <f t="shared" si="48"/>
        <v>0</v>
      </c>
      <c r="G562" s="69">
        <v>12507</v>
      </c>
      <c r="H562" s="20">
        <f t="shared" si="49"/>
        <v>0</v>
      </c>
      <c r="I562" s="2"/>
      <c r="J562" s="17"/>
      <c r="K562" s="17"/>
      <c r="L562" s="17"/>
    </row>
    <row r="563" spans="1:12">
      <c r="A563" s="37"/>
      <c r="B563" s="36">
        <v>9</v>
      </c>
      <c r="C563" s="19" t="s">
        <v>223</v>
      </c>
      <c r="D563" s="20">
        <v>0</v>
      </c>
      <c r="E563" s="21">
        <v>1</v>
      </c>
      <c r="F563" s="20">
        <f t="shared" si="48"/>
        <v>0</v>
      </c>
      <c r="G563" s="69">
        <v>31769</v>
      </c>
      <c r="H563" s="20">
        <f t="shared" si="49"/>
        <v>0</v>
      </c>
      <c r="I563" s="2"/>
      <c r="J563" s="17"/>
      <c r="K563" s="17"/>
      <c r="L563" s="17"/>
    </row>
    <row r="564" spans="1:12">
      <c r="A564" s="37"/>
      <c r="B564" s="36">
        <v>10</v>
      </c>
      <c r="C564" s="19" t="s">
        <v>360</v>
      </c>
      <c r="D564" s="20">
        <v>6</v>
      </c>
      <c r="E564" s="21">
        <v>1</v>
      </c>
      <c r="F564" s="20">
        <f t="shared" si="48"/>
        <v>6</v>
      </c>
      <c r="G564" s="69">
        <v>31769</v>
      </c>
      <c r="H564" s="20">
        <f t="shared" si="49"/>
        <v>190614</v>
      </c>
      <c r="I564" s="2"/>
      <c r="J564" s="17"/>
      <c r="K564" s="17"/>
      <c r="L564" s="17"/>
    </row>
    <row r="565" spans="1:12">
      <c r="A565" s="37"/>
      <c r="B565" s="36">
        <v>11</v>
      </c>
      <c r="C565" s="19"/>
      <c r="D565" s="20">
        <v>0</v>
      </c>
      <c r="E565" s="21">
        <v>1</v>
      </c>
      <c r="F565" s="20">
        <f t="shared" si="48"/>
        <v>0</v>
      </c>
      <c r="G565" s="69">
        <v>111</v>
      </c>
      <c r="H565" s="20">
        <f t="shared" si="49"/>
        <v>0</v>
      </c>
      <c r="I565" s="2"/>
      <c r="J565" s="17"/>
      <c r="K565" s="17"/>
      <c r="L565" s="17"/>
    </row>
    <row r="566" spans="1:12">
      <c r="A566" s="37"/>
      <c r="B566" s="36">
        <v>12</v>
      </c>
      <c r="C566" s="19"/>
      <c r="D566" s="20">
        <v>0</v>
      </c>
      <c r="E566" s="21">
        <v>1</v>
      </c>
      <c r="F566" s="20">
        <f t="shared" si="48"/>
        <v>0</v>
      </c>
      <c r="G566" s="69">
        <v>112</v>
      </c>
      <c r="H566" s="20">
        <f t="shared" si="49"/>
        <v>0</v>
      </c>
      <c r="I566" s="2"/>
      <c r="J566" s="17"/>
      <c r="K566" s="17"/>
      <c r="L566" s="17"/>
    </row>
    <row r="567" spans="1:12">
      <c r="A567" s="37"/>
      <c r="B567" s="36">
        <v>13</v>
      </c>
      <c r="C567" s="19"/>
      <c r="D567" s="20">
        <v>0</v>
      </c>
      <c r="E567" s="21">
        <v>1</v>
      </c>
      <c r="F567" s="20">
        <f t="shared" si="48"/>
        <v>0</v>
      </c>
      <c r="G567" s="69">
        <v>113</v>
      </c>
      <c r="H567" s="20">
        <f t="shared" si="49"/>
        <v>0</v>
      </c>
      <c r="I567" s="2"/>
      <c r="J567" s="17"/>
      <c r="K567" s="17"/>
      <c r="L567" s="17"/>
    </row>
    <row r="568" spans="1:12">
      <c r="A568" s="37"/>
      <c r="B568" s="36">
        <v>14</v>
      </c>
      <c r="C568" s="19"/>
      <c r="D568" s="20">
        <v>0</v>
      </c>
      <c r="E568" s="21">
        <v>1</v>
      </c>
      <c r="F568" s="20">
        <f t="shared" si="48"/>
        <v>0</v>
      </c>
      <c r="G568" s="69">
        <v>114</v>
      </c>
      <c r="H568" s="20">
        <f t="shared" si="49"/>
        <v>0</v>
      </c>
      <c r="I568" s="2"/>
      <c r="J568" s="17"/>
      <c r="K568" s="17"/>
      <c r="L568" s="17"/>
    </row>
    <row r="569" spans="1:12">
      <c r="A569" s="37"/>
      <c r="B569" s="36">
        <v>15</v>
      </c>
      <c r="C569" s="19"/>
      <c r="D569" s="20">
        <v>0</v>
      </c>
      <c r="E569" s="21">
        <v>1</v>
      </c>
      <c r="F569" s="20">
        <f t="shared" si="48"/>
        <v>0</v>
      </c>
      <c r="G569" s="69">
        <v>115</v>
      </c>
      <c r="H569" s="20">
        <f t="shared" si="49"/>
        <v>0</v>
      </c>
      <c r="I569" s="2"/>
      <c r="J569" s="17"/>
      <c r="K569" s="17"/>
      <c r="L569" s="17"/>
    </row>
    <row r="570" spans="1:12">
      <c r="A570" s="37"/>
      <c r="B570" s="36"/>
      <c r="C570" s="14" t="s">
        <v>181</v>
      </c>
      <c r="D570" s="20"/>
      <c r="F570" s="20"/>
      <c r="H570" s="25">
        <f>SUM(H555:H569)</f>
        <v>923023.92</v>
      </c>
      <c r="I570" s="2"/>
      <c r="J570" s="17"/>
      <c r="K570" s="17"/>
      <c r="L570" s="17"/>
    </row>
    <row r="571" spans="1:12">
      <c r="A571" s="37"/>
      <c r="B571" s="36"/>
      <c r="C571" s="14"/>
      <c r="D571" s="20"/>
      <c r="F571" s="20"/>
      <c r="H571" s="25"/>
      <c r="I571" s="2"/>
      <c r="J571" s="17"/>
      <c r="K571" s="17"/>
      <c r="L571" s="17"/>
    </row>
    <row r="572" spans="1:12">
      <c r="A572" s="37"/>
      <c r="B572" s="38"/>
      <c r="C572" s="14" t="s">
        <v>182</v>
      </c>
      <c r="D572" s="20"/>
      <c r="F572" s="20"/>
      <c r="H572" s="20"/>
      <c r="I572" s="2"/>
      <c r="J572" s="17"/>
      <c r="K572" s="17"/>
      <c r="L572" s="17"/>
    </row>
    <row r="573" spans="1:12">
      <c r="A573" s="37"/>
      <c r="B573" s="36">
        <v>1</v>
      </c>
      <c r="C573" s="19" t="s">
        <v>361</v>
      </c>
      <c r="D573" s="20">
        <v>6</v>
      </c>
      <c r="E573" s="21">
        <v>1</v>
      </c>
      <c r="F573" s="20">
        <f>D573*E573</f>
        <v>6</v>
      </c>
      <c r="G573" s="21">
        <f>576900*0.5+K47*0.5</f>
        <v>576900</v>
      </c>
      <c r="H573" s="20">
        <f>F573*G573</f>
        <v>3461400</v>
      </c>
      <c r="I573" s="2"/>
      <c r="J573" s="17"/>
      <c r="K573" s="17"/>
      <c r="L573" s="17"/>
    </row>
    <row r="574" spans="1:12">
      <c r="A574" s="37"/>
      <c r="B574" s="36">
        <v>2</v>
      </c>
      <c r="C574" s="19" t="s">
        <v>509</v>
      </c>
      <c r="D574" s="20">
        <v>12</v>
      </c>
      <c r="E574" s="21">
        <v>1</v>
      </c>
      <c r="F574" s="20">
        <f>D574*E574</f>
        <v>12</v>
      </c>
      <c r="G574" s="21">
        <v>30770</v>
      </c>
      <c r="H574" s="20">
        <f>F574*G574</f>
        <v>369240</v>
      </c>
      <c r="I574" s="2"/>
      <c r="J574" s="17"/>
      <c r="K574" s="17"/>
      <c r="L574" s="17"/>
    </row>
    <row r="575" spans="1:12">
      <c r="A575" s="37"/>
      <c r="B575" s="36">
        <v>3</v>
      </c>
      <c r="C575" s="19" t="s">
        <v>76</v>
      </c>
      <c r="D575" s="20">
        <v>12</v>
      </c>
      <c r="E575" s="21">
        <v>1</v>
      </c>
      <c r="F575" s="20">
        <f t="shared" ref="F575:F582" si="50">D575*E575</f>
        <v>12</v>
      </c>
      <c r="G575" s="21">
        <v>30770</v>
      </c>
      <c r="H575" s="20">
        <f t="shared" ref="H575:H582" si="51">F575*G575</f>
        <v>369240</v>
      </c>
      <c r="I575" s="2"/>
      <c r="J575" s="17"/>
      <c r="K575" s="17"/>
      <c r="L575" s="17"/>
    </row>
    <row r="576" spans="1:12">
      <c r="A576" s="37"/>
      <c r="B576" s="36">
        <v>4</v>
      </c>
      <c r="C576" s="19" t="s">
        <v>364</v>
      </c>
      <c r="D576" s="20">
        <v>48</v>
      </c>
      <c r="E576" s="21">
        <v>1</v>
      </c>
      <c r="F576" s="20">
        <f t="shared" si="50"/>
        <v>48</v>
      </c>
      <c r="G576" s="21">
        <v>30770</v>
      </c>
      <c r="H576" s="20">
        <f t="shared" si="51"/>
        <v>1476960</v>
      </c>
      <c r="I576" s="2"/>
      <c r="J576" s="17"/>
      <c r="K576" s="17"/>
      <c r="L576" s="17"/>
    </row>
    <row r="577" spans="1:12">
      <c r="A577" s="37"/>
      <c r="B577" s="36">
        <v>5</v>
      </c>
      <c r="C577" s="19" t="s">
        <v>510</v>
      </c>
      <c r="D577" s="20">
        <v>6</v>
      </c>
      <c r="E577" s="21">
        <v>1</v>
      </c>
      <c r="F577" s="20">
        <f t="shared" si="50"/>
        <v>6</v>
      </c>
      <c r="G577" s="21">
        <v>30770</v>
      </c>
      <c r="H577" s="20">
        <f t="shared" si="51"/>
        <v>184620</v>
      </c>
      <c r="I577" s="2"/>
      <c r="J577" s="17"/>
      <c r="K577" s="17"/>
      <c r="L577" s="17"/>
    </row>
    <row r="578" spans="1:12">
      <c r="A578" s="37"/>
      <c r="B578" s="36">
        <v>6</v>
      </c>
      <c r="C578" s="19" t="s">
        <v>511</v>
      </c>
      <c r="D578" s="20">
        <v>6</v>
      </c>
      <c r="E578" s="21">
        <v>1</v>
      </c>
      <c r="F578" s="20">
        <f t="shared" si="50"/>
        <v>6</v>
      </c>
      <c r="G578" s="21">
        <v>30770</v>
      </c>
      <c r="H578" s="20">
        <f t="shared" si="51"/>
        <v>184620</v>
      </c>
      <c r="I578" s="2"/>
      <c r="J578" s="17"/>
      <c r="K578" s="17"/>
      <c r="L578" s="17"/>
    </row>
    <row r="579" spans="1:12">
      <c r="A579" s="37"/>
      <c r="B579" s="36">
        <v>7</v>
      </c>
      <c r="C579" s="19"/>
      <c r="D579" s="20">
        <v>0</v>
      </c>
      <c r="E579" s="21">
        <v>1</v>
      </c>
      <c r="F579" s="20">
        <f t="shared" si="50"/>
        <v>0</v>
      </c>
      <c r="G579" s="21">
        <v>106</v>
      </c>
      <c r="H579" s="20">
        <f t="shared" si="51"/>
        <v>0</v>
      </c>
      <c r="I579" s="2"/>
      <c r="J579" s="17"/>
      <c r="K579" s="17"/>
      <c r="L579" s="17"/>
    </row>
    <row r="580" spans="1:12">
      <c r="A580" s="37"/>
      <c r="B580" s="36">
        <v>8</v>
      </c>
      <c r="C580" s="19"/>
      <c r="D580" s="20">
        <v>0</v>
      </c>
      <c r="E580" s="21">
        <v>1</v>
      </c>
      <c r="F580" s="20">
        <f t="shared" si="50"/>
        <v>0</v>
      </c>
      <c r="G580" s="21">
        <v>107</v>
      </c>
      <c r="H580" s="20">
        <f t="shared" si="51"/>
        <v>0</v>
      </c>
      <c r="I580" s="2"/>
      <c r="J580" s="17"/>
      <c r="K580" s="17"/>
      <c r="L580" s="17"/>
    </row>
    <row r="581" spans="1:12">
      <c r="A581" s="37"/>
      <c r="B581" s="36">
        <v>9</v>
      </c>
      <c r="C581" s="19"/>
      <c r="D581" s="20">
        <v>0</v>
      </c>
      <c r="E581" s="21">
        <v>1</v>
      </c>
      <c r="F581" s="20">
        <f t="shared" si="50"/>
        <v>0</v>
      </c>
      <c r="G581" s="21">
        <v>108</v>
      </c>
      <c r="H581" s="20">
        <f t="shared" si="51"/>
        <v>0</v>
      </c>
      <c r="I581" s="2"/>
      <c r="J581" s="17"/>
      <c r="K581" s="17"/>
      <c r="L581" s="17"/>
    </row>
    <row r="582" spans="1:12">
      <c r="A582" s="37"/>
      <c r="B582" s="36">
        <v>10</v>
      </c>
      <c r="C582" s="19"/>
      <c r="D582" s="20">
        <v>0</v>
      </c>
      <c r="E582" s="21">
        <v>1</v>
      </c>
      <c r="F582" s="20">
        <f t="shared" si="50"/>
        <v>0</v>
      </c>
      <c r="G582" s="21">
        <v>109</v>
      </c>
      <c r="H582" s="20">
        <f t="shared" si="51"/>
        <v>0</v>
      </c>
      <c r="I582" s="2"/>
      <c r="J582" s="17"/>
      <c r="K582" s="17"/>
      <c r="L582" s="17"/>
    </row>
    <row r="583" spans="1:12">
      <c r="A583" s="37"/>
      <c r="B583" s="36"/>
      <c r="C583" s="14" t="s">
        <v>183</v>
      </c>
      <c r="D583" s="20"/>
      <c r="F583" s="20"/>
      <c r="H583" s="25">
        <f>SUM(H573:H582)</f>
        <v>6046080</v>
      </c>
      <c r="I583" s="2"/>
      <c r="J583" s="17"/>
      <c r="K583" s="17"/>
      <c r="L583" s="17"/>
    </row>
    <row r="584" spans="1:12">
      <c r="A584" s="37"/>
      <c r="B584" s="36"/>
      <c r="C584" s="14"/>
      <c r="D584" s="20"/>
      <c r="F584" s="20"/>
      <c r="H584" s="25"/>
      <c r="I584" s="2"/>
      <c r="J584" s="17"/>
      <c r="K584" s="17"/>
      <c r="L584" s="17"/>
    </row>
    <row r="585" spans="1:12">
      <c r="A585" s="37"/>
      <c r="B585" s="38"/>
      <c r="C585" s="14" t="s">
        <v>184</v>
      </c>
      <c r="D585" s="20"/>
      <c r="F585" s="20"/>
      <c r="H585" s="25">
        <f>H499+H504+H509+H520+H544+H552+H570+H583</f>
        <v>12498792.915384613</v>
      </c>
      <c r="I585" s="2"/>
      <c r="J585" s="17"/>
      <c r="K585" s="17"/>
      <c r="L585" s="17"/>
    </row>
    <row r="586" spans="1:12">
      <c r="A586" s="37"/>
      <c r="B586" s="38"/>
      <c r="C586" s="14"/>
      <c r="D586" s="20"/>
      <c r="F586" s="20"/>
      <c r="H586" s="20"/>
      <c r="I586" s="2"/>
      <c r="J586" s="17"/>
      <c r="K586" s="17"/>
      <c r="L586" s="17"/>
    </row>
    <row r="587" spans="1:12" ht="26">
      <c r="A587" s="37"/>
      <c r="B587" s="35" t="s">
        <v>512</v>
      </c>
      <c r="C587" s="14" t="s">
        <v>186</v>
      </c>
      <c r="D587" s="20"/>
      <c r="F587" s="20"/>
      <c r="H587" s="20"/>
      <c r="I587" s="2"/>
      <c r="J587" s="17"/>
      <c r="K587" s="17"/>
      <c r="L587" s="17"/>
    </row>
    <row r="588" spans="1:12">
      <c r="A588" s="37"/>
      <c r="B588" s="36">
        <v>1</v>
      </c>
      <c r="C588" s="19"/>
      <c r="D588" s="20">
        <v>0</v>
      </c>
      <c r="E588" s="21">
        <v>1</v>
      </c>
      <c r="F588" s="20">
        <f>D588*E588</f>
        <v>0</v>
      </c>
      <c r="G588" s="21">
        <v>101</v>
      </c>
      <c r="H588" s="20">
        <f>F588*G588</f>
        <v>0</v>
      </c>
      <c r="I588" s="2"/>
      <c r="J588" s="17"/>
      <c r="K588" s="17"/>
      <c r="L588" s="17"/>
    </row>
    <row r="589" spans="1:12">
      <c r="A589" s="37"/>
      <c r="B589" s="36">
        <v>2</v>
      </c>
      <c r="C589" s="19"/>
      <c r="D589" s="20">
        <v>0</v>
      </c>
      <c r="E589" s="21">
        <v>1</v>
      </c>
      <c r="F589" s="20">
        <f t="shared" ref="F589:F591" si="52">D589*E589</f>
        <v>0</v>
      </c>
      <c r="G589" s="21">
        <v>102</v>
      </c>
      <c r="H589" s="20">
        <f t="shared" ref="H589:H591" si="53">F589*G589</f>
        <v>0</v>
      </c>
      <c r="I589" s="2"/>
      <c r="J589" s="17"/>
      <c r="K589" s="17"/>
      <c r="L589" s="17"/>
    </row>
    <row r="590" spans="1:12">
      <c r="A590" s="37"/>
      <c r="B590" s="36">
        <v>3</v>
      </c>
      <c r="C590" s="19"/>
      <c r="D590" s="20">
        <v>0</v>
      </c>
      <c r="E590" s="21">
        <v>1</v>
      </c>
      <c r="F590" s="20">
        <f t="shared" si="52"/>
        <v>0</v>
      </c>
      <c r="G590" s="21">
        <v>103</v>
      </c>
      <c r="H590" s="20">
        <f t="shared" si="53"/>
        <v>0</v>
      </c>
      <c r="I590" s="2"/>
      <c r="J590" s="17"/>
      <c r="K590" s="17"/>
      <c r="L590" s="17"/>
    </row>
    <row r="591" spans="1:12">
      <c r="A591" s="37"/>
      <c r="B591" s="36">
        <v>4</v>
      </c>
      <c r="C591" s="19"/>
      <c r="D591" s="20">
        <v>0</v>
      </c>
      <c r="E591" s="21">
        <v>1</v>
      </c>
      <c r="F591" s="20">
        <f t="shared" si="52"/>
        <v>0</v>
      </c>
      <c r="G591" s="21">
        <v>103</v>
      </c>
      <c r="H591" s="20">
        <f t="shared" si="53"/>
        <v>0</v>
      </c>
      <c r="I591" s="2"/>
      <c r="J591" s="17"/>
      <c r="K591" s="17"/>
      <c r="L591" s="17"/>
    </row>
    <row r="592" spans="1:12">
      <c r="A592" s="37"/>
      <c r="B592" s="36">
        <v>5</v>
      </c>
      <c r="C592" s="19"/>
      <c r="D592" s="20">
        <v>0</v>
      </c>
      <c r="E592" s="21">
        <v>1</v>
      </c>
      <c r="F592" s="20">
        <f>D592*E592</f>
        <v>0</v>
      </c>
      <c r="G592" s="21">
        <v>102</v>
      </c>
      <c r="H592" s="20">
        <f>F592*G592</f>
        <v>0</v>
      </c>
      <c r="I592" s="2"/>
      <c r="J592" s="17"/>
      <c r="K592" s="17"/>
      <c r="L592" s="17"/>
    </row>
    <row r="593" spans="1:12">
      <c r="A593" s="37"/>
      <c r="B593" s="36"/>
      <c r="C593" s="14" t="s">
        <v>187</v>
      </c>
      <c r="D593" s="20"/>
      <c r="F593" s="20"/>
      <c r="H593" s="25">
        <f>SUM(H588:H592)</f>
        <v>0</v>
      </c>
      <c r="I593" s="2"/>
      <c r="J593" s="17"/>
      <c r="K593" s="17"/>
      <c r="L593" s="17"/>
    </row>
    <row r="594" spans="1:12">
      <c r="A594" s="37"/>
      <c r="B594" s="35"/>
      <c r="C594" s="14"/>
      <c r="D594" s="20"/>
      <c r="F594" s="20"/>
      <c r="H594" s="20"/>
      <c r="I594" s="2"/>
      <c r="J594" s="17"/>
      <c r="K594" s="17"/>
      <c r="L594" s="17"/>
    </row>
    <row r="595" spans="1:12">
      <c r="A595" s="37"/>
      <c r="B595" s="38"/>
      <c r="C595" s="14" t="s">
        <v>188</v>
      </c>
      <c r="D595" s="20"/>
      <c r="F595" s="20"/>
      <c r="H595" s="20"/>
      <c r="I595" s="2"/>
      <c r="J595" s="17"/>
      <c r="K595" s="17"/>
      <c r="L595" s="17"/>
    </row>
    <row r="596" spans="1:12">
      <c r="A596" s="37"/>
      <c r="B596" s="36">
        <v>1</v>
      </c>
      <c r="C596" s="19"/>
      <c r="D596" s="20">
        <v>0</v>
      </c>
      <c r="E596" s="21">
        <v>1</v>
      </c>
      <c r="F596" s="20">
        <f>D596*E596</f>
        <v>0</v>
      </c>
      <c r="G596" s="21">
        <v>101</v>
      </c>
      <c r="H596" s="20">
        <f>F596*G596</f>
        <v>0</v>
      </c>
      <c r="I596" s="2"/>
      <c r="J596" s="17"/>
      <c r="K596" s="17"/>
      <c r="L596" s="17"/>
    </row>
    <row r="597" spans="1:12">
      <c r="A597" s="37"/>
      <c r="B597" s="36">
        <v>2</v>
      </c>
      <c r="C597" s="19"/>
      <c r="D597" s="20">
        <v>0</v>
      </c>
      <c r="E597" s="21">
        <v>1</v>
      </c>
      <c r="F597" s="20">
        <f t="shared" ref="F597:F600" si="54">D597*E597</f>
        <v>0</v>
      </c>
      <c r="G597" s="21">
        <v>102</v>
      </c>
      <c r="H597" s="20">
        <f t="shared" ref="H597:H600" si="55">F597*G597</f>
        <v>0</v>
      </c>
      <c r="I597" s="2"/>
      <c r="J597" s="17"/>
      <c r="K597" s="17"/>
      <c r="L597" s="17"/>
    </row>
    <row r="598" spans="1:12">
      <c r="A598" s="37"/>
      <c r="B598" s="36">
        <v>3</v>
      </c>
      <c r="C598" s="19"/>
      <c r="D598" s="20">
        <v>0</v>
      </c>
      <c r="E598" s="21">
        <v>1</v>
      </c>
      <c r="F598" s="20">
        <f t="shared" si="54"/>
        <v>0</v>
      </c>
      <c r="G598" s="21">
        <v>103</v>
      </c>
      <c r="H598" s="20">
        <f t="shared" si="55"/>
        <v>0</v>
      </c>
      <c r="I598" s="2"/>
      <c r="J598" s="17"/>
      <c r="K598" s="17"/>
      <c r="L598" s="17"/>
    </row>
    <row r="599" spans="1:12">
      <c r="A599" s="37"/>
      <c r="B599" s="36">
        <v>4</v>
      </c>
      <c r="C599" s="19"/>
      <c r="D599" s="20">
        <v>0</v>
      </c>
      <c r="E599" s="21">
        <v>1</v>
      </c>
      <c r="F599" s="20">
        <f t="shared" si="54"/>
        <v>0</v>
      </c>
      <c r="G599" s="21">
        <v>104</v>
      </c>
      <c r="H599" s="20">
        <f t="shared" si="55"/>
        <v>0</v>
      </c>
      <c r="I599" s="2"/>
      <c r="J599" s="17"/>
      <c r="K599" s="17"/>
      <c r="L599" s="17"/>
    </row>
    <row r="600" spans="1:12">
      <c r="A600" s="37"/>
      <c r="B600" s="36">
        <v>5</v>
      </c>
      <c r="C600" s="19"/>
      <c r="D600" s="20">
        <v>0</v>
      </c>
      <c r="E600" s="21">
        <v>1</v>
      </c>
      <c r="F600" s="20">
        <f t="shared" si="54"/>
        <v>0</v>
      </c>
      <c r="G600" s="21">
        <v>105</v>
      </c>
      <c r="H600" s="20">
        <f t="shared" si="55"/>
        <v>0</v>
      </c>
      <c r="I600" s="2"/>
      <c r="J600" s="17"/>
      <c r="K600" s="17"/>
      <c r="L600" s="17"/>
    </row>
    <row r="601" spans="1:12">
      <c r="A601" s="37"/>
      <c r="B601" s="36">
        <v>6</v>
      </c>
      <c r="C601" s="19"/>
      <c r="D601" s="20">
        <v>0</v>
      </c>
      <c r="E601" s="21">
        <v>1</v>
      </c>
      <c r="F601" s="20">
        <f>D601*E601</f>
        <v>0</v>
      </c>
      <c r="G601" s="21">
        <v>102</v>
      </c>
      <c r="H601" s="20">
        <f>F601*G601</f>
        <v>0</v>
      </c>
      <c r="I601" s="2"/>
      <c r="J601" s="17"/>
      <c r="K601" s="17"/>
      <c r="L601" s="17"/>
    </row>
    <row r="602" spans="1:12">
      <c r="A602" s="37"/>
      <c r="B602" s="36"/>
      <c r="C602" s="14" t="s">
        <v>189</v>
      </c>
      <c r="D602" s="20"/>
      <c r="F602" s="20"/>
      <c r="H602" s="25">
        <f>SUM(H596:H601)</f>
        <v>0</v>
      </c>
      <c r="I602" s="2"/>
      <c r="J602" s="17"/>
      <c r="K602" s="17"/>
      <c r="L602" s="17"/>
    </row>
    <row r="603" spans="1:12">
      <c r="A603" s="37"/>
      <c r="B603" s="38"/>
      <c r="C603" s="14"/>
      <c r="D603" s="20"/>
      <c r="F603" s="20"/>
      <c r="H603" s="20"/>
      <c r="I603" s="2"/>
      <c r="J603" s="17"/>
      <c r="K603" s="17"/>
      <c r="L603" s="17"/>
    </row>
    <row r="604" spans="1:12">
      <c r="A604" s="37"/>
      <c r="B604" s="38"/>
      <c r="C604" s="14" t="s">
        <v>190</v>
      </c>
      <c r="D604" s="20"/>
      <c r="F604" s="20"/>
      <c r="H604" s="20"/>
      <c r="I604" s="2"/>
      <c r="J604" s="17"/>
      <c r="K604" s="17"/>
      <c r="L604" s="17"/>
    </row>
    <row r="605" spans="1:12">
      <c r="A605" s="37"/>
      <c r="B605" s="36">
        <v>1</v>
      </c>
      <c r="C605" s="19"/>
      <c r="D605" s="20">
        <v>0</v>
      </c>
      <c r="E605" s="21">
        <v>1</v>
      </c>
      <c r="F605" s="20">
        <f>D605*E605</f>
        <v>0</v>
      </c>
      <c r="G605" s="21">
        <v>101</v>
      </c>
      <c r="H605" s="20">
        <f>F605*G605</f>
        <v>0</v>
      </c>
      <c r="I605" s="2"/>
      <c r="J605" s="17"/>
      <c r="K605" s="17"/>
      <c r="L605" s="17"/>
    </row>
    <row r="606" spans="1:12">
      <c r="A606" s="37"/>
      <c r="B606" s="36">
        <v>2</v>
      </c>
      <c r="C606" s="19"/>
      <c r="D606" s="20">
        <v>0</v>
      </c>
      <c r="E606" s="21">
        <v>1</v>
      </c>
      <c r="F606" s="20">
        <f>D606*E606</f>
        <v>0</v>
      </c>
      <c r="G606" s="21">
        <v>102</v>
      </c>
      <c r="H606" s="20">
        <f>F606*G606</f>
        <v>0</v>
      </c>
      <c r="I606" s="2"/>
      <c r="J606" s="17"/>
      <c r="K606" s="17"/>
      <c r="L606" s="17"/>
    </row>
    <row r="607" spans="1:12">
      <c r="A607" s="37"/>
      <c r="B607" s="36"/>
      <c r="C607" s="14" t="s">
        <v>191</v>
      </c>
      <c r="D607" s="20"/>
      <c r="F607" s="20"/>
      <c r="H607" s="25">
        <f>SUM(H605:H606)</f>
        <v>0</v>
      </c>
      <c r="I607" s="2"/>
      <c r="J607" s="17"/>
      <c r="K607" s="17"/>
      <c r="L607" s="17"/>
    </row>
    <row r="608" spans="1:12">
      <c r="A608" s="37"/>
      <c r="B608" s="38"/>
      <c r="C608" s="14"/>
      <c r="D608" s="20"/>
      <c r="F608" s="20"/>
      <c r="H608" s="20"/>
      <c r="I608" s="2"/>
      <c r="J608" s="17"/>
      <c r="K608" s="17"/>
      <c r="L608" s="17"/>
    </row>
    <row r="609" spans="1:12">
      <c r="A609" s="37"/>
      <c r="B609" s="38"/>
      <c r="C609" s="14" t="s">
        <v>192</v>
      </c>
      <c r="D609" s="20"/>
      <c r="F609" s="20"/>
      <c r="H609" s="20"/>
      <c r="I609" s="2"/>
      <c r="J609" s="17"/>
      <c r="K609" s="17"/>
      <c r="L609" s="17"/>
    </row>
    <row r="610" spans="1:12">
      <c r="A610" s="37"/>
      <c r="B610" s="36">
        <v>1</v>
      </c>
      <c r="C610" s="19"/>
      <c r="D610" s="20">
        <v>0</v>
      </c>
      <c r="E610" s="21">
        <v>1</v>
      </c>
      <c r="F610" s="20">
        <f>D610*E610</f>
        <v>0</v>
      </c>
      <c r="G610" s="21">
        <v>101</v>
      </c>
      <c r="H610" s="20">
        <f>F610*G610</f>
        <v>0</v>
      </c>
      <c r="I610" s="2"/>
      <c r="J610" s="17"/>
      <c r="K610" s="17"/>
      <c r="L610" s="17"/>
    </row>
    <row r="611" spans="1:12">
      <c r="A611" s="37"/>
      <c r="B611" s="36">
        <v>2</v>
      </c>
      <c r="C611" s="19"/>
      <c r="D611" s="20">
        <v>0</v>
      </c>
      <c r="E611" s="21">
        <v>1</v>
      </c>
      <c r="F611" s="20">
        <f t="shared" ref="F611:F614" si="56">D611*E611</f>
        <v>0</v>
      </c>
      <c r="G611" s="21">
        <v>102</v>
      </c>
      <c r="H611" s="20">
        <f t="shared" ref="H611:H614" si="57">F611*G611</f>
        <v>0</v>
      </c>
      <c r="I611" s="2"/>
      <c r="J611" s="17"/>
      <c r="K611" s="17"/>
      <c r="L611" s="17"/>
    </row>
    <row r="612" spans="1:12">
      <c r="A612" s="37"/>
      <c r="B612" s="36">
        <v>3</v>
      </c>
      <c r="C612" s="19"/>
      <c r="D612" s="20">
        <v>0</v>
      </c>
      <c r="E612" s="21">
        <v>1</v>
      </c>
      <c r="F612" s="20">
        <f t="shared" si="56"/>
        <v>0</v>
      </c>
      <c r="G612" s="21">
        <v>103</v>
      </c>
      <c r="H612" s="20">
        <f t="shared" si="57"/>
        <v>0</v>
      </c>
      <c r="I612" s="2"/>
      <c r="J612" s="17"/>
      <c r="K612" s="17"/>
      <c r="L612" s="17"/>
    </row>
    <row r="613" spans="1:12">
      <c r="A613" s="37"/>
      <c r="B613" s="36">
        <v>4</v>
      </c>
      <c r="C613" s="19"/>
      <c r="D613" s="20">
        <v>0</v>
      </c>
      <c r="E613" s="21">
        <v>1</v>
      </c>
      <c r="F613" s="20">
        <f t="shared" si="56"/>
        <v>0</v>
      </c>
      <c r="G613" s="21">
        <v>104</v>
      </c>
      <c r="H613" s="20">
        <f t="shared" si="57"/>
        <v>0</v>
      </c>
      <c r="I613" s="2"/>
      <c r="J613" s="17"/>
      <c r="K613" s="17"/>
      <c r="L613" s="17"/>
    </row>
    <row r="614" spans="1:12">
      <c r="A614" s="37"/>
      <c r="B614" s="36">
        <v>5</v>
      </c>
      <c r="C614" s="19"/>
      <c r="D614" s="20">
        <v>0</v>
      </c>
      <c r="E614" s="21">
        <v>1</v>
      </c>
      <c r="F614" s="20">
        <f t="shared" si="56"/>
        <v>0</v>
      </c>
      <c r="G614" s="21">
        <v>105</v>
      </c>
      <c r="H614" s="20">
        <f t="shared" si="57"/>
        <v>0</v>
      </c>
      <c r="I614" s="2"/>
      <c r="J614" s="17"/>
      <c r="K614" s="17"/>
      <c r="L614" s="17"/>
    </row>
    <row r="615" spans="1:12">
      <c r="A615" s="37"/>
      <c r="B615" s="36">
        <v>6</v>
      </c>
      <c r="C615" s="19"/>
      <c r="D615" s="20">
        <v>0</v>
      </c>
      <c r="E615" s="21">
        <v>1</v>
      </c>
      <c r="F615" s="20">
        <f>D615*E615</f>
        <v>0</v>
      </c>
      <c r="G615" s="21">
        <v>102</v>
      </c>
      <c r="H615" s="20">
        <f>F615*G615</f>
        <v>0</v>
      </c>
      <c r="I615" s="2"/>
      <c r="J615" s="17"/>
      <c r="K615" s="17"/>
      <c r="L615" s="17"/>
    </row>
    <row r="616" spans="1:12">
      <c r="A616" s="37"/>
      <c r="B616" s="36"/>
      <c r="C616" s="14" t="s">
        <v>193</v>
      </c>
      <c r="D616" s="20"/>
      <c r="F616" s="20"/>
      <c r="H616" s="25">
        <f>SUM(H610:H615)</f>
        <v>0</v>
      </c>
      <c r="I616" s="2"/>
      <c r="J616" s="17"/>
      <c r="K616" s="17"/>
      <c r="L616" s="17"/>
    </row>
    <row r="617" spans="1:12">
      <c r="A617" s="37"/>
      <c r="B617" s="38"/>
      <c r="C617" s="14"/>
      <c r="D617" s="20"/>
      <c r="F617" s="20"/>
      <c r="H617" s="20"/>
      <c r="I617" s="2"/>
      <c r="J617" s="17"/>
      <c r="K617" s="17"/>
      <c r="L617" s="17"/>
    </row>
    <row r="618" spans="1:12">
      <c r="A618" s="37"/>
      <c r="B618" s="38"/>
      <c r="C618" s="14" t="s">
        <v>194</v>
      </c>
      <c r="D618" s="20"/>
      <c r="F618" s="20"/>
      <c r="H618" s="20"/>
      <c r="I618" s="2"/>
      <c r="J618" s="17"/>
      <c r="K618" s="17"/>
      <c r="L618" s="17"/>
    </row>
    <row r="619" spans="1:12">
      <c r="A619" s="37"/>
      <c r="B619" s="36">
        <v>1</v>
      </c>
      <c r="C619" s="19" t="s">
        <v>496</v>
      </c>
      <c r="D619" s="20">
        <v>48</v>
      </c>
      <c r="E619" s="21">
        <v>1</v>
      </c>
      <c r="F619" s="20">
        <f>D619*E619</f>
        <v>48</v>
      </c>
      <c r="G619" s="69">
        <f>K43</f>
        <v>5384.6153846153802</v>
      </c>
      <c r="H619" s="20">
        <f>F619*G619</f>
        <v>258461.53846153826</v>
      </c>
      <c r="I619" s="2"/>
      <c r="J619" s="17"/>
      <c r="K619" s="17"/>
      <c r="L619" s="17"/>
    </row>
    <row r="620" spans="1:12">
      <c r="A620" s="37"/>
      <c r="B620" s="36">
        <v>2</v>
      </c>
      <c r="C620" s="19" t="s">
        <v>497</v>
      </c>
      <c r="D620" s="20">
        <v>32</v>
      </c>
      <c r="E620" s="21">
        <v>1</v>
      </c>
      <c r="F620" s="20">
        <f t="shared" ref="F620:F630" si="58">D620*E620</f>
        <v>32</v>
      </c>
      <c r="G620" s="69">
        <f>K44</f>
        <v>8307.6923076923104</v>
      </c>
      <c r="H620" s="20">
        <f t="shared" ref="H620:H630" si="59">F620*G620</f>
        <v>265846.15384615393</v>
      </c>
      <c r="I620" s="2"/>
      <c r="J620" s="17"/>
      <c r="K620" s="17"/>
      <c r="L620" s="17"/>
    </row>
    <row r="621" spans="1:12">
      <c r="A621" s="37"/>
      <c r="B621" s="36">
        <v>3</v>
      </c>
      <c r="C621" s="19" t="s">
        <v>513</v>
      </c>
      <c r="D621" s="20">
        <v>16</v>
      </c>
      <c r="E621" s="21">
        <v>1</v>
      </c>
      <c r="F621" s="20">
        <f t="shared" si="58"/>
        <v>16</v>
      </c>
      <c r="G621" s="69">
        <v>60.769230769230766</v>
      </c>
      <c r="H621" s="20">
        <f t="shared" si="59"/>
        <v>972.30769230769226</v>
      </c>
      <c r="I621" s="2"/>
      <c r="J621" s="17"/>
      <c r="K621" s="17"/>
      <c r="L621" s="17"/>
    </row>
    <row r="622" spans="1:12">
      <c r="A622" s="37"/>
      <c r="B622" s="36">
        <v>4</v>
      </c>
      <c r="C622" s="19" t="s">
        <v>503</v>
      </c>
      <c r="D622" s="20">
        <v>8</v>
      </c>
      <c r="E622" s="21">
        <v>1</v>
      </c>
      <c r="F622" s="20">
        <f t="shared" si="58"/>
        <v>8</v>
      </c>
      <c r="G622" s="69">
        <v>40</v>
      </c>
      <c r="H622" s="20">
        <f t="shared" si="59"/>
        <v>320</v>
      </c>
      <c r="I622" s="2"/>
      <c r="J622" s="17"/>
      <c r="K622" s="17"/>
      <c r="L622" s="17"/>
    </row>
    <row r="623" spans="1:12">
      <c r="A623" s="37"/>
      <c r="B623" s="36">
        <v>5</v>
      </c>
      <c r="C623" s="19" t="s">
        <v>504</v>
      </c>
      <c r="D623" s="20">
        <v>8</v>
      </c>
      <c r="E623" s="21">
        <v>0.42599999999999999</v>
      </c>
      <c r="F623" s="20">
        <f t="shared" si="58"/>
        <v>3.4079999999999999</v>
      </c>
      <c r="G623" s="69">
        <v>49000</v>
      </c>
      <c r="H623" s="20">
        <f t="shared" si="59"/>
        <v>166992</v>
      </c>
      <c r="I623" s="2"/>
      <c r="J623" s="17"/>
      <c r="K623" s="17"/>
      <c r="L623" s="17"/>
    </row>
    <row r="624" spans="1:12">
      <c r="A624" s="37"/>
      <c r="B624" s="36">
        <v>6</v>
      </c>
      <c r="C624" s="19" t="s">
        <v>507</v>
      </c>
      <c r="D624" s="20">
        <v>8</v>
      </c>
      <c r="E624" s="21">
        <v>1</v>
      </c>
      <c r="F624" s="20">
        <f t="shared" si="58"/>
        <v>8</v>
      </c>
      <c r="G624" s="69">
        <v>230.76923076923077</v>
      </c>
      <c r="H624" s="20">
        <f t="shared" si="59"/>
        <v>1846.1538461538462</v>
      </c>
      <c r="I624" s="2"/>
      <c r="J624" s="17"/>
      <c r="K624" s="17"/>
      <c r="L624" s="17"/>
    </row>
    <row r="625" spans="1:12">
      <c r="A625" s="37"/>
      <c r="B625" s="36">
        <v>7</v>
      </c>
      <c r="C625" s="19" t="s">
        <v>508</v>
      </c>
      <c r="D625" s="20">
        <v>0.24</v>
      </c>
      <c r="E625" s="21">
        <v>0.14399999999999999</v>
      </c>
      <c r="F625" s="20">
        <f t="shared" si="58"/>
        <v>3.4559999999999994E-2</v>
      </c>
      <c r="G625" s="69">
        <v>9000</v>
      </c>
      <c r="H625" s="20">
        <f t="shared" si="59"/>
        <v>311.03999999999996</v>
      </c>
      <c r="I625" s="2"/>
      <c r="J625" s="17"/>
      <c r="K625" s="17"/>
      <c r="L625" s="17"/>
    </row>
    <row r="626" spans="1:12">
      <c r="A626" s="37"/>
      <c r="B626" s="36">
        <v>8</v>
      </c>
      <c r="C626" s="19" t="s">
        <v>352</v>
      </c>
      <c r="D626" s="20">
        <v>8</v>
      </c>
      <c r="E626" s="21">
        <v>0.58199999999999996</v>
      </c>
      <c r="F626" s="20">
        <f t="shared" si="58"/>
        <v>4.6559999999999997</v>
      </c>
      <c r="G626" s="69">
        <v>177.69230769230768</v>
      </c>
      <c r="H626" s="20">
        <f t="shared" si="59"/>
        <v>827.33538461538456</v>
      </c>
      <c r="I626" s="2"/>
      <c r="J626" s="17"/>
      <c r="K626" s="17"/>
      <c r="L626" s="17"/>
    </row>
    <row r="627" spans="1:12">
      <c r="A627" s="37"/>
      <c r="B627" s="36">
        <v>9</v>
      </c>
      <c r="C627" s="19" t="s">
        <v>45</v>
      </c>
      <c r="D627" s="20">
        <v>16</v>
      </c>
      <c r="E627" s="21">
        <v>0.58199999999999996</v>
      </c>
      <c r="F627" s="20">
        <f t="shared" si="58"/>
        <v>9.3119999999999994</v>
      </c>
      <c r="G627" s="69">
        <v>77.692307692307693</v>
      </c>
      <c r="H627" s="20">
        <f t="shared" si="59"/>
        <v>723.47076923076918</v>
      </c>
      <c r="I627" s="2"/>
      <c r="J627" s="17"/>
      <c r="K627" s="17"/>
      <c r="L627" s="17"/>
    </row>
    <row r="628" spans="1:12">
      <c r="A628" s="37"/>
      <c r="B628" s="36">
        <v>10</v>
      </c>
      <c r="C628" s="19" t="s">
        <v>351</v>
      </c>
      <c r="D628" s="20">
        <v>24</v>
      </c>
      <c r="E628" s="21">
        <v>0.58199999999999996</v>
      </c>
      <c r="F628" s="20">
        <f t="shared" si="58"/>
        <v>13.968</v>
      </c>
      <c r="G628" s="69">
        <v>264.61538461538458</v>
      </c>
      <c r="H628" s="20">
        <f t="shared" si="59"/>
        <v>3696.1476923076921</v>
      </c>
      <c r="I628" s="2"/>
      <c r="J628" s="17"/>
      <c r="K628" s="17"/>
      <c r="L628" s="17"/>
    </row>
    <row r="629" spans="1:12">
      <c r="A629" s="37"/>
      <c r="B629" s="36">
        <v>11</v>
      </c>
      <c r="C629" s="19"/>
      <c r="D629" s="20">
        <v>0</v>
      </c>
      <c r="E629" s="21">
        <v>1</v>
      </c>
      <c r="F629" s="20">
        <f t="shared" si="58"/>
        <v>0</v>
      </c>
      <c r="G629" s="69">
        <v>100</v>
      </c>
      <c r="H629" s="20">
        <f t="shared" si="59"/>
        <v>0</v>
      </c>
      <c r="I629" s="2"/>
      <c r="J629" s="17"/>
      <c r="K629" s="17"/>
      <c r="L629" s="17"/>
    </row>
    <row r="630" spans="1:12">
      <c r="A630" s="37"/>
      <c r="B630" s="36">
        <v>12</v>
      </c>
      <c r="C630" s="19"/>
      <c r="D630" s="20">
        <v>0</v>
      </c>
      <c r="E630" s="21">
        <v>1</v>
      </c>
      <c r="F630" s="20">
        <f t="shared" si="58"/>
        <v>0</v>
      </c>
      <c r="G630" s="21">
        <v>101</v>
      </c>
      <c r="H630" s="20">
        <f t="shared" si="59"/>
        <v>0</v>
      </c>
      <c r="I630" s="2"/>
      <c r="J630" s="17"/>
      <c r="K630" s="17"/>
      <c r="L630" s="17"/>
    </row>
    <row r="631" spans="1:12">
      <c r="A631" s="37"/>
      <c r="B631" s="36">
        <v>13</v>
      </c>
      <c r="C631" s="19"/>
      <c r="D631" s="20">
        <v>0</v>
      </c>
      <c r="E631" s="21">
        <v>1</v>
      </c>
      <c r="F631" s="20">
        <f>D631*E631</f>
        <v>0</v>
      </c>
      <c r="G631" s="21">
        <v>102</v>
      </c>
      <c r="H631" s="20">
        <f>F631*G631</f>
        <v>0</v>
      </c>
      <c r="I631" s="2"/>
      <c r="J631" s="17"/>
      <c r="K631" s="17"/>
      <c r="L631" s="17"/>
    </row>
    <row r="632" spans="1:12">
      <c r="A632" s="37"/>
      <c r="B632" s="36"/>
      <c r="C632" s="14" t="s">
        <v>195</v>
      </c>
      <c r="D632" s="20"/>
      <c r="F632" s="20"/>
      <c r="H632" s="25">
        <f>SUM(H619:H631)</f>
        <v>699996.14769230771</v>
      </c>
      <c r="I632" s="2"/>
      <c r="J632" s="17"/>
      <c r="K632" s="17"/>
      <c r="L632" s="17"/>
    </row>
    <row r="633" spans="1:12">
      <c r="A633" s="37"/>
      <c r="B633" s="38"/>
      <c r="C633" s="14"/>
      <c r="D633" s="20"/>
      <c r="F633" s="20"/>
      <c r="H633" s="20"/>
      <c r="I633" s="2"/>
      <c r="J633" s="17"/>
      <c r="K633" s="17"/>
      <c r="L633" s="17"/>
    </row>
    <row r="634" spans="1:12">
      <c r="A634" s="37"/>
      <c r="B634" s="38"/>
      <c r="C634" s="14" t="s">
        <v>196</v>
      </c>
      <c r="D634" s="20"/>
      <c r="F634" s="20"/>
      <c r="H634" s="20"/>
      <c r="I634" s="2"/>
      <c r="J634" s="17"/>
      <c r="K634" s="17"/>
      <c r="L634" s="17"/>
    </row>
    <row r="635" spans="1:12">
      <c r="A635" s="37"/>
      <c r="B635" s="36">
        <v>1</v>
      </c>
      <c r="C635" s="19" t="s">
        <v>514</v>
      </c>
      <c r="D635" s="20">
        <v>3</v>
      </c>
      <c r="E635" s="21">
        <v>1</v>
      </c>
      <c r="F635" s="20">
        <f>D635*E635</f>
        <v>3</v>
      </c>
      <c r="G635" s="21">
        <v>40000</v>
      </c>
      <c r="H635" s="20">
        <f>F635*G635</f>
        <v>120000</v>
      </c>
      <c r="I635" s="2"/>
      <c r="J635" s="17"/>
      <c r="K635" s="17"/>
      <c r="L635" s="17"/>
    </row>
    <row r="636" spans="1:12">
      <c r="A636" s="37"/>
      <c r="B636" s="36">
        <v>2</v>
      </c>
      <c r="C636" s="19" t="s">
        <v>515</v>
      </c>
      <c r="D636" s="20">
        <v>1</v>
      </c>
      <c r="E636" s="21">
        <v>1</v>
      </c>
      <c r="F636" s="20">
        <f>D636*E636</f>
        <v>1</v>
      </c>
      <c r="G636" s="21">
        <v>200000</v>
      </c>
      <c r="H636" s="20">
        <f>F636*G636</f>
        <v>200000</v>
      </c>
      <c r="I636" s="2"/>
      <c r="J636" s="17"/>
      <c r="K636" s="17"/>
      <c r="L636" s="17"/>
    </row>
    <row r="637" spans="1:12">
      <c r="A637" s="37"/>
      <c r="B637" s="36">
        <v>3</v>
      </c>
      <c r="I637" s="2"/>
      <c r="J637" s="17"/>
      <c r="K637" s="17"/>
      <c r="L637" s="17"/>
    </row>
    <row r="638" spans="1:12">
      <c r="A638" s="37"/>
      <c r="B638" s="36">
        <v>4</v>
      </c>
      <c r="C638" s="19"/>
      <c r="D638" s="20"/>
      <c r="F638" s="20"/>
      <c r="H638" s="20"/>
      <c r="I638" s="2"/>
      <c r="J638" s="17"/>
      <c r="K638" s="17"/>
      <c r="L638" s="17"/>
    </row>
    <row r="639" spans="1:12">
      <c r="A639" s="37"/>
      <c r="B639" s="36">
        <v>5</v>
      </c>
      <c r="C639" s="19"/>
      <c r="D639" s="20"/>
      <c r="F639" s="20"/>
      <c r="H639" s="20"/>
      <c r="I639" s="2"/>
      <c r="J639" s="17"/>
      <c r="K639" s="17"/>
      <c r="L639" s="17"/>
    </row>
    <row r="640" spans="1:12">
      <c r="A640" s="37"/>
      <c r="B640" s="36"/>
      <c r="C640" s="14" t="s">
        <v>197</v>
      </c>
      <c r="D640" s="20"/>
      <c r="F640" s="20"/>
      <c r="H640" s="25">
        <f>SUM(H635:H639)</f>
        <v>320000</v>
      </c>
      <c r="I640" s="2"/>
      <c r="J640" s="17"/>
      <c r="K640" s="17"/>
      <c r="L640" s="17"/>
    </row>
    <row r="641" spans="1:12">
      <c r="A641" s="37"/>
      <c r="B641" s="38"/>
      <c r="C641" s="14"/>
      <c r="D641" s="20"/>
      <c r="F641" s="20"/>
      <c r="H641" s="20"/>
      <c r="I641" s="2"/>
      <c r="J641" s="17"/>
      <c r="K641" s="17"/>
      <c r="L641" s="17"/>
    </row>
    <row r="642" spans="1:12">
      <c r="A642" s="37"/>
      <c r="B642" s="38"/>
      <c r="C642" s="14" t="s">
        <v>198</v>
      </c>
      <c r="D642" s="20"/>
      <c r="F642" s="20"/>
      <c r="H642" s="20"/>
      <c r="I642" s="2"/>
      <c r="J642" s="17"/>
      <c r="K642" s="17"/>
      <c r="L642" s="17"/>
    </row>
    <row r="643" spans="1:12">
      <c r="A643" s="37"/>
      <c r="B643" s="36">
        <v>1</v>
      </c>
      <c r="C643" s="19" t="s">
        <v>64</v>
      </c>
      <c r="D643" s="20">
        <v>8</v>
      </c>
      <c r="E643" s="21">
        <v>1</v>
      </c>
      <c r="F643" s="20">
        <f>D643*E643</f>
        <v>8</v>
      </c>
      <c r="G643" s="69">
        <v>12507</v>
      </c>
      <c r="H643" s="20">
        <f>F643*G643</f>
        <v>100056</v>
      </c>
      <c r="I643" s="2"/>
      <c r="J643" s="17"/>
      <c r="K643" s="17"/>
      <c r="L643" s="17"/>
    </row>
    <row r="644" spans="1:12">
      <c r="A644" s="37"/>
      <c r="B644" s="36">
        <v>2</v>
      </c>
      <c r="C644" s="19" t="s">
        <v>65</v>
      </c>
      <c r="D644" s="20">
        <v>8</v>
      </c>
      <c r="E644" s="21">
        <v>1</v>
      </c>
      <c r="F644" s="20">
        <f t="shared" ref="F644:F651" si="60">D644*E644</f>
        <v>8</v>
      </c>
      <c r="G644" s="69">
        <v>12507</v>
      </c>
      <c r="H644" s="20">
        <f t="shared" ref="H644:H651" si="61">F644*G644</f>
        <v>100056</v>
      </c>
      <c r="I644" s="2"/>
      <c r="J644" s="17"/>
      <c r="K644" s="17"/>
      <c r="L644" s="17"/>
    </row>
    <row r="645" spans="1:12">
      <c r="A645" s="37"/>
      <c r="B645" s="36">
        <v>3</v>
      </c>
      <c r="C645" s="19" t="s">
        <v>358</v>
      </c>
      <c r="D645" s="20">
        <v>8</v>
      </c>
      <c r="E645" s="21">
        <v>1</v>
      </c>
      <c r="F645" s="20">
        <f t="shared" si="60"/>
        <v>8</v>
      </c>
      <c r="G645" s="69">
        <v>12507</v>
      </c>
      <c r="H645" s="20">
        <f t="shared" si="61"/>
        <v>100056</v>
      </c>
      <c r="I645" s="2"/>
      <c r="J645" s="17"/>
      <c r="K645" s="17"/>
      <c r="L645" s="17"/>
    </row>
    <row r="646" spans="1:12">
      <c r="A646" s="37"/>
      <c r="B646" s="36">
        <v>4</v>
      </c>
      <c r="C646" s="19" t="s">
        <v>222</v>
      </c>
      <c r="D646" s="20">
        <v>14.4</v>
      </c>
      <c r="E646" s="21">
        <v>1</v>
      </c>
      <c r="F646" s="20">
        <f t="shared" si="60"/>
        <v>14.4</v>
      </c>
      <c r="G646" s="69">
        <v>12507</v>
      </c>
      <c r="H646" s="20">
        <f t="shared" si="61"/>
        <v>180100.80000000002</v>
      </c>
      <c r="I646" s="2"/>
      <c r="J646" s="17"/>
      <c r="K646" s="17"/>
      <c r="L646" s="17"/>
    </row>
    <row r="647" spans="1:12">
      <c r="A647" s="37"/>
      <c r="B647" s="36">
        <v>5</v>
      </c>
      <c r="C647" s="19" t="s">
        <v>360</v>
      </c>
      <c r="D647" s="20">
        <v>8</v>
      </c>
      <c r="E647" s="21">
        <v>1</v>
      </c>
      <c r="F647" s="20">
        <f t="shared" si="60"/>
        <v>8</v>
      </c>
      <c r="G647" s="69">
        <v>31769</v>
      </c>
      <c r="H647" s="20">
        <f t="shared" si="61"/>
        <v>254152</v>
      </c>
      <c r="I647" s="2"/>
      <c r="J647" s="17"/>
      <c r="K647" s="17"/>
      <c r="L647" s="17"/>
    </row>
    <row r="648" spans="1:12">
      <c r="A648" s="37"/>
      <c r="B648" s="36">
        <v>6</v>
      </c>
      <c r="C648" s="19" t="s">
        <v>516</v>
      </c>
      <c r="D648" s="20">
        <v>1</v>
      </c>
      <c r="E648" s="21">
        <v>1</v>
      </c>
      <c r="F648" s="20">
        <f>D648*E648</f>
        <v>1</v>
      </c>
      <c r="G648" s="21">
        <v>192307</v>
      </c>
      <c r="H648" s="20">
        <f>F648*G648</f>
        <v>192307</v>
      </c>
      <c r="I648" s="2"/>
      <c r="J648" s="17"/>
      <c r="K648" s="17"/>
      <c r="L648" s="17"/>
    </row>
    <row r="649" spans="1:12">
      <c r="A649" s="37"/>
      <c r="B649" s="36">
        <v>7</v>
      </c>
      <c r="C649" s="19"/>
      <c r="D649" s="20"/>
      <c r="E649" s="21">
        <v>7</v>
      </c>
      <c r="F649" s="20">
        <f t="shared" si="60"/>
        <v>0</v>
      </c>
      <c r="G649" s="21">
        <v>107</v>
      </c>
      <c r="H649" s="20">
        <f t="shared" si="61"/>
        <v>0</v>
      </c>
      <c r="I649" s="2"/>
      <c r="J649" s="17"/>
      <c r="K649" s="17"/>
      <c r="L649" s="17"/>
    </row>
    <row r="650" spans="1:12">
      <c r="A650" s="37"/>
      <c r="B650" s="36">
        <v>8</v>
      </c>
      <c r="C650" s="19"/>
      <c r="D650" s="20"/>
      <c r="E650" s="21">
        <v>8</v>
      </c>
      <c r="F650" s="20">
        <f t="shared" si="60"/>
        <v>0</v>
      </c>
      <c r="G650" s="21">
        <v>108</v>
      </c>
      <c r="H650" s="20">
        <f t="shared" si="61"/>
        <v>0</v>
      </c>
      <c r="I650" s="2"/>
      <c r="J650" s="17"/>
      <c r="K650" s="17"/>
      <c r="L650" s="17"/>
    </row>
    <row r="651" spans="1:12">
      <c r="A651" s="37"/>
      <c r="B651" s="36">
        <v>9</v>
      </c>
      <c r="C651" s="19"/>
      <c r="D651" s="20"/>
      <c r="E651" s="21">
        <v>9</v>
      </c>
      <c r="F651" s="20">
        <f t="shared" si="60"/>
        <v>0</v>
      </c>
      <c r="G651" s="21">
        <v>109</v>
      </c>
      <c r="H651" s="20">
        <f t="shared" si="61"/>
        <v>0</v>
      </c>
      <c r="I651" s="2"/>
      <c r="J651" s="17"/>
      <c r="K651" s="17"/>
      <c r="L651" s="17"/>
    </row>
    <row r="652" spans="1:12">
      <c r="A652" s="37"/>
      <c r="B652" s="36">
        <v>10</v>
      </c>
      <c r="C652" s="19"/>
      <c r="D652" s="20">
        <v>0</v>
      </c>
      <c r="E652" s="21">
        <v>1</v>
      </c>
      <c r="F652" s="20">
        <f>D652*E652</f>
        <v>0</v>
      </c>
      <c r="G652" s="21">
        <v>102</v>
      </c>
      <c r="H652" s="20">
        <f>F652*G652</f>
        <v>0</v>
      </c>
      <c r="I652" s="2"/>
      <c r="J652" s="17"/>
      <c r="K652" s="17"/>
      <c r="L652" s="17"/>
    </row>
    <row r="653" spans="1:12">
      <c r="A653" s="37"/>
      <c r="B653" s="36"/>
      <c r="C653" s="14" t="s">
        <v>199</v>
      </c>
      <c r="D653" s="20"/>
      <c r="F653" s="20"/>
      <c r="H653" s="25">
        <f>SUM(H643:H652)</f>
        <v>926727.8</v>
      </c>
      <c r="I653" s="2"/>
      <c r="J653" s="17"/>
      <c r="K653" s="17"/>
      <c r="L653" s="17"/>
    </row>
    <row r="654" spans="1:12">
      <c r="A654" s="37"/>
      <c r="B654" s="36"/>
      <c r="C654" s="14"/>
      <c r="D654" s="20"/>
      <c r="F654" s="20"/>
      <c r="H654" s="25"/>
      <c r="I654" s="2"/>
      <c r="J654" s="17"/>
      <c r="K654" s="17"/>
      <c r="L654" s="17"/>
    </row>
    <row r="655" spans="1:12">
      <c r="A655" s="37"/>
      <c r="B655" s="38"/>
      <c r="C655" s="14" t="s">
        <v>200</v>
      </c>
      <c r="D655" s="20"/>
      <c r="F655" s="20"/>
      <c r="H655" s="20"/>
      <c r="I655" s="2"/>
      <c r="J655" s="17"/>
      <c r="K655" s="17"/>
      <c r="L655" s="17"/>
    </row>
    <row r="656" spans="1:12">
      <c r="A656" s="37"/>
      <c r="B656" s="36">
        <v>1</v>
      </c>
      <c r="C656" s="19" t="s">
        <v>104</v>
      </c>
      <c r="D656" s="20">
        <v>8</v>
      </c>
      <c r="E656" s="21">
        <v>1</v>
      </c>
      <c r="F656" s="20">
        <f>D656*E656</f>
        <v>8</v>
      </c>
      <c r="G656" s="21">
        <v>140000</v>
      </c>
      <c r="H656" s="20">
        <f>F656*G656</f>
        <v>1120000</v>
      </c>
      <c r="I656" s="2"/>
      <c r="J656" s="17"/>
      <c r="K656" s="17"/>
      <c r="L656" s="17"/>
    </row>
    <row r="657" spans="1:12">
      <c r="A657" s="37"/>
      <c r="B657" s="36">
        <v>2</v>
      </c>
      <c r="C657" s="19" t="s">
        <v>76</v>
      </c>
      <c r="D657" s="20">
        <v>8</v>
      </c>
      <c r="E657" s="21">
        <v>1</v>
      </c>
      <c r="F657" s="20">
        <f t="shared" ref="F657:F665" si="62">D657*E657</f>
        <v>8</v>
      </c>
      <c r="G657" s="21">
        <v>30770</v>
      </c>
      <c r="H657" s="20">
        <f t="shared" ref="H657:H665" si="63">F657*G657</f>
        <v>246160</v>
      </c>
      <c r="I657" s="2"/>
      <c r="J657" s="17"/>
      <c r="K657" s="17"/>
      <c r="L657" s="17"/>
    </row>
    <row r="658" spans="1:12">
      <c r="A658" s="37"/>
      <c r="B658" s="36">
        <v>3</v>
      </c>
      <c r="C658" s="19" t="s">
        <v>364</v>
      </c>
      <c r="D658" s="20">
        <v>8</v>
      </c>
      <c r="E658" s="21">
        <v>1</v>
      </c>
      <c r="F658" s="20">
        <f t="shared" si="62"/>
        <v>8</v>
      </c>
      <c r="G658" s="21">
        <v>30770</v>
      </c>
      <c r="H658" s="20">
        <f t="shared" si="63"/>
        <v>246160</v>
      </c>
      <c r="I658" s="2"/>
      <c r="J658" s="17"/>
      <c r="K658" s="17"/>
      <c r="L658" s="17"/>
    </row>
    <row r="659" spans="1:12">
      <c r="A659" s="37"/>
      <c r="B659" s="36">
        <v>4</v>
      </c>
      <c r="C659" s="19" t="s">
        <v>362</v>
      </c>
      <c r="D659" s="20">
        <v>8</v>
      </c>
      <c r="E659" s="21">
        <v>1</v>
      </c>
      <c r="F659" s="20">
        <f t="shared" si="62"/>
        <v>8</v>
      </c>
      <c r="G659" s="21">
        <v>30770</v>
      </c>
      <c r="H659" s="20">
        <f t="shared" si="63"/>
        <v>246160</v>
      </c>
      <c r="I659" s="2"/>
      <c r="J659" s="17"/>
      <c r="K659" s="17"/>
      <c r="L659" s="17"/>
    </row>
    <row r="660" spans="1:12">
      <c r="A660" s="37"/>
      <c r="B660" s="36">
        <v>5</v>
      </c>
      <c r="C660" s="19" t="s">
        <v>510</v>
      </c>
      <c r="D660" s="20">
        <v>8</v>
      </c>
      <c r="E660" s="21">
        <v>1</v>
      </c>
      <c r="F660" s="20">
        <f t="shared" si="62"/>
        <v>8</v>
      </c>
      <c r="G660" s="21">
        <v>30770</v>
      </c>
      <c r="H660" s="20">
        <f t="shared" si="63"/>
        <v>246160</v>
      </c>
      <c r="I660" s="2"/>
      <c r="J660" s="17"/>
      <c r="K660" s="17"/>
      <c r="L660" s="17"/>
    </row>
    <row r="661" spans="1:12">
      <c r="A661" s="37"/>
      <c r="B661" s="36">
        <v>6</v>
      </c>
      <c r="C661" s="19" t="s">
        <v>78</v>
      </c>
      <c r="D661" s="20">
        <v>3</v>
      </c>
      <c r="E661" s="21">
        <v>1</v>
      </c>
      <c r="F661" s="20">
        <f t="shared" si="62"/>
        <v>3</v>
      </c>
      <c r="G661" s="21">
        <v>180000</v>
      </c>
      <c r="H661" s="20">
        <f t="shared" si="63"/>
        <v>540000</v>
      </c>
      <c r="I661" s="2"/>
      <c r="J661" s="17"/>
      <c r="K661" s="17"/>
      <c r="L661" s="17"/>
    </row>
    <row r="662" spans="1:12">
      <c r="A662" s="37"/>
      <c r="B662" s="36">
        <v>7</v>
      </c>
      <c r="C662" s="19"/>
      <c r="D662" s="20">
        <v>0</v>
      </c>
      <c r="E662" s="21">
        <v>1</v>
      </c>
      <c r="F662" s="20">
        <f t="shared" si="62"/>
        <v>0</v>
      </c>
      <c r="G662" s="21">
        <v>100</v>
      </c>
      <c r="H662" s="20">
        <f t="shared" si="63"/>
        <v>0</v>
      </c>
      <c r="I662" s="2"/>
      <c r="J662" s="17"/>
      <c r="K662" s="17"/>
      <c r="L662" s="17"/>
    </row>
    <row r="663" spans="1:12">
      <c r="A663" s="37"/>
      <c r="B663" s="36">
        <v>8</v>
      </c>
      <c r="C663" s="19"/>
      <c r="D663" s="20">
        <v>0</v>
      </c>
      <c r="E663" s="21">
        <v>1</v>
      </c>
      <c r="F663" s="20">
        <f t="shared" si="62"/>
        <v>0</v>
      </c>
      <c r="G663" s="21">
        <v>100</v>
      </c>
      <c r="H663" s="20">
        <f t="shared" si="63"/>
        <v>0</v>
      </c>
      <c r="I663" s="2"/>
      <c r="J663" s="17"/>
      <c r="K663" s="17"/>
      <c r="L663" s="17"/>
    </row>
    <row r="664" spans="1:12">
      <c r="A664" s="37"/>
      <c r="B664" s="36">
        <v>9</v>
      </c>
      <c r="C664" s="19"/>
      <c r="D664" s="20">
        <v>0</v>
      </c>
      <c r="E664" s="21">
        <v>1</v>
      </c>
      <c r="F664" s="20">
        <f t="shared" si="62"/>
        <v>0</v>
      </c>
      <c r="G664" s="21">
        <v>100</v>
      </c>
      <c r="H664" s="20">
        <f t="shared" si="63"/>
        <v>0</v>
      </c>
      <c r="I664" s="2"/>
      <c r="J664" s="17"/>
      <c r="K664" s="17"/>
      <c r="L664" s="17"/>
    </row>
    <row r="665" spans="1:12">
      <c r="A665" s="37"/>
      <c r="B665" s="36">
        <v>10</v>
      </c>
      <c r="C665" s="19"/>
      <c r="D665" s="20">
        <v>0</v>
      </c>
      <c r="E665" s="21">
        <v>1</v>
      </c>
      <c r="F665" s="20">
        <f t="shared" si="62"/>
        <v>0</v>
      </c>
      <c r="G665" s="21">
        <v>100</v>
      </c>
      <c r="H665" s="20">
        <f t="shared" si="63"/>
        <v>0</v>
      </c>
      <c r="I665" s="2"/>
      <c r="J665" s="17"/>
      <c r="K665" s="17"/>
      <c r="L665" s="17"/>
    </row>
    <row r="666" spans="1:12">
      <c r="A666" s="37"/>
      <c r="B666" s="36"/>
      <c r="C666" s="14" t="s">
        <v>203</v>
      </c>
      <c r="D666" s="20"/>
      <c r="F666" s="20"/>
      <c r="H666" s="25">
        <f>SUM(H656:H665)</f>
        <v>2644640</v>
      </c>
      <c r="I666" s="2"/>
      <c r="J666" s="17"/>
      <c r="K666" s="17"/>
      <c r="L666" s="17"/>
    </row>
    <row r="667" spans="1:12">
      <c r="A667" s="37"/>
      <c r="B667" s="36"/>
      <c r="C667" s="14"/>
      <c r="D667" s="20"/>
      <c r="F667" s="20"/>
      <c r="H667" s="25"/>
      <c r="I667" s="2"/>
      <c r="J667" s="17"/>
      <c r="K667" s="17"/>
      <c r="L667" s="17"/>
    </row>
    <row r="668" spans="1:12">
      <c r="A668" s="37"/>
      <c r="B668" s="38"/>
      <c r="C668" s="14" t="s">
        <v>204</v>
      </c>
      <c r="D668" s="20"/>
      <c r="F668" s="20"/>
      <c r="H668" s="25">
        <f>H593+H602+H607+H616+H632+H640+H653+H666</f>
        <v>4591363.9476923076</v>
      </c>
      <c r="I668" s="2"/>
      <c r="J668" s="17"/>
      <c r="K668" s="17"/>
      <c r="L668" s="17"/>
    </row>
    <row r="669" spans="1:12">
      <c r="A669" s="37"/>
      <c r="B669" s="38"/>
      <c r="C669" s="14"/>
      <c r="D669" s="20"/>
      <c r="F669" s="20"/>
      <c r="H669" s="20"/>
      <c r="I669" s="2"/>
      <c r="J669" s="17"/>
      <c r="K669" s="17"/>
      <c r="L669" s="17"/>
    </row>
    <row r="670" spans="1:12" ht="26">
      <c r="A670" s="37"/>
      <c r="B670" s="35" t="s">
        <v>517</v>
      </c>
      <c r="C670" s="14" t="s">
        <v>518</v>
      </c>
      <c r="D670" s="20"/>
      <c r="F670" s="20"/>
      <c r="H670" s="20"/>
      <c r="I670" s="2"/>
      <c r="J670" s="17"/>
      <c r="K670" s="17"/>
      <c r="L670" s="17"/>
    </row>
    <row r="671" spans="1:12">
      <c r="A671" s="37"/>
      <c r="B671" s="36">
        <v>1</v>
      </c>
      <c r="C671" s="19"/>
      <c r="D671" s="20">
        <v>0</v>
      </c>
      <c r="E671" s="21">
        <v>1</v>
      </c>
      <c r="F671" s="20">
        <f>D671*E671</f>
        <v>0</v>
      </c>
      <c r="G671" s="21">
        <v>101</v>
      </c>
      <c r="H671" s="20">
        <f>F671*G671</f>
        <v>0</v>
      </c>
      <c r="I671" s="2"/>
      <c r="J671" s="17"/>
      <c r="K671" s="17"/>
      <c r="L671" s="17"/>
    </row>
    <row r="672" spans="1:12">
      <c r="A672" s="37"/>
      <c r="B672" s="36">
        <v>2</v>
      </c>
      <c r="C672" s="19"/>
      <c r="D672" s="20">
        <v>0</v>
      </c>
      <c r="E672" s="21">
        <v>1</v>
      </c>
      <c r="F672" s="20">
        <f t="shared" ref="F672:F674" si="64">D672*E672</f>
        <v>0</v>
      </c>
      <c r="G672" s="21">
        <v>102</v>
      </c>
      <c r="H672" s="20">
        <f t="shared" ref="H672:H674" si="65">F672*G672</f>
        <v>0</v>
      </c>
      <c r="I672" s="2"/>
      <c r="J672" s="17"/>
      <c r="K672" s="17"/>
      <c r="L672" s="17"/>
    </row>
    <row r="673" spans="1:12">
      <c r="A673" s="37"/>
      <c r="B673" s="36">
        <v>3</v>
      </c>
      <c r="C673" s="19"/>
      <c r="D673" s="20">
        <v>0</v>
      </c>
      <c r="E673" s="21">
        <v>1</v>
      </c>
      <c r="F673" s="20">
        <f t="shared" si="64"/>
        <v>0</v>
      </c>
      <c r="G673" s="21">
        <v>103</v>
      </c>
      <c r="H673" s="20">
        <f t="shared" si="65"/>
        <v>0</v>
      </c>
      <c r="I673" s="2"/>
      <c r="J673" s="17"/>
      <c r="K673" s="17"/>
      <c r="L673" s="17"/>
    </row>
    <row r="674" spans="1:12">
      <c r="A674" s="37"/>
      <c r="B674" s="36">
        <v>4</v>
      </c>
      <c r="C674" s="19"/>
      <c r="D674" s="20">
        <v>0</v>
      </c>
      <c r="E674" s="21">
        <v>1</v>
      </c>
      <c r="F674" s="20">
        <f t="shared" si="64"/>
        <v>0</v>
      </c>
      <c r="G674" s="21">
        <v>104</v>
      </c>
      <c r="H674" s="20">
        <f t="shared" si="65"/>
        <v>0</v>
      </c>
      <c r="I674" s="2"/>
      <c r="J674" s="17"/>
      <c r="K674" s="17"/>
      <c r="L674" s="17"/>
    </row>
    <row r="675" spans="1:12">
      <c r="A675" s="37"/>
      <c r="B675" s="36">
        <v>5</v>
      </c>
      <c r="C675" s="19"/>
      <c r="D675" s="20">
        <v>0</v>
      </c>
      <c r="E675" s="21">
        <v>1</v>
      </c>
      <c r="F675" s="20">
        <f>D675*E675</f>
        <v>0</v>
      </c>
      <c r="G675" s="21">
        <v>102</v>
      </c>
      <c r="H675" s="20">
        <f>F675*G675</f>
        <v>0</v>
      </c>
      <c r="I675" s="2"/>
      <c r="J675" s="17"/>
      <c r="K675" s="17"/>
      <c r="L675" s="17"/>
    </row>
    <row r="676" spans="1:12">
      <c r="A676" s="37"/>
      <c r="B676" s="36"/>
      <c r="C676" s="14" t="s">
        <v>519</v>
      </c>
      <c r="D676" s="20"/>
      <c r="F676" s="20"/>
      <c r="H676" s="25">
        <f>SUM(H671:H675)</f>
        <v>0</v>
      </c>
      <c r="I676" s="2"/>
      <c r="J676" s="17"/>
      <c r="K676" s="17"/>
      <c r="L676" s="17"/>
    </row>
    <row r="677" spans="1:12">
      <c r="A677" s="37"/>
      <c r="B677" s="35"/>
      <c r="C677" s="14"/>
      <c r="D677" s="20"/>
      <c r="F677" s="20"/>
      <c r="H677" s="20"/>
      <c r="I677" s="2"/>
      <c r="J677" s="17"/>
      <c r="K677" s="17"/>
      <c r="L677" s="17"/>
    </row>
    <row r="678" spans="1:12">
      <c r="A678" s="37"/>
      <c r="B678" s="38"/>
      <c r="C678" s="14" t="s">
        <v>520</v>
      </c>
      <c r="D678" s="20"/>
      <c r="F678" s="20"/>
      <c r="H678" s="20"/>
      <c r="I678" s="2"/>
      <c r="J678" s="17"/>
      <c r="K678" s="17"/>
      <c r="L678" s="17"/>
    </row>
    <row r="679" spans="1:12">
      <c r="A679" s="37"/>
      <c r="B679" s="36">
        <v>1</v>
      </c>
      <c r="C679" s="19"/>
      <c r="D679" s="20">
        <v>0</v>
      </c>
      <c r="E679" s="21">
        <v>1</v>
      </c>
      <c r="F679" s="20">
        <f>D679*E679</f>
        <v>0</v>
      </c>
      <c r="G679" s="21">
        <v>101</v>
      </c>
      <c r="H679" s="20">
        <f>F679*G679</f>
        <v>0</v>
      </c>
      <c r="I679" s="2"/>
      <c r="J679" s="17"/>
      <c r="K679" s="17"/>
      <c r="L679" s="17"/>
    </row>
    <row r="680" spans="1:12">
      <c r="A680" s="37"/>
      <c r="B680" s="36">
        <v>2</v>
      </c>
      <c r="C680" s="19"/>
      <c r="D680" s="20">
        <v>0</v>
      </c>
      <c r="E680" s="21">
        <v>1</v>
      </c>
      <c r="F680" s="20">
        <f t="shared" ref="F680:F683" si="66">D680*E680</f>
        <v>0</v>
      </c>
      <c r="G680" s="21">
        <v>102</v>
      </c>
      <c r="H680" s="20">
        <f t="shared" ref="H680:H683" si="67">F680*G680</f>
        <v>0</v>
      </c>
      <c r="I680" s="2"/>
      <c r="J680" s="17"/>
      <c r="K680" s="17"/>
      <c r="L680" s="17"/>
    </row>
    <row r="681" spans="1:12">
      <c r="A681" s="37"/>
      <c r="B681" s="36">
        <v>3</v>
      </c>
      <c r="C681" s="19"/>
      <c r="D681" s="20">
        <v>0</v>
      </c>
      <c r="E681" s="21">
        <v>1</v>
      </c>
      <c r="F681" s="20">
        <f t="shared" si="66"/>
        <v>0</v>
      </c>
      <c r="G681" s="21">
        <v>103</v>
      </c>
      <c r="H681" s="20">
        <f t="shared" si="67"/>
        <v>0</v>
      </c>
      <c r="I681" s="2"/>
      <c r="J681" s="17"/>
      <c r="K681" s="17"/>
      <c r="L681" s="17"/>
    </row>
    <row r="682" spans="1:12">
      <c r="A682" s="37"/>
      <c r="B682" s="36">
        <v>4</v>
      </c>
      <c r="C682" s="19"/>
      <c r="D682" s="20">
        <v>0</v>
      </c>
      <c r="E682" s="21">
        <v>1</v>
      </c>
      <c r="F682" s="20">
        <f t="shared" si="66"/>
        <v>0</v>
      </c>
      <c r="G682" s="21">
        <v>104</v>
      </c>
      <c r="H682" s="20">
        <f t="shared" si="67"/>
        <v>0</v>
      </c>
      <c r="I682" s="2"/>
      <c r="J682" s="17"/>
      <c r="K682" s="17"/>
      <c r="L682" s="17"/>
    </row>
    <row r="683" spans="1:12">
      <c r="A683" s="37"/>
      <c r="B683" s="36">
        <v>5</v>
      </c>
      <c r="C683" s="19"/>
      <c r="D683" s="20">
        <v>0</v>
      </c>
      <c r="E683" s="21">
        <v>1</v>
      </c>
      <c r="F683" s="20">
        <f t="shared" si="66"/>
        <v>0</v>
      </c>
      <c r="G683" s="21">
        <v>105</v>
      </c>
      <c r="H683" s="20">
        <f t="shared" si="67"/>
        <v>0</v>
      </c>
      <c r="I683" s="2"/>
      <c r="J683" s="17"/>
      <c r="K683" s="17"/>
      <c r="L683" s="17"/>
    </row>
    <row r="684" spans="1:12">
      <c r="A684" s="37"/>
      <c r="B684" s="36">
        <v>6</v>
      </c>
      <c r="C684" s="19"/>
      <c r="D684" s="20">
        <v>0</v>
      </c>
      <c r="E684" s="21">
        <v>1</v>
      </c>
      <c r="F684" s="20">
        <f>D684*E684</f>
        <v>0</v>
      </c>
      <c r="G684" s="21">
        <v>102</v>
      </c>
      <c r="H684" s="20">
        <f>F684*G684</f>
        <v>0</v>
      </c>
      <c r="I684" s="2"/>
      <c r="J684" s="17"/>
      <c r="K684" s="17"/>
      <c r="L684" s="17"/>
    </row>
    <row r="685" spans="1:12">
      <c r="A685" s="37"/>
      <c r="B685" s="36"/>
      <c r="C685" s="14" t="s">
        <v>521</v>
      </c>
      <c r="D685" s="20"/>
      <c r="F685" s="20"/>
      <c r="H685" s="25">
        <f>SUM(H679:H684)</f>
        <v>0</v>
      </c>
      <c r="I685" s="2"/>
      <c r="J685" s="17"/>
      <c r="K685" s="17"/>
      <c r="L685" s="17"/>
    </row>
    <row r="686" spans="1:12">
      <c r="A686" s="37"/>
      <c r="B686" s="38"/>
      <c r="C686" s="14"/>
      <c r="D686" s="20"/>
      <c r="F686" s="20"/>
      <c r="H686" s="20"/>
      <c r="I686" s="2"/>
      <c r="J686" s="17"/>
      <c r="K686" s="17"/>
      <c r="L686" s="17"/>
    </row>
    <row r="687" spans="1:12">
      <c r="A687" s="37"/>
      <c r="B687" s="38"/>
      <c r="C687" s="14" t="s">
        <v>522</v>
      </c>
      <c r="D687" s="20"/>
      <c r="F687" s="20"/>
      <c r="H687" s="20"/>
      <c r="I687" s="2"/>
      <c r="J687" s="17"/>
      <c r="K687" s="17"/>
      <c r="L687" s="17"/>
    </row>
    <row r="688" spans="1:12">
      <c r="A688" s="37"/>
      <c r="B688" s="36">
        <v>1</v>
      </c>
      <c r="C688" s="19"/>
      <c r="D688" s="20">
        <v>0</v>
      </c>
      <c r="E688" s="21">
        <v>1</v>
      </c>
      <c r="F688" s="20">
        <f>D688*E688</f>
        <v>0</v>
      </c>
      <c r="G688" s="21">
        <v>101</v>
      </c>
      <c r="H688" s="20">
        <f>F688*G688</f>
        <v>0</v>
      </c>
      <c r="I688" s="2"/>
      <c r="J688" s="17"/>
      <c r="K688" s="17"/>
      <c r="L688" s="17"/>
    </row>
    <row r="689" spans="1:12">
      <c r="A689" s="37"/>
      <c r="B689" s="36">
        <v>2</v>
      </c>
      <c r="C689" s="19"/>
      <c r="D689" s="20">
        <v>0</v>
      </c>
      <c r="E689" s="21">
        <v>1</v>
      </c>
      <c r="F689" s="20">
        <f t="shared" ref="F689:F692" si="68">D689*E689</f>
        <v>0</v>
      </c>
      <c r="G689" s="21">
        <v>102</v>
      </c>
      <c r="H689" s="20">
        <f t="shared" ref="H689:H692" si="69">F689*G689</f>
        <v>0</v>
      </c>
      <c r="I689" s="2"/>
      <c r="J689" s="17"/>
      <c r="K689" s="17"/>
      <c r="L689" s="17"/>
    </row>
    <row r="690" spans="1:12">
      <c r="A690" s="37"/>
      <c r="B690" s="36">
        <v>3</v>
      </c>
      <c r="C690" s="19"/>
      <c r="D690" s="20">
        <v>0</v>
      </c>
      <c r="E690" s="21">
        <v>1</v>
      </c>
      <c r="F690" s="20">
        <f t="shared" si="68"/>
        <v>0</v>
      </c>
      <c r="G690" s="21">
        <v>103</v>
      </c>
      <c r="H690" s="20">
        <f t="shared" si="69"/>
        <v>0</v>
      </c>
      <c r="I690" s="2"/>
      <c r="J690" s="17"/>
      <c r="K690" s="17"/>
      <c r="L690" s="17"/>
    </row>
    <row r="691" spans="1:12">
      <c r="A691" s="37"/>
      <c r="B691" s="36">
        <v>4</v>
      </c>
      <c r="C691" s="19"/>
      <c r="D691" s="20">
        <v>0</v>
      </c>
      <c r="E691" s="21">
        <v>1</v>
      </c>
      <c r="F691" s="20">
        <f t="shared" si="68"/>
        <v>0</v>
      </c>
      <c r="G691" s="21">
        <v>104</v>
      </c>
      <c r="H691" s="20">
        <f t="shared" si="69"/>
        <v>0</v>
      </c>
      <c r="I691" s="2"/>
      <c r="J691" s="17"/>
      <c r="K691" s="17"/>
      <c r="L691" s="17"/>
    </row>
    <row r="692" spans="1:12">
      <c r="A692" s="37"/>
      <c r="B692" s="36">
        <v>5</v>
      </c>
      <c r="C692" s="19"/>
      <c r="D692" s="20">
        <v>0</v>
      </c>
      <c r="E692" s="21">
        <v>1</v>
      </c>
      <c r="F692" s="20">
        <f t="shared" si="68"/>
        <v>0</v>
      </c>
      <c r="G692" s="21">
        <v>105</v>
      </c>
      <c r="H692" s="20">
        <f t="shared" si="69"/>
        <v>0</v>
      </c>
      <c r="I692" s="2"/>
      <c r="J692" s="17"/>
      <c r="K692" s="17"/>
      <c r="L692" s="17"/>
    </row>
    <row r="693" spans="1:12">
      <c r="A693" s="37"/>
      <c r="B693" s="36">
        <v>6</v>
      </c>
      <c r="C693" s="19"/>
      <c r="D693" s="20">
        <v>0</v>
      </c>
      <c r="E693" s="21">
        <v>1</v>
      </c>
      <c r="F693" s="20">
        <f>D693*E693</f>
        <v>0</v>
      </c>
      <c r="G693" s="21">
        <v>102</v>
      </c>
      <c r="H693" s="20">
        <f>F693*G693</f>
        <v>0</v>
      </c>
      <c r="I693" s="2"/>
      <c r="J693" s="17"/>
      <c r="K693" s="17"/>
      <c r="L693" s="17"/>
    </row>
    <row r="694" spans="1:12">
      <c r="A694" s="37"/>
      <c r="B694" s="36"/>
      <c r="C694" s="14" t="s">
        <v>523</v>
      </c>
      <c r="D694" s="20"/>
      <c r="F694" s="20"/>
      <c r="H694" s="25">
        <f>SUM(H688:H693)</f>
        <v>0</v>
      </c>
      <c r="I694" s="2"/>
      <c r="J694" s="17"/>
      <c r="K694" s="17"/>
      <c r="L694" s="17"/>
    </row>
    <row r="695" spans="1:12">
      <c r="A695" s="37"/>
      <c r="B695" s="38"/>
      <c r="C695" s="14"/>
      <c r="D695" s="20"/>
      <c r="F695" s="20"/>
      <c r="H695" s="20"/>
      <c r="I695" s="2"/>
      <c r="J695" s="17"/>
      <c r="K695" s="17"/>
      <c r="L695" s="17"/>
    </row>
    <row r="696" spans="1:12">
      <c r="A696" s="37"/>
      <c r="B696" s="38"/>
      <c r="C696" s="14" t="s">
        <v>524</v>
      </c>
      <c r="D696" s="20"/>
      <c r="F696" s="20"/>
      <c r="H696" s="20"/>
      <c r="I696" s="2"/>
      <c r="J696" s="17"/>
      <c r="K696" s="17"/>
      <c r="L696" s="17"/>
    </row>
    <row r="697" spans="1:12">
      <c r="A697" s="37"/>
      <c r="B697" s="36">
        <v>1</v>
      </c>
      <c r="C697" s="19"/>
      <c r="D697" s="20">
        <v>0</v>
      </c>
      <c r="E697" s="21">
        <v>1</v>
      </c>
      <c r="F697" s="20">
        <f>D697*E697</f>
        <v>0</v>
      </c>
      <c r="G697" s="21">
        <v>101</v>
      </c>
      <c r="H697" s="20">
        <f>F697*G697</f>
        <v>0</v>
      </c>
      <c r="I697" s="2"/>
      <c r="J697" s="17"/>
      <c r="K697" s="17"/>
      <c r="L697" s="17"/>
    </row>
    <row r="698" spans="1:12">
      <c r="A698" s="37"/>
      <c r="B698" s="36">
        <v>2</v>
      </c>
      <c r="C698" s="19"/>
      <c r="D698" s="20">
        <v>0</v>
      </c>
      <c r="E698" s="21">
        <v>1</v>
      </c>
      <c r="F698" s="20">
        <f t="shared" ref="F698:F702" si="70">D698*E698</f>
        <v>0</v>
      </c>
      <c r="G698" s="21">
        <v>102</v>
      </c>
      <c r="H698" s="20">
        <f t="shared" ref="H698:H702" si="71">F698*G698</f>
        <v>0</v>
      </c>
      <c r="I698" s="2"/>
      <c r="J698" s="17"/>
      <c r="K698" s="17"/>
      <c r="L698" s="17"/>
    </row>
    <row r="699" spans="1:12">
      <c r="A699" s="37"/>
      <c r="B699" s="36">
        <v>3</v>
      </c>
      <c r="C699" s="19"/>
      <c r="D699" s="20">
        <v>0</v>
      </c>
      <c r="E699" s="21">
        <v>1</v>
      </c>
      <c r="F699" s="20">
        <f t="shared" si="70"/>
        <v>0</v>
      </c>
      <c r="G699" s="21">
        <v>103</v>
      </c>
      <c r="H699" s="20">
        <f t="shared" si="71"/>
        <v>0</v>
      </c>
      <c r="I699" s="2"/>
      <c r="J699" s="17"/>
      <c r="K699" s="17"/>
      <c r="L699" s="17"/>
    </row>
    <row r="700" spans="1:12">
      <c r="A700" s="37"/>
      <c r="B700" s="36">
        <v>4</v>
      </c>
      <c r="C700" s="19"/>
      <c r="D700" s="20">
        <v>0</v>
      </c>
      <c r="E700" s="21">
        <v>1</v>
      </c>
      <c r="F700" s="20">
        <f t="shared" si="70"/>
        <v>0</v>
      </c>
      <c r="G700" s="21">
        <v>104</v>
      </c>
      <c r="H700" s="20">
        <f t="shared" si="71"/>
        <v>0</v>
      </c>
      <c r="I700" s="2"/>
      <c r="J700" s="17"/>
      <c r="K700" s="17"/>
      <c r="L700" s="17"/>
    </row>
    <row r="701" spans="1:12">
      <c r="A701" s="37"/>
      <c r="B701" s="36">
        <v>5</v>
      </c>
      <c r="C701" s="19"/>
      <c r="D701" s="20">
        <v>0</v>
      </c>
      <c r="E701" s="21">
        <v>1</v>
      </c>
      <c r="F701" s="20">
        <f t="shared" si="70"/>
        <v>0</v>
      </c>
      <c r="G701" s="21">
        <v>105</v>
      </c>
      <c r="H701" s="20">
        <f t="shared" si="71"/>
        <v>0</v>
      </c>
      <c r="I701" s="2"/>
      <c r="J701" s="17"/>
      <c r="K701" s="17"/>
      <c r="L701" s="17"/>
    </row>
    <row r="702" spans="1:12">
      <c r="A702" s="37"/>
      <c r="B702" s="36">
        <v>6</v>
      </c>
      <c r="C702" s="19"/>
      <c r="D702" s="20">
        <v>0</v>
      </c>
      <c r="E702" s="21">
        <v>1</v>
      </c>
      <c r="F702" s="20">
        <f t="shared" si="70"/>
        <v>0</v>
      </c>
      <c r="G702" s="21">
        <v>106</v>
      </c>
      <c r="H702" s="20">
        <f t="shared" si="71"/>
        <v>0</v>
      </c>
      <c r="I702" s="2"/>
      <c r="J702" s="17"/>
      <c r="K702" s="17"/>
      <c r="L702" s="17"/>
    </row>
    <row r="703" spans="1:12">
      <c r="A703" s="37"/>
      <c r="B703" s="36">
        <v>7</v>
      </c>
      <c r="C703" s="19"/>
      <c r="D703" s="20">
        <v>0</v>
      </c>
      <c r="E703" s="21">
        <v>1</v>
      </c>
      <c r="F703" s="20">
        <f>D703*E703</f>
        <v>0</v>
      </c>
      <c r="G703" s="21">
        <v>102</v>
      </c>
      <c r="H703" s="20">
        <f>F703*G703</f>
        <v>0</v>
      </c>
      <c r="I703" s="2"/>
      <c r="J703" s="17"/>
      <c r="K703" s="17"/>
      <c r="L703" s="17"/>
    </row>
    <row r="704" spans="1:12">
      <c r="A704" s="37"/>
      <c r="B704" s="36"/>
      <c r="C704" s="14" t="s">
        <v>525</v>
      </c>
      <c r="D704" s="20"/>
      <c r="F704" s="20"/>
      <c r="H704" s="25">
        <f>SUM(H697:H703)</f>
        <v>0</v>
      </c>
      <c r="I704" s="2"/>
      <c r="J704" s="17"/>
      <c r="K704" s="17"/>
      <c r="L704" s="17"/>
    </row>
    <row r="705" spans="1:12">
      <c r="A705" s="37"/>
      <c r="B705" s="38"/>
      <c r="C705" s="14"/>
      <c r="D705" s="20"/>
      <c r="F705" s="20"/>
      <c r="H705" s="20"/>
      <c r="I705" s="2"/>
      <c r="J705" s="17"/>
      <c r="K705" s="17"/>
      <c r="L705" s="17"/>
    </row>
    <row r="706" spans="1:12">
      <c r="A706" s="37"/>
      <c r="B706" s="38"/>
      <c r="C706" s="14" t="s">
        <v>526</v>
      </c>
      <c r="D706" s="20"/>
      <c r="F706" s="20"/>
      <c r="H706" s="20"/>
      <c r="I706" s="2"/>
      <c r="J706" s="17"/>
      <c r="K706" s="17"/>
      <c r="L706" s="17"/>
    </row>
    <row r="707" spans="1:12">
      <c r="A707" s="37"/>
      <c r="B707" s="36">
        <v>1</v>
      </c>
      <c r="C707" s="19" t="s">
        <v>496</v>
      </c>
      <c r="D707" s="20">
        <v>6</v>
      </c>
      <c r="E707" s="21">
        <v>1</v>
      </c>
      <c r="F707" s="20">
        <f>D707*E707</f>
        <v>6</v>
      </c>
      <c r="G707" s="21">
        <f>K43</f>
        <v>5384.6153846153802</v>
      </c>
      <c r="H707" s="20">
        <f>F707*G707</f>
        <v>32307.692307692283</v>
      </c>
      <c r="I707" s="2"/>
      <c r="J707" s="17"/>
      <c r="K707" s="17"/>
      <c r="L707" s="17"/>
    </row>
    <row r="708" spans="1:12">
      <c r="A708" s="37"/>
      <c r="B708" s="36">
        <v>2</v>
      </c>
      <c r="C708" s="19" t="s">
        <v>497</v>
      </c>
      <c r="D708" s="20">
        <v>4</v>
      </c>
      <c r="E708" s="21">
        <v>1</v>
      </c>
      <c r="F708" s="20">
        <f t="shared" ref="F708:F718" si="72">D708*E708</f>
        <v>4</v>
      </c>
      <c r="G708" s="21">
        <f>K44</f>
        <v>8307.6923076923104</v>
      </c>
      <c r="H708" s="20">
        <f t="shared" ref="H708:H718" si="73">F708*G708</f>
        <v>33230.769230769241</v>
      </c>
      <c r="I708" s="2"/>
      <c r="J708" s="17"/>
      <c r="K708" s="17"/>
      <c r="L708" s="17"/>
    </row>
    <row r="709" spans="1:12">
      <c r="A709" s="37"/>
      <c r="B709" s="36">
        <v>3</v>
      </c>
      <c r="C709" s="19" t="s">
        <v>513</v>
      </c>
      <c r="D709" s="20">
        <v>2</v>
      </c>
      <c r="E709" s="21">
        <v>1</v>
      </c>
      <c r="F709" s="20">
        <f t="shared" si="72"/>
        <v>2</v>
      </c>
      <c r="G709" s="21">
        <v>60.769230769230766</v>
      </c>
      <c r="H709" s="20">
        <f t="shared" si="73"/>
        <v>121.53846153846153</v>
      </c>
      <c r="I709" s="2"/>
      <c r="J709" s="17"/>
      <c r="K709" s="17"/>
      <c r="L709" s="17"/>
    </row>
    <row r="710" spans="1:12">
      <c r="A710" s="37"/>
      <c r="B710" s="36">
        <v>4</v>
      </c>
      <c r="C710" s="19" t="s">
        <v>503</v>
      </c>
      <c r="D710" s="20">
        <v>1</v>
      </c>
      <c r="E710" s="21">
        <v>1</v>
      </c>
      <c r="F710" s="20">
        <f t="shared" si="72"/>
        <v>1</v>
      </c>
      <c r="G710" s="21">
        <v>40</v>
      </c>
      <c r="H710" s="20">
        <f t="shared" si="73"/>
        <v>40</v>
      </c>
      <c r="I710" s="2"/>
      <c r="J710" s="17"/>
      <c r="K710" s="17"/>
      <c r="L710" s="17"/>
    </row>
    <row r="711" spans="1:12">
      <c r="A711" s="37"/>
      <c r="B711" s="36">
        <v>5</v>
      </c>
      <c r="C711" s="19" t="s">
        <v>504</v>
      </c>
      <c r="D711" s="20">
        <v>1</v>
      </c>
      <c r="E711" s="21">
        <v>0.42599999999999999</v>
      </c>
      <c r="F711" s="20">
        <f t="shared" si="72"/>
        <v>0.42599999999999999</v>
      </c>
      <c r="G711" s="21">
        <v>49000</v>
      </c>
      <c r="H711" s="20">
        <f t="shared" si="73"/>
        <v>20874</v>
      </c>
      <c r="I711" s="2"/>
      <c r="J711" s="17"/>
      <c r="K711" s="17"/>
      <c r="L711" s="17"/>
    </row>
    <row r="712" spans="1:12">
      <c r="A712" s="37"/>
      <c r="B712" s="36">
        <v>6</v>
      </c>
      <c r="C712" s="19" t="s">
        <v>507</v>
      </c>
      <c r="D712" s="20">
        <v>1</v>
      </c>
      <c r="E712" s="21">
        <v>1</v>
      </c>
      <c r="F712" s="20">
        <f t="shared" si="72"/>
        <v>1</v>
      </c>
      <c r="G712" s="21">
        <v>230.76923076923077</v>
      </c>
      <c r="H712" s="20">
        <f t="shared" si="73"/>
        <v>230.76923076923077</v>
      </c>
      <c r="I712" s="2"/>
      <c r="J712" s="17"/>
      <c r="K712" s="17"/>
      <c r="L712" s="17"/>
    </row>
    <row r="713" spans="1:12">
      <c r="A713" s="37"/>
      <c r="B713" s="36">
        <v>7</v>
      </c>
      <c r="C713" s="19" t="s">
        <v>508</v>
      </c>
      <c r="D713" s="20">
        <v>0.03</v>
      </c>
      <c r="E713" s="21">
        <v>0.14399999999999999</v>
      </c>
      <c r="F713" s="20">
        <f t="shared" si="72"/>
        <v>4.3199999999999992E-3</v>
      </c>
      <c r="G713" s="21">
        <v>9000</v>
      </c>
      <c r="H713" s="20">
        <f t="shared" si="73"/>
        <v>38.879999999999995</v>
      </c>
      <c r="I713" s="2"/>
      <c r="J713" s="17"/>
      <c r="K713" s="17"/>
      <c r="L713" s="17"/>
    </row>
    <row r="714" spans="1:12">
      <c r="A714" s="37"/>
      <c r="B714" s="36">
        <v>8</v>
      </c>
      <c r="C714" s="19" t="s">
        <v>352</v>
      </c>
      <c r="D714" s="20">
        <v>1</v>
      </c>
      <c r="E714" s="21">
        <v>0.58199999999999996</v>
      </c>
      <c r="F714" s="20">
        <f t="shared" si="72"/>
        <v>0.58199999999999996</v>
      </c>
      <c r="G714" s="21">
        <v>177.69230769230768</v>
      </c>
      <c r="H714" s="20">
        <f t="shared" si="73"/>
        <v>103.41692307692307</v>
      </c>
      <c r="I714" s="2"/>
      <c r="J714" s="17"/>
      <c r="K714" s="17"/>
      <c r="L714" s="17"/>
    </row>
    <row r="715" spans="1:12">
      <c r="A715" s="37"/>
      <c r="B715" s="36">
        <v>9</v>
      </c>
      <c r="C715" s="19" t="s">
        <v>45</v>
      </c>
      <c r="D715" s="20">
        <v>2</v>
      </c>
      <c r="E715" s="21">
        <v>0.58199999999999996</v>
      </c>
      <c r="F715" s="20">
        <f>D715*E715</f>
        <v>1.1639999999999999</v>
      </c>
      <c r="G715" s="21">
        <v>77.692307692307693</v>
      </c>
      <c r="H715" s="20">
        <f t="shared" si="73"/>
        <v>90.433846153846147</v>
      </c>
      <c r="I715" s="2"/>
      <c r="J715" s="17"/>
      <c r="K715" s="17"/>
      <c r="L715" s="17"/>
    </row>
    <row r="716" spans="1:12">
      <c r="A716" s="37"/>
      <c r="B716" s="36">
        <v>10</v>
      </c>
      <c r="C716" s="19" t="s">
        <v>351</v>
      </c>
      <c r="D716" s="20">
        <v>3</v>
      </c>
      <c r="E716" s="21">
        <v>0.58199999999999996</v>
      </c>
      <c r="F716" s="20">
        <f t="shared" si="72"/>
        <v>1.746</v>
      </c>
      <c r="G716" s="21">
        <v>264.61538461538458</v>
      </c>
      <c r="H716" s="20">
        <f t="shared" si="73"/>
        <v>462.01846153846151</v>
      </c>
      <c r="I716" s="2"/>
      <c r="J716" s="17"/>
      <c r="K716" s="17"/>
      <c r="L716" s="17"/>
    </row>
    <row r="717" spans="1:12">
      <c r="A717" s="37"/>
      <c r="B717" s="36">
        <v>11</v>
      </c>
      <c r="C717" s="19" t="s">
        <v>527</v>
      </c>
      <c r="D717" s="20">
        <v>7</v>
      </c>
      <c r="E717" s="21">
        <v>1</v>
      </c>
      <c r="F717" s="20">
        <f t="shared" si="72"/>
        <v>7</v>
      </c>
      <c r="G717" s="69">
        <v>470</v>
      </c>
      <c r="H717" s="20">
        <f t="shared" si="73"/>
        <v>3290</v>
      </c>
      <c r="I717" s="2"/>
      <c r="J717" s="17"/>
      <c r="K717" s="17"/>
      <c r="L717" s="17"/>
    </row>
    <row r="718" spans="1:12">
      <c r="A718" s="37"/>
      <c r="B718" s="36">
        <v>12</v>
      </c>
      <c r="C718" s="19"/>
      <c r="D718" s="20">
        <v>0</v>
      </c>
      <c r="E718" s="21">
        <v>0</v>
      </c>
      <c r="F718" s="20">
        <f t="shared" si="72"/>
        <v>0</v>
      </c>
      <c r="G718" s="21">
        <v>108</v>
      </c>
      <c r="H718" s="20">
        <f t="shared" si="73"/>
        <v>0</v>
      </c>
      <c r="I718" s="2"/>
      <c r="J718" s="17"/>
      <c r="K718" s="17"/>
      <c r="L718" s="17"/>
    </row>
    <row r="719" spans="1:12">
      <c r="A719" s="37"/>
      <c r="B719" s="36">
        <v>13</v>
      </c>
      <c r="C719" s="19"/>
      <c r="D719" s="20">
        <v>0</v>
      </c>
      <c r="E719" s="21">
        <v>0</v>
      </c>
      <c r="F719" s="20">
        <f>D719*E719</f>
        <v>0</v>
      </c>
      <c r="G719" s="21">
        <v>102</v>
      </c>
      <c r="H719" s="20">
        <f>F719*G719</f>
        <v>0</v>
      </c>
      <c r="I719" s="2"/>
      <c r="J719" s="17"/>
      <c r="K719" s="17"/>
      <c r="L719" s="17"/>
    </row>
    <row r="720" spans="1:12">
      <c r="A720" s="37"/>
      <c r="B720" s="36"/>
      <c r="C720" s="14" t="s">
        <v>528</v>
      </c>
      <c r="D720" s="20"/>
      <c r="F720" s="20"/>
      <c r="H720" s="25">
        <f>SUM(H707:H719)</f>
        <v>90789.518461538464</v>
      </c>
      <c r="I720" s="2"/>
      <c r="J720" s="17"/>
      <c r="K720" s="17"/>
      <c r="L720" s="17"/>
    </row>
    <row r="721" spans="1:12">
      <c r="A721" s="37"/>
      <c r="B721" s="38"/>
      <c r="C721" s="14"/>
      <c r="D721" s="20"/>
      <c r="F721" s="20"/>
      <c r="H721" s="20"/>
      <c r="I721" s="2"/>
      <c r="J721" s="17"/>
      <c r="K721" s="17"/>
      <c r="L721" s="17"/>
    </row>
    <row r="722" spans="1:12">
      <c r="A722" s="37"/>
      <c r="B722" s="38"/>
      <c r="C722" s="14" t="s">
        <v>529</v>
      </c>
      <c r="D722" s="20"/>
      <c r="F722" s="20"/>
      <c r="H722" s="20"/>
      <c r="I722" s="2"/>
      <c r="J722" s="17"/>
      <c r="K722" s="17"/>
      <c r="L722" s="17"/>
    </row>
    <row r="723" spans="1:12">
      <c r="A723" s="37"/>
      <c r="B723" s="36">
        <v>1</v>
      </c>
      <c r="C723" s="19" t="s">
        <v>284</v>
      </c>
      <c r="D723" s="20">
        <v>2</v>
      </c>
      <c r="E723" s="21">
        <v>1</v>
      </c>
      <c r="F723" s="20">
        <f>D723*E723</f>
        <v>2</v>
      </c>
      <c r="G723" s="21">
        <v>40000</v>
      </c>
      <c r="H723" s="20">
        <f>F723*G723</f>
        <v>80000</v>
      </c>
      <c r="I723" s="2"/>
      <c r="J723" s="17"/>
      <c r="K723" s="17"/>
      <c r="L723" s="17"/>
    </row>
    <row r="724" spans="1:12">
      <c r="A724" s="37"/>
      <c r="B724" s="36">
        <v>2</v>
      </c>
      <c r="C724" s="19"/>
      <c r="D724" s="20">
        <v>0</v>
      </c>
      <c r="E724" s="21">
        <v>1</v>
      </c>
      <c r="F724" s="20">
        <f t="shared" ref="F724:F728" si="74">D724*E724</f>
        <v>0</v>
      </c>
      <c r="G724" s="21">
        <v>102</v>
      </c>
      <c r="H724" s="20">
        <f t="shared" ref="H724:H728" si="75">F724*G724</f>
        <v>0</v>
      </c>
      <c r="I724" s="2"/>
      <c r="J724" s="17"/>
      <c r="K724" s="17"/>
      <c r="L724" s="17"/>
    </row>
    <row r="725" spans="1:12">
      <c r="A725" s="37"/>
      <c r="B725" s="36">
        <v>3</v>
      </c>
      <c r="C725" s="19"/>
      <c r="D725" s="20">
        <v>0</v>
      </c>
      <c r="E725" s="21">
        <v>1</v>
      </c>
      <c r="F725" s="20">
        <f t="shared" si="74"/>
        <v>0</v>
      </c>
      <c r="G725" s="21">
        <v>103</v>
      </c>
      <c r="H725" s="20">
        <f t="shared" si="75"/>
        <v>0</v>
      </c>
      <c r="I725" s="2"/>
      <c r="J725" s="17"/>
      <c r="K725" s="17"/>
      <c r="L725" s="17"/>
    </row>
    <row r="726" spans="1:12">
      <c r="A726" s="37"/>
      <c r="B726" s="36">
        <v>4</v>
      </c>
      <c r="C726" s="19"/>
      <c r="D726" s="20">
        <v>0</v>
      </c>
      <c r="E726" s="21">
        <v>1</v>
      </c>
      <c r="F726" s="20">
        <f t="shared" si="74"/>
        <v>0</v>
      </c>
      <c r="G726" s="21">
        <v>104</v>
      </c>
      <c r="H726" s="20">
        <f t="shared" si="75"/>
        <v>0</v>
      </c>
      <c r="I726" s="2"/>
      <c r="J726" s="17"/>
      <c r="K726" s="17"/>
      <c r="L726" s="17"/>
    </row>
    <row r="727" spans="1:12">
      <c r="A727" s="37"/>
      <c r="B727" s="36">
        <v>5</v>
      </c>
      <c r="C727" s="19"/>
      <c r="D727" s="20">
        <v>0</v>
      </c>
      <c r="E727" s="21">
        <v>1</v>
      </c>
      <c r="F727" s="20">
        <f t="shared" si="74"/>
        <v>0</v>
      </c>
      <c r="G727" s="21">
        <v>105</v>
      </c>
      <c r="H727" s="20">
        <f t="shared" si="75"/>
        <v>0</v>
      </c>
      <c r="I727" s="2"/>
      <c r="J727" s="17"/>
      <c r="K727" s="17"/>
      <c r="L727" s="17"/>
    </row>
    <row r="728" spans="1:12">
      <c r="A728" s="37"/>
      <c r="B728" s="36">
        <v>6</v>
      </c>
      <c r="C728" s="19"/>
      <c r="D728" s="20">
        <v>0</v>
      </c>
      <c r="E728" s="21">
        <v>1</v>
      </c>
      <c r="F728" s="20">
        <f t="shared" si="74"/>
        <v>0</v>
      </c>
      <c r="G728" s="21">
        <v>106</v>
      </c>
      <c r="H728" s="20">
        <f t="shared" si="75"/>
        <v>0</v>
      </c>
      <c r="I728" s="2"/>
      <c r="J728" s="17"/>
      <c r="K728" s="17"/>
      <c r="L728" s="17"/>
    </row>
    <row r="729" spans="1:12">
      <c r="A729" s="37"/>
      <c r="B729" s="36">
        <v>7</v>
      </c>
      <c r="C729" s="19"/>
      <c r="D729" s="20">
        <v>0</v>
      </c>
      <c r="E729" s="21">
        <v>1</v>
      </c>
      <c r="F729" s="20">
        <f>D729*E729</f>
        <v>0</v>
      </c>
      <c r="G729" s="21">
        <v>102</v>
      </c>
      <c r="H729" s="20">
        <f>F729*G729</f>
        <v>0</v>
      </c>
      <c r="I729" s="2"/>
      <c r="J729" s="17"/>
      <c r="K729" s="17"/>
      <c r="L729" s="17"/>
    </row>
    <row r="730" spans="1:12">
      <c r="A730" s="37"/>
      <c r="B730" s="36"/>
      <c r="C730" s="14" t="s">
        <v>530</v>
      </c>
      <c r="D730" s="20"/>
      <c r="F730" s="20"/>
      <c r="H730" s="25">
        <f>SUM(H723:H729)</f>
        <v>80000</v>
      </c>
      <c r="I730" s="2"/>
      <c r="J730" s="17"/>
      <c r="K730" s="17"/>
      <c r="L730" s="17"/>
    </row>
    <row r="731" spans="1:12">
      <c r="A731" s="37"/>
      <c r="B731" s="38"/>
      <c r="C731" s="14"/>
      <c r="D731" s="20"/>
      <c r="F731" s="20"/>
      <c r="H731" s="20"/>
      <c r="I731" s="2"/>
      <c r="J731" s="17"/>
      <c r="K731" s="17"/>
      <c r="L731" s="17"/>
    </row>
    <row r="732" spans="1:12">
      <c r="A732" s="37"/>
      <c r="B732" s="38"/>
      <c r="C732" s="14" t="s">
        <v>531</v>
      </c>
      <c r="D732" s="20"/>
      <c r="F732" s="20"/>
      <c r="H732" s="20"/>
      <c r="I732" s="2"/>
      <c r="J732" s="17"/>
      <c r="K732" s="17"/>
      <c r="L732" s="17"/>
    </row>
    <row r="733" spans="1:12">
      <c r="A733" s="37"/>
      <c r="B733" s="36">
        <v>1</v>
      </c>
      <c r="C733" s="19" t="s">
        <v>219</v>
      </c>
      <c r="D733" s="20">
        <v>1</v>
      </c>
      <c r="E733" s="21">
        <v>1</v>
      </c>
      <c r="F733" s="20">
        <f>D733*E733</f>
        <v>1</v>
      </c>
      <c r="G733" s="69">
        <v>12507</v>
      </c>
      <c r="H733" s="20">
        <f>F733*G733</f>
        <v>12507</v>
      </c>
      <c r="I733" s="2"/>
      <c r="J733" s="17"/>
      <c r="K733" s="17"/>
      <c r="L733" s="17"/>
    </row>
    <row r="734" spans="1:12">
      <c r="A734" s="37"/>
      <c r="B734" s="36">
        <v>2</v>
      </c>
      <c r="C734" s="19" t="s">
        <v>64</v>
      </c>
      <c r="D734" s="20">
        <v>1</v>
      </c>
      <c r="E734" s="21">
        <v>1</v>
      </c>
      <c r="F734" s="20">
        <f>D734*E734</f>
        <v>1</v>
      </c>
      <c r="G734" s="69">
        <v>12507</v>
      </c>
      <c r="H734" s="20">
        <f>F734*G734</f>
        <v>12507</v>
      </c>
      <c r="I734" s="2"/>
      <c r="J734" s="17"/>
      <c r="K734" s="17"/>
      <c r="L734" s="17"/>
    </row>
    <row r="735" spans="1:12">
      <c r="A735" s="37"/>
      <c r="B735" s="36">
        <v>3</v>
      </c>
      <c r="C735" s="19" t="s">
        <v>65</v>
      </c>
      <c r="D735" s="20">
        <v>1</v>
      </c>
      <c r="E735" s="21">
        <v>1</v>
      </c>
      <c r="F735" s="20">
        <f t="shared" ref="F735:F740" si="76">D735*E735</f>
        <v>1</v>
      </c>
      <c r="G735" s="69">
        <v>12507</v>
      </c>
      <c r="H735" s="20">
        <f t="shared" ref="H735:H740" si="77">F735*G735</f>
        <v>12507</v>
      </c>
      <c r="I735" s="2"/>
      <c r="J735" s="17"/>
      <c r="K735" s="17"/>
      <c r="L735" s="17"/>
    </row>
    <row r="736" spans="1:12">
      <c r="A736" s="37"/>
      <c r="B736" s="36">
        <v>4</v>
      </c>
      <c r="C736" s="19" t="s">
        <v>358</v>
      </c>
      <c r="D736" s="20">
        <v>1</v>
      </c>
      <c r="E736" s="21">
        <v>1</v>
      </c>
      <c r="F736" s="20">
        <f t="shared" si="76"/>
        <v>1</v>
      </c>
      <c r="G736" s="69">
        <v>12507</v>
      </c>
      <c r="H736" s="20">
        <f t="shared" si="77"/>
        <v>12507</v>
      </c>
      <c r="I736" s="2"/>
      <c r="J736" s="17"/>
      <c r="K736" s="17"/>
      <c r="L736" s="17"/>
    </row>
    <row r="737" spans="1:12">
      <c r="A737" s="37"/>
      <c r="B737" s="36">
        <v>5</v>
      </c>
      <c r="C737" s="19" t="s">
        <v>222</v>
      </c>
      <c r="D737" s="20">
        <v>1.8</v>
      </c>
      <c r="E737" s="21">
        <v>1</v>
      </c>
      <c r="F737" s="20">
        <f t="shared" si="76"/>
        <v>1.8</v>
      </c>
      <c r="G737" s="69">
        <v>12507</v>
      </c>
      <c r="H737" s="20">
        <f t="shared" si="77"/>
        <v>22512.600000000002</v>
      </c>
      <c r="I737" s="2"/>
      <c r="J737" s="17"/>
      <c r="K737" s="17"/>
      <c r="L737" s="17"/>
    </row>
    <row r="738" spans="1:12">
      <c r="A738" s="37"/>
      <c r="B738" s="36">
        <v>6</v>
      </c>
      <c r="C738" s="19" t="s">
        <v>360</v>
      </c>
      <c r="D738" s="20">
        <v>0</v>
      </c>
      <c r="E738" s="21">
        <v>1</v>
      </c>
      <c r="F738" s="20">
        <f t="shared" si="76"/>
        <v>0</v>
      </c>
      <c r="G738" s="69">
        <v>31769</v>
      </c>
      <c r="H738" s="20">
        <f t="shared" si="77"/>
        <v>0</v>
      </c>
      <c r="I738" s="2"/>
      <c r="J738" s="17"/>
      <c r="K738" s="17"/>
      <c r="L738" s="17"/>
    </row>
    <row r="739" spans="1:12">
      <c r="A739" s="37"/>
      <c r="B739" s="36">
        <v>7</v>
      </c>
      <c r="C739" s="19"/>
      <c r="D739" s="20">
        <v>0</v>
      </c>
      <c r="E739" s="21">
        <v>1</v>
      </c>
      <c r="F739" s="20">
        <f t="shared" si="76"/>
        <v>0</v>
      </c>
      <c r="G739" s="21">
        <v>107</v>
      </c>
      <c r="H739" s="20">
        <f t="shared" si="77"/>
        <v>0</v>
      </c>
      <c r="I739" s="2"/>
      <c r="J739" s="17"/>
      <c r="K739" s="17"/>
      <c r="L739" s="17"/>
    </row>
    <row r="740" spans="1:12">
      <c r="A740" s="37"/>
      <c r="B740" s="36">
        <v>8</v>
      </c>
      <c r="C740" s="19"/>
      <c r="D740" s="20">
        <v>0</v>
      </c>
      <c r="E740" s="21">
        <v>1</v>
      </c>
      <c r="F740" s="20">
        <f t="shared" si="76"/>
        <v>0</v>
      </c>
      <c r="G740" s="21">
        <v>108</v>
      </c>
      <c r="H740" s="20">
        <f t="shared" si="77"/>
        <v>0</v>
      </c>
      <c r="I740" s="2"/>
      <c r="J740" s="17"/>
      <c r="K740" s="17"/>
      <c r="L740" s="17"/>
    </row>
    <row r="741" spans="1:12">
      <c r="A741" s="37"/>
      <c r="B741" s="36">
        <v>9</v>
      </c>
      <c r="C741" s="19"/>
      <c r="D741" s="20">
        <v>0</v>
      </c>
      <c r="E741" s="21">
        <v>1</v>
      </c>
      <c r="F741" s="20">
        <f>D741*E741</f>
        <v>0</v>
      </c>
      <c r="G741" s="21">
        <v>102</v>
      </c>
      <c r="H741" s="20">
        <f>F741*G741</f>
        <v>0</v>
      </c>
      <c r="I741" s="2"/>
      <c r="J741" s="17"/>
      <c r="K741" s="17"/>
      <c r="L741" s="17"/>
    </row>
    <row r="742" spans="1:12">
      <c r="A742" s="37"/>
      <c r="B742" s="36"/>
      <c r="C742" s="14" t="s">
        <v>532</v>
      </c>
      <c r="D742" s="20"/>
      <c r="F742" s="20"/>
      <c r="H742" s="25">
        <f>SUM(H733:H741)</f>
        <v>72540.600000000006</v>
      </c>
      <c r="I742" s="2"/>
      <c r="J742" s="17"/>
      <c r="K742" s="17"/>
      <c r="L742" s="17"/>
    </row>
    <row r="743" spans="1:12">
      <c r="A743" s="37"/>
      <c r="B743" s="36"/>
      <c r="C743" s="14"/>
      <c r="D743" s="20"/>
      <c r="F743" s="20"/>
      <c r="H743" s="25"/>
      <c r="I743" s="2"/>
      <c r="J743" s="17"/>
      <c r="K743" s="17"/>
      <c r="L743" s="17"/>
    </row>
    <row r="744" spans="1:12">
      <c r="A744" s="37"/>
      <c r="B744" s="38"/>
      <c r="C744" s="14" t="s">
        <v>533</v>
      </c>
      <c r="D744" s="20"/>
      <c r="F744" s="20"/>
      <c r="H744" s="20"/>
      <c r="I744" s="2"/>
      <c r="J744" s="17"/>
      <c r="K744" s="17"/>
      <c r="L744" s="17"/>
    </row>
    <row r="745" spans="1:12">
      <c r="A745" s="37"/>
      <c r="B745" s="36">
        <v>1</v>
      </c>
      <c r="C745" s="19" t="s">
        <v>361</v>
      </c>
      <c r="D745" s="20">
        <v>1</v>
      </c>
      <c r="E745" s="21">
        <v>1</v>
      </c>
      <c r="F745" s="20">
        <f>D745*E745</f>
        <v>1</v>
      </c>
      <c r="G745" s="21">
        <f>K47</f>
        <v>576900</v>
      </c>
      <c r="H745" s="20">
        <f>F745*G745</f>
        <v>576900</v>
      </c>
      <c r="I745" s="2"/>
      <c r="J745" s="17"/>
      <c r="K745" s="17"/>
      <c r="L745" s="17"/>
    </row>
    <row r="746" spans="1:12">
      <c r="A746" s="37"/>
      <c r="B746" s="36">
        <v>2</v>
      </c>
      <c r="C746" s="19" t="s">
        <v>534</v>
      </c>
      <c r="D746" s="20">
        <v>1</v>
      </c>
      <c r="E746" s="21">
        <v>0.8</v>
      </c>
      <c r="F746" s="20">
        <f t="shared" ref="F746:F751" si="78">D746*E746</f>
        <v>0.8</v>
      </c>
      <c r="G746" s="21">
        <v>212500</v>
      </c>
      <c r="H746" s="20">
        <f t="shared" ref="H746:H751" si="79">F746*G746</f>
        <v>170000</v>
      </c>
      <c r="I746" s="2"/>
      <c r="J746" s="17"/>
      <c r="K746" s="17"/>
      <c r="L746" s="17"/>
    </row>
    <row r="747" spans="1:12">
      <c r="A747" s="37"/>
      <c r="B747" s="36">
        <v>3</v>
      </c>
      <c r="C747" s="19" t="s">
        <v>76</v>
      </c>
      <c r="D747" s="20">
        <v>1</v>
      </c>
      <c r="E747" s="21">
        <v>1</v>
      </c>
      <c r="F747" s="20">
        <f t="shared" si="78"/>
        <v>1</v>
      </c>
      <c r="G747" s="21">
        <v>30770</v>
      </c>
      <c r="H747" s="20">
        <f t="shared" si="79"/>
        <v>30770</v>
      </c>
      <c r="I747" s="2"/>
      <c r="J747" s="17"/>
      <c r="K747" s="17"/>
      <c r="L747" s="17"/>
    </row>
    <row r="748" spans="1:12">
      <c r="A748" s="37"/>
      <c r="B748" s="36">
        <v>4</v>
      </c>
      <c r="C748" s="19" t="s">
        <v>364</v>
      </c>
      <c r="D748" s="20">
        <v>1</v>
      </c>
      <c r="E748" s="21">
        <v>1</v>
      </c>
      <c r="F748" s="20">
        <f t="shared" si="78"/>
        <v>1</v>
      </c>
      <c r="G748" s="21">
        <v>30770</v>
      </c>
      <c r="H748" s="20">
        <f t="shared" si="79"/>
        <v>30770</v>
      </c>
      <c r="I748" s="2"/>
      <c r="J748" s="17"/>
      <c r="K748" s="17"/>
      <c r="L748" s="17"/>
    </row>
    <row r="749" spans="1:12">
      <c r="A749" s="37"/>
      <c r="B749" s="36">
        <v>5</v>
      </c>
      <c r="C749" s="19" t="s">
        <v>362</v>
      </c>
      <c r="D749" s="20">
        <v>1</v>
      </c>
      <c r="E749" s="21">
        <v>1</v>
      </c>
      <c r="F749" s="20">
        <f t="shared" si="78"/>
        <v>1</v>
      </c>
      <c r="G749" s="21">
        <v>30770</v>
      </c>
      <c r="H749" s="20">
        <f t="shared" si="79"/>
        <v>30770</v>
      </c>
      <c r="I749" s="2"/>
      <c r="J749" s="17"/>
      <c r="K749" s="17"/>
      <c r="L749" s="17"/>
    </row>
    <row r="750" spans="1:12">
      <c r="A750" s="37"/>
      <c r="B750" s="36">
        <v>6</v>
      </c>
      <c r="C750" s="19" t="s">
        <v>510</v>
      </c>
      <c r="D750" s="20">
        <v>1</v>
      </c>
      <c r="E750" s="21">
        <v>1</v>
      </c>
      <c r="F750" s="20">
        <f t="shared" si="78"/>
        <v>1</v>
      </c>
      <c r="G750" s="21">
        <v>30770</v>
      </c>
      <c r="H750" s="20">
        <f t="shared" si="79"/>
        <v>30770</v>
      </c>
      <c r="I750" s="2"/>
      <c r="J750" s="17"/>
      <c r="K750" s="17"/>
      <c r="L750" s="17"/>
    </row>
    <row r="751" spans="1:12">
      <c r="A751" s="37"/>
      <c r="B751" s="36">
        <v>7</v>
      </c>
      <c r="C751" s="19"/>
      <c r="D751" s="20">
        <v>0</v>
      </c>
      <c r="E751" s="21">
        <v>1</v>
      </c>
      <c r="F751" s="20">
        <f t="shared" si="78"/>
        <v>0</v>
      </c>
      <c r="G751" s="21">
        <v>109</v>
      </c>
      <c r="H751" s="20">
        <f t="shared" si="79"/>
        <v>0</v>
      </c>
      <c r="I751" s="2"/>
      <c r="J751" s="17"/>
      <c r="K751" s="17"/>
      <c r="L751" s="17"/>
    </row>
    <row r="752" spans="1:12">
      <c r="A752" s="37"/>
      <c r="B752" s="36">
        <v>8</v>
      </c>
      <c r="C752" s="19"/>
      <c r="D752" s="20">
        <v>0</v>
      </c>
      <c r="E752" s="21">
        <v>1</v>
      </c>
      <c r="F752" s="20">
        <f>D752*E752</f>
        <v>0</v>
      </c>
      <c r="G752" s="21">
        <v>102</v>
      </c>
      <c r="H752" s="20">
        <f>F752*G752</f>
        <v>0</v>
      </c>
      <c r="I752" s="2"/>
      <c r="J752" s="17"/>
      <c r="K752" s="17"/>
      <c r="L752" s="17"/>
    </row>
    <row r="753" spans="1:12">
      <c r="A753" s="37"/>
      <c r="B753" s="36"/>
      <c r="C753" s="14" t="s">
        <v>535</v>
      </c>
      <c r="D753" s="20"/>
      <c r="F753" s="20"/>
      <c r="H753" s="25">
        <f>SUM(H745:H752)</f>
        <v>869980</v>
      </c>
      <c r="I753" s="2"/>
      <c r="J753" s="17"/>
      <c r="K753" s="17"/>
      <c r="L753" s="17"/>
    </row>
    <row r="754" spans="1:12">
      <c r="A754" s="37"/>
      <c r="B754" s="36"/>
      <c r="C754" s="14"/>
      <c r="D754" s="20"/>
      <c r="F754" s="20"/>
      <c r="H754" s="25"/>
      <c r="I754" s="2"/>
      <c r="J754" s="17"/>
      <c r="K754" s="17"/>
      <c r="L754" s="17"/>
    </row>
    <row r="755" spans="1:12">
      <c r="A755" s="37"/>
      <c r="B755" s="38"/>
      <c r="C755" s="14" t="s">
        <v>536</v>
      </c>
      <c r="D755" s="20"/>
      <c r="F755" s="20"/>
      <c r="H755" s="25">
        <f>H676+H685+H694+H704+H720+H730+H742+H753</f>
        <v>1113310.1184615386</v>
      </c>
      <c r="I755" s="2"/>
      <c r="J755" s="17"/>
      <c r="K755" s="17"/>
      <c r="L755" s="17"/>
    </row>
    <row r="756" spans="1:12">
      <c r="A756" s="37"/>
      <c r="B756" s="38"/>
      <c r="C756" s="14"/>
      <c r="D756" s="20"/>
      <c r="F756" s="20"/>
      <c r="H756" s="20"/>
      <c r="I756" s="2"/>
      <c r="J756" s="17"/>
      <c r="K756" s="17"/>
      <c r="L756" s="17"/>
    </row>
    <row r="757" spans="1:12" s="2" customFormat="1">
      <c r="A757" s="32"/>
      <c r="B757" s="33"/>
      <c r="C757" s="14"/>
      <c r="D757" s="20"/>
      <c r="E757" s="21"/>
      <c r="F757" s="20"/>
      <c r="G757" s="21"/>
      <c r="H757" s="20"/>
      <c r="J757" s="17"/>
      <c r="K757" s="17"/>
      <c r="L757" s="17"/>
    </row>
    <row r="758" spans="1:12" ht="17.5" customHeight="1">
      <c r="A758" s="183" t="s">
        <v>537</v>
      </c>
      <c r="B758" s="42" t="s">
        <v>538</v>
      </c>
      <c r="C758" s="14" t="s">
        <v>539</v>
      </c>
      <c r="D758" s="20"/>
      <c r="F758" s="20"/>
      <c r="H758" s="20"/>
      <c r="I758" s="2"/>
      <c r="J758" s="17"/>
      <c r="K758" s="17"/>
      <c r="L758" s="17"/>
    </row>
    <row r="759" spans="1:12" ht="17.5" customHeight="1">
      <c r="A759" s="183"/>
      <c r="B759" s="43">
        <v>1</v>
      </c>
      <c r="C759" s="19"/>
      <c r="D759" s="20">
        <v>0</v>
      </c>
      <c r="E759" s="21">
        <v>1</v>
      </c>
      <c r="F759" s="20">
        <f>D759*E759</f>
        <v>0</v>
      </c>
      <c r="G759" s="21">
        <v>101</v>
      </c>
      <c r="H759" s="20">
        <f>F759*G759</f>
        <v>0</v>
      </c>
      <c r="I759" s="2"/>
      <c r="J759" s="17"/>
      <c r="K759" s="17"/>
      <c r="L759" s="17"/>
    </row>
    <row r="760" spans="1:12">
      <c r="A760" s="44"/>
      <c r="B760" s="43">
        <v>2</v>
      </c>
      <c r="C760" s="19"/>
      <c r="D760" s="20">
        <v>0</v>
      </c>
      <c r="E760" s="21">
        <v>1</v>
      </c>
      <c r="F760" s="20">
        <f>D760*E760</f>
        <v>0</v>
      </c>
      <c r="G760" s="21">
        <v>102</v>
      </c>
      <c r="H760" s="20">
        <f>F760*G760</f>
        <v>0</v>
      </c>
      <c r="I760" s="2"/>
      <c r="J760" s="17"/>
      <c r="K760" s="17"/>
      <c r="L760" s="17"/>
    </row>
    <row r="761" spans="1:12">
      <c r="A761" s="44"/>
      <c r="B761" s="43"/>
      <c r="C761" s="14" t="s">
        <v>540</v>
      </c>
      <c r="D761" s="20"/>
      <c r="F761" s="20"/>
      <c r="H761" s="25">
        <f>SUM(H759:H760)</f>
        <v>0</v>
      </c>
      <c r="I761" s="2"/>
      <c r="J761" s="17"/>
      <c r="K761" s="17"/>
      <c r="L761" s="17"/>
    </row>
    <row r="762" spans="1:12">
      <c r="A762" s="44"/>
      <c r="B762" s="42"/>
      <c r="C762" s="14"/>
      <c r="D762" s="20"/>
      <c r="F762" s="20"/>
      <c r="H762" s="20"/>
      <c r="I762" s="2"/>
      <c r="J762" s="17"/>
      <c r="K762" s="17"/>
      <c r="L762" s="17"/>
    </row>
    <row r="763" spans="1:12">
      <c r="A763" s="45"/>
      <c r="B763" s="46"/>
      <c r="C763" s="14" t="s">
        <v>541</v>
      </c>
      <c r="D763" s="20"/>
      <c r="F763" s="20"/>
      <c r="H763" s="20"/>
      <c r="I763" s="2"/>
      <c r="J763" s="17"/>
      <c r="K763" s="17"/>
      <c r="L763" s="17"/>
    </row>
    <row r="764" spans="1:12">
      <c r="A764" s="45"/>
      <c r="B764" s="43">
        <v>1</v>
      </c>
      <c r="C764" s="19"/>
      <c r="D764" s="20">
        <v>0</v>
      </c>
      <c r="E764" s="21">
        <v>1</v>
      </c>
      <c r="F764" s="20">
        <f>D764*E764</f>
        <v>0</v>
      </c>
      <c r="G764" s="21">
        <v>101</v>
      </c>
      <c r="H764" s="20">
        <f>F764*G764</f>
        <v>0</v>
      </c>
      <c r="I764" s="2"/>
      <c r="J764" s="17"/>
      <c r="K764" s="17"/>
      <c r="L764" s="17"/>
    </row>
    <row r="765" spans="1:12">
      <c r="A765" s="45"/>
      <c r="B765" s="43">
        <v>2</v>
      </c>
      <c r="C765" s="19"/>
      <c r="D765" s="20">
        <v>0</v>
      </c>
      <c r="E765" s="21">
        <v>1</v>
      </c>
      <c r="F765" s="20">
        <f>D765*E765</f>
        <v>0</v>
      </c>
      <c r="G765" s="21">
        <v>102</v>
      </c>
      <c r="H765" s="20">
        <f>F765*G765</f>
        <v>0</v>
      </c>
      <c r="I765" s="2"/>
      <c r="J765" s="17"/>
      <c r="K765" s="17"/>
      <c r="L765" s="17"/>
    </row>
    <row r="766" spans="1:12">
      <c r="A766" s="45"/>
      <c r="B766" s="43"/>
      <c r="C766" s="14" t="s">
        <v>542</v>
      </c>
      <c r="D766" s="20"/>
      <c r="F766" s="20"/>
      <c r="H766" s="25">
        <f>SUM(H764:H765)</f>
        <v>0</v>
      </c>
      <c r="I766" s="2"/>
      <c r="J766" s="17"/>
      <c r="K766" s="17"/>
      <c r="L766" s="17"/>
    </row>
    <row r="767" spans="1:12">
      <c r="A767" s="45"/>
      <c r="B767" s="46"/>
      <c r="C767" s="14"/>
      <c r="D767" s="20"/>
      <c r="F767" s="20"/>
      <c r="H767" s="20"/>
      <c r="I767" s="2"/>
      <c r="J767" s="17"/>
      <c r="K767" s="17"/>
      <c r="L767" s="17"/>
    </row>
    <row r="768" spans="1:12">
      <c r="A768" s="45"/>
      <c r="B768" s="46"/>
      <c r="C768" s="14" t="s">
        <v>543</v>
      </c>
      <c r="D768" s="20"/>
      <c r="F768" s="20"/>
      <c r="H768" s="20"/>
      <c r="I768" s="2"/>
      <c r="J768" s="17"/>
      <c r="K768" s="17"/>
      <c r="L768" s="17"/>
    </row>
    <row r="769" spans="1:12">
      <c r="A769" s="45"/>
      <c r="B769" s="43">
        <v>1</v>
      </c>
      <c r="C769" s="19"/>
      <c r="D769" s="20">
        <v>0</v>
      </c>
      <c r="E769" s="21">
        <v>1</v>
      </c>
      <c r="F769" s="20">
        <f>D769*E769</f>
        <v>0</v>
      </c>
      <c r="G769" s="21">
        <v>101</v>
      </c>
      <c r="H769" s="20">
        <f>F769*G769</f>
        <v>0</v>
      </c>
      <c r="I769" s="2"/>
      <c r="J769" s="17"/>
      <c r="K769" s="17"/>
      <c r="L769" s="17"/>
    </row>
    <row r="770" spans="1:12">
      <c r="A770" s="45"/>
      <c r="B770" s="43">
        <v>2</v>
      </c>
      <c r="C770" s="19"/>
      <c r="D770" s="20">
        <v>0</v>
      </c>
      <c r="E770" s="21">
        <v>1</v>
      </c>
      <c r="F770" s="20">
        <f>D770*E770</f>
        <v>0</v>
      </c>
      <c r="G770" s="21">
        <v>102</v>
      </c>
      <c r="H770" s="20">
        <f>F770*G770</f>
        <v>0</v>
      </c>
      <c r="I770" s="2"/>
      <c r="J770" s="17"/>
      <c r="K770" s="17"/>
      <c r="L770" s="17"/>
    </row>
    <row r="771" spans="1:12">
      <c r="A771" s="45"/>
      <c r="B771" s="43"/>
      <c r="C771" s="14" t="s">
        <v>544</v>
      </c>
      <c r="D771" s="20"/>
      <c r="F771" s="20"/>
      <c r="H771" s="25">
        <f>SUM(H769:H770)</f>
        <v>0</v>
      </c>
      <c r="I771" s="2"/>
      <c r="J771" s="17"/>
      <c r="K771" s="17"/>
      <c r="L771" s="17"/>
    </row>
    <row r="772" spans="1:12">
      <c r="A772" s="45"/>
      <c r="B772" s="46"/>
      <c r="C772" s="14"/>
      <c r="D772" s="20"/>
      <c r="F772" s="20"/>
      <c r="H772" s="20"/>
      <c r="I772" s="2"/>
      <c r="J772" s="17"/>
      <c r="K772" s="17"/>
      <c r="L772" s="17"/>
    </row>
    <row r="773" spans="1:12">
      <c r="A773" s="45"/>
      <c r="B773" s="46"/>
      <c r="C773" s="14" t="s">
        <v>545</v>
      </c>
      <c r="D773" s="20"/>
      <c r="F773" s="20"/>
      <c r="H773" s="20"/>
      <c r="I773" s="2"/>
      <c r="J773" s="17"/>
      <c r="K773" s="17"/>
      <c r="L773" s="17"/>
    </row>
    <row r="774" spans="1:12">
      <c r="A774" s="45"/>
      <c r="B774" s="43">
        <v>1</v>
      </c>
      <c r="C774" s="19"/>
      <c r="D774" s="20">
        <v>0</v>
      </c>
      <c r="E774" s="21">
        <v>1</v>
      </c>
      <c r="F774" s="20">
        <f>D774*E774</f>
        <v>0</v>
      </c>
      <c r="G774" s="21">
        <v>101</v>
      </c>
      <c r="H774" s="20">
        <f>F774*G774</f>
        <v>0</v>
      </c>
      <c r="I774" s="2"/>
      <c r="J774" s="17"/>
      <c r="K774" s="17"/>
      <c r="L774" s="17"/>
    </row>
    <row r="775" spans="1:12">
      <c r="A775" s="45"/>
      <c r="B775" s="43">
        <v>2</v>
      </c>
      <c r="C775" s="19"/>
      <c r="D775" s="20">
        <v>0</v>
      </c>
      <c r="E775" s="21">
        <v>1</v>
      </c>
      <c r="F775" s="20">
        <f>D775*E775</f>
        <v>0</v>
      </c>
      <c r="G775" s="21">
        <v>102</v>
      </c>
      <c r="H775" s="20">
        <f>F775*G775</f>
        <v>0</v>
      </c>
      <c r="I775" s="2"/>
      <c r="J775" s="17"/>
      <c r="K775" s="17"/>
      <c r="L775" s="17"/>
    </row>
    <row r="776" spans="1:12">
      <c r="A776" s="45"/>
      <c r="B776" s="43"/>
      <c r="C776" s="14" t="s">
        <v>546</v>
      </c>
      <c r="D776" s="20"/>
      <c r="F776" s="20"/>
      <c r="H776" s="25">
        <f>SUM(H774:H775)</f>
        <v>0</v>
      </c>
      <c r="I776" s="2"/>
      <c r="J776" s="17"/>
      <c r="K776" s="17"/>
      <c r="L776" s="17"/>
    </row>
    <row r="777" spans="1:12">
      <c r="A777" s="45"/>
      <c r="B777" s="46"/>
      <c r="C777" s="14"/>
      <c r="D777" s="20"/>
      <c r="F777" s="20"/>
      <c r="H777" s="20"/>
      <c r="I777" s="2"/>
      <c r="J777" s="17"/>
      <c r="K777" s="17"/>
      <c r="L777" s="17"/>
    </row>
    <row r="778" spans="1:12">
      <c r="A778" s="45"/>
      <c r="B778" s="46"/>
      <c r="C778" s="14" t="s">
        <v>547</v>
      </c>
      <c r="D778" s="20"/>
      <c r="F778" s="20"/>
      <c r="H778" s="20"/>
      <c r="I778" s="2"/>
      <c r="J778" s="17"/>
      <c r="K778" s="17"/>
      <c r="L778" s="17"/>
    </row>
    <row r="779" spans="1:12">
      <c r="A779" s="45"/>
      <c r="B779" s="43">
        <v>1</v>
      </c>
      <c r="C779" s="19"/>
      <c r="D779" s="20">
        <v>0</v>
      </c>
      <c r="E779" s="21">
        <v>1</v>
      </c>
      <c r="F779" s="20">
        <f>D779*E779</f>
        <v>0</v>
      </c>
      <c r="G779" s="21">
        <v>101</v>
      </c>
      <c r="H779" s="20">
        <f>F779*G779</f>
        <v>0</v>
      </c>
      <c r="I779" s="2"/>
      <c r="J779" s="17"/>
      <c r="K779" s="17"/>
      <c r="L779" s="17"/>
    </row>
    <row r="780" spans="1:12">
      <c r="A780" s="45"/>
      <c r="B780" s="43">
        <v>2</v>
      </c>
      <c r="C780" s="19"/>
      <c r="D780" s="20">
        <v>0</v>
      </c>
      <c r="E780" s="21">
        <v>1</v>
      </c>
      <c r="F780" s="20">
        <f>D780*E780</f>
        <v>0</v>
      </c>
      <c r="G780" s="21">
        <v>102</v>
      </c>
      <c r="H780" s="20">
        <f>F780*G780</f>
        <v>0</v>
      </c>
      <c r="I780" s="2"/>
      <c r="J780" s="17"/>
      <c r="K780" s="17"/>
      <c r="L780" s="17"/>
    </row>
    <row r="781" spans="1:12">
      <c r="A781" s="45"/>
      <c r="B781" s="43"/>
      <c r="C781" s="14" t="s">
        <v>548</v>
      </c>
      <c r="D781" s="20"/>
      <c r="F781" s="20"/>
      <c r="H781" s="25">
        <f>SUM(H779:H780)</f>
        <v>0</v>
      </c>
      <c r="I781" s="2"/>
      <c r="J781" s="17"/>
      <c r="K781" s="17"/>
      <c r="L781" s="17"/>
    </row>
    <row r="782" spans="1:12">
      <c r="A782" s="45"/>
      <c r="B782" s="46"/>
      <c r="C782" s="14"/>
      <c r="D782" s="20"/>
      <c r="F782" s="20"/>
      <c r="H782" s="20"/>
      <c r="I782" s="2"/>
      <c r="J782" s="17"/>
      <c r="K782" s="17"/>
      <c r="L782" s="17"/>
    </row>
    <row r="783" spans="1:12">
      <c r="A783" s="45"/>
      <c r="B783" s="46"/>
      <c r="C783" s="14" t="s">
        <v>549</v>
      </c>
      <c r="D783" s="20"/>
      <c r="F783" s="20"/>
      <c r="H783" s="20"/>
      <c r="I783" s="2"/>
      <c r="J783" s="17"/>
      <c r="K783" s="17"/>
      <c r="L783" s="17"/>
    </row>
    <row r="784" spans="1:12">
      <c r="A784" s="45"/>
      <c r="B784" s="43">
        <v>1</v>
      </c>
      <c r="C784" s="19"/>
      <c r="D784" s="20">
        <v>0</v>
      </c>
      <c r="E784" s="21">
        <v>1</v>
      </c>
      <c r="F784" s="20">
        <f>D784*E784</f>
        <v>0</v>
      </c>
      <c r="G784" s="21">
        <v>101</v>
      </c>
      <c r="H784" s="20">
        <f>F784*G784</f>
        <v>0</v>
      </c>
      <c r="I784" s="2"/>
      <c r="J784" s="17"/>
      <c r="K784" s="17"/>
      <c r="L784" s="17"/>
    </row>
    <row r="785" spans="1:12">
      <c r="A785" s="45"/>
      <c r="B785" s="43">
        <v>2</v>
      </c>
      <c r="C785" s="19"/>
      <c r="D785" s="20">
        <v>0</v>
      </c>
      <c r="E785" s="21">
        <v>1</v>
      </c>
      <c r="F785" s="20">
        <f>D785*E785</f>
        <v>0</v>
      </c>
      <c r="G785" s="21">
        <v>102</v>
      </c>
      <c r="H785" s="20">
        <f>F785*G785</f>
        <v>0</v>
      </c>
      <c r="I785" s="2"/>
      <c r="J785" s="17"/>
      <c r="K785" s="17"/>
      <c r="L785" s="17"/>
    </row>
    <row r="786" spans="1:12">
      <c r="A786" s="45"/>
      <c r="B786" s="43"/>
      <c r="C786" s="14" t="s">
        <v>550</v>
      </c>
      <c r="D786" s="20"/>
      <c r="F786" s="20"/>
      <c r="H786" s="25">
        <f>SUM(H784:H785)</f>
        <v>0</v>
      </c>
      <c r="I786" s="2"/>
      <c r="J786" s="17"/>
      <c r="K786" s="17"/>
      <c r="L786" s="17"/>
    </row>
    <row r="787" spans="1:12">
      <c r="A787" s="45"/>
      <c r="B787" s="46"/>
      <c r="C787" s="14"/>
      <c r="D787" s="20"/>
      <c r="F787" s="20"/>
      <c r="H787" s="20"/>
      <c r="I787" s="2"/>
      <c r="J787" s="17"/>
      <c r="K787" s="17"/>
      <c r="L787" s="17"/>
    </row>
    <row r="788" spans="1:12">
      <c r="A788" s="45"/>
      <c r="B788" s="46"/>
      <c r="C788" s="14" t="s">
        <v>551</v>
      </c>
      <c r="D788" s="20"/>
      <c r="F788" s="20"/>
      <c r="H788" s="20"/>
      <c r="I788" s="2"/>
      <c r="J788" s="17"/>
      <c r="K788" s="17"/>
      <c r="L788" s="17"/>
    </row>
    <row r="789" spans="1:12">
      <c r="A789" s="45"/>
      <c r="B789" s="43">
        <v>1</v>
      </c>
      <c r="C789" s="19"/>
      <c r="D789" s="20">
        <v>0</v>
      </c>
      <c r="E789" s="21">
        <v>1</v>
      </c>
      <c r="F789" s="20">
        <f>D789*E789</f>
        <v>0</v>
      </c>
      <c r="G789" s="21">
        <v>101</v>
      </c>
      <c r="H789" s="20">
        <f>F789*G789</f>
        <v>0</v>
      </c>
      <c r="I789" s="2"/>
      <c r="J789" s="17"/>
      <c r="K789" s="17"/>
      <c r="L789" s="17"/>
    </row>
    <row r="790" spans="1:12">
      <c r="A790" s="45"/>
      <c r="B790" s="43">
        <v>2</v>
      </c>
      <c r="C790" s="19"/>
      <c r="D790" s="20">
        <v>0</v>
      </c>
      <c r="E790" s="21">
        <v>1</v>
      </c>
      <c r="F790" s="20">
        <f>D790*E790</f>
        <v>0</v>
      </c>
      <c r="G790" s="21">
        <v>102</v>
      </c>
      <c r="H790" s="20">
        <f>F790*G790</f>
        <v>0</v>
      </c>
      <c r="I790" s="2"/>
      <c r="J790" s="17"/>
      <c r="K790" s="17"/>
      <c r="L790" s="17"/>
    </row>
    <row r="791" spans="1:12">
      <c r="A791" s="45"/>
      <c r="B791" s="43"/>
      <c r="C791" s="14" t="s">
        <v>552</v>
      </c>
      <c r="D791" s="20"/>
      <c r="F791" s="20"/>
      <c r="H791" s="25">
        <f>SUM(H789:H790)</f>
        <v>0</v>
      </c>
      <c r="I791" s="2"/>
      <c r="J791" s="17"/>
      <c r="K791" s="17"/>
      <c r="L791" s="17"/>
    </row>
    <row r="792" spans="1:12">
      <c r="A792" s="45"/>
      <c r="B792" s="43"/>
      <c r="C792" s="14"/>
      <c r="D792" s="20"/>
      <c r="F792" s="20"/>
      <c r="H792" s="25"/>
      <c r="I792" s="2"/>
      <c r="J792" s="17"/>
      <c r="K792" s="17"/>
      <c r="L792" s="17"/>
    </row>
    <row r="793" spans="1:12">
      <c r="A793" s="45"/>
      <c r="B793" s="46"/>
      <c r="C793" s="14" t="s">
        <v>553</v>
      </c>
      <c r="D793" s="20"/>
      <c r="F793" s="20"/>
      <c r="H793" s="20"/>
      <c r="I793" s="2"/>
      <c r="J793" s="17"/>
      <c r="K793" s="17"/>
      <c r="L793" s="17"/>
    </row>
    <row r="794" spans="1:12">
      <c r="A794" s="45"/>
      <c r="B794" s="43">
        <v>1</v>
      </c>
      <c r="C794" s="19" t="s">
        <v>76</v>
      </c>
      <c r="D794" s="20">
        <v>23</v>
      </c>
      <c r="E794" s="21">
        <v>1</v>
      </c>
      <c r="F794" s="20">
        <f>D794*E794</f>
        <v>23</v>
      </c>
      <c r="G794" s="21">
        <v>23079</v>
      </c>
      <c r="H794" s="20">
        <f>F794*G794</f>
        <v>530817</v>
      </c>
      <c r="I794" s="2"/>
      <c r="J794" s="17"/>
      <c r="K794" s="17"/>
      <c r="L794" s="17"/>
    </row>
    <row r="795" spans="1:12">
      <c r="A795" s="45"/>
      <c r="B795" s="43">
        <v>2</v>
      </c>
      <c r="C795" s="19" t="s">
        <v>77</v>
      </c>
      <c r="D795" s="20">
        <v>23</v>
      </c>
      <c r="E795" s="21">
        <v>1</v>
      </c>
      <c r="F795" s="20">
        <f>D795*E795</f>
        <v>23</v>
      </c>
      <c r="G795" s="21">
        <v>23079</v>
      </c>
      <c r="H795" s="20">
        <f>F795*G795</f>
        <v>530817</v>
      </c>
      <c r="I795" s="2"/>
      <c r="J795" s="17"/>
      <c r="K795" s="17"/>
      <c r="L795" s="17"/>
    </row>
    <row r="796" spans="1:12">
      <c r="A796" s="45"/>
      <c r="B796" s="43">
        <v>3</v>
      </c>
      <c r="C796" s="19"/>
      <c r="D796" s="20">
        <v>0</v>
      </c>
      <c r="E796" s="21">
        <v>1</v>
      </c>
      <c r="F796" s="20">
        <f t="shared" ref="F796:F802" si="80">D796*E796</f>
        <v>0</v>
      </c>
      <c r="G796" s="21">
        <v>0</v>
      </c>
      <c r="H796" s="20">
        <f t="shared" ref="H796:H802" si="81">F796*G796</f>
        <v>0</v>
      </c>
      <c r="I796" s="2"/>
      <c r="J796" s="17"/>
      <c r="K796" s="17"/>
      <c r="L796" s="17"/>
    </row>
    <row r="797" spans="1:12">
      <c r="A797" s="45"/>
      <c r="B797" s="43">
        <v>4</v>
      </c>
      <c r="C797" s="19"/>
      <c r="D797" s="20">
        <v>0</v>
      </c>
      <c r="E797" s="21">
        <v>1</v>
      </c>
      <c r="F797" s="20">
        <f t="shared" si="80"/>
        <v>0</v>
      </c>
      <c r="G797" s="21">
        <v>0</v>
      </c>
      <c r="H797" s="20">
        <f t="shared" si="81"/>
        <v>0</v>
      </c>
      <c r="I797" s="2"/>
      <c r="J797" s="17"/>
      <c r="K797" s="17"/>
      <c r="L797" s="17"/>
    </row>
    <row r="798" spans="1:12">
      <c r="A798" s="45"/>
      <c r="B798" s="43">
        <v>5</v>
      </c>
      <c r="C798" s="19"/>
      <c r="D798" s="20">
        <v>0</v>
      </c>
      <c r="E798" s="21">
        <v>1</v>
      </c>
      <c r="F798" s="20">
        <f t="shared" si="80"/>
        <v>0</v>
      </c>
      <c r="G798" s="21">
        <v>0</v>
      </c>
      <c r="H798" s="20">
        <f t="shared" si="81"/>
        <v>0</v>
      </c>
      <c r="I798" s="2"/>
      <c r="J798" s="17"/>
      <c r="K798" s="17"/>
      <c r="L798" s="17"/>
    </row>
    <row r="799" spans="1:12">
      <c r="A799" s="45"/>
      <c r="B799" s="43">
        <v>6</v>
      </c>
      <c r="C799" s="19"/>
      <c r="D799" s="20">
        <v>0</v>
      </c>
      <c r="E799" s="21">
        <v>1</v>
      </c>
      <c r="F799" s="20">
        <f t="shared" si="80"/>
        <v>0</v>
      </c>
      <c r="G799" s="21">
        <v>0</v>
      </c>
      <c r="H799" s="20">
        <f t="shared" si="81"/>
        <v>0</v>
      </c>
      <c r="I799" s="2"/>
      <c r="J799" s="17"/>
      <c r="K799" s="17"/>
      <c r="L799" s="17"/>
    </row>
    <row r="800" spans="1:12">
      <c r="A800" s="45"/>
      <c r="B800" s="43">
        <v>7</v>
      </c>
      <c r="C800" s="19"/>
      <c r="D800" s="20">
        <v>0</v>
      </c>
      <c r="E800" s="21">
        <v>1</v>
      </c>
      <c r="F800" s="20">
        <f t="shared" si="80"/>
        <v>0</v>
      </c>
      <c r="G800" s="21">
        <v>0</v>
      </c>
      <c r="H800" s="20">
        <f t="shared" si="81"/>
        <v>0</v>
      </c>
      <c r="I800" s="2"/>
      <c r="J800" s="17"/>
      <c r="K800" s="17"/>
      <c r="L800" s="17"/>
    </row>
    <row r="801" spans="1:12">
      <c r="A801" s="45"/>
      <c r="B801" s="43">
        <v>8</v>
      </c>
      <c r="C801" s="19"/>
      <c r="D801" s="20">
        <v>0</v>
      </c>
      <c r="E801" s="21">
        <v>1</v>
      </c>
      <c r="F801" s="20">
        <f t="shared" si="80"/>
        <v>0</v>
      </c>
      <c r="G801" s="21">
        <v>0</v>
      </c>
      <c r="H801" s="20">
        <f t="shared" si="81"/>
        <v>0</v>
      </c>
      <c r="I801" s="2"/>
      <c r="J801" s="17"/>
      <c r="K801" s="17"/>
      <c r="L801" s="17"/>
    </row>
    <row r="802" spans="1:12">
      <c r="A802" s="45"/>
      <c r="B802" s="43">
        <v>9</v>
      </c>
      <c r="C802" s="19"/>
      <c r="D802" s="20">
        <v>0</v>
      </c>
      <c r="E802" s="21">
        <v>1</v>
      </c>
      <c r="F802" s="20">
        <f t="shared" si="80"/>
        <v>0</v>
      </c>
      <c r="G802" s="21">
        <v>0</v>
      </c>
      <c r="H802" s="20">
        <f t="shared" si="81"/>
        <v>0</v>
      </c>
      <c r="I802" s="2"/>
      <c r="J802" s="17"/>
      <c r="K802" s="17"/>
      <c r="L802" s="17"/>
    </row>
    <row r="803" spans="1:12">
      <c r="A803" s="45"/>
      <c r="B803" s="43"/>
      <c r="C803" s="14" t="s">
        <v>554</v>
      </c>
      <c r="D803" s="20"/>
      <c r="F803" s="20"/>
      <c r="H803" s="25">
        <f>SUM(H794:H802)</f>
        <v>1061634</v>
      </c>
      <c r="I803" s="2"/>
      <c r="J803" s="17"/>
      <c r="K803" s="17"/>
      <c r="L803" s="17"/>
    </row>
    <row r="804" spans="1:12">
      <c r="A804" s="45"/>
      <c r="B804" s="43"/>
      <c r="C804" s="14"/>
      <c r="D804" s="20"/>
      <c r="F804" s="20"/>
      <c r="H804" s="25"/>
      <c r="I804" s="2"/>
      <c r="J804" s="17"/>
      <c r="K804" s="17"/>
      <c r="L804" s="17"/>
    </row>
    <row r="805" spans="1:12">
      <c r="A805" s="45"/>
      <c r="B805" s="46"/>
      <c r="C805" s="14" t="s">
        <v>555</v>
      </c>
      <c r="D805" s="20"/>
      <c r="F805" s="20"/>
      <c r="H805" s="25">
        <f>H761+H766+H771+H776+H781+H786+H791+H803</f>
        <v>1061634</v>
      </c>
      <c r="I805" s="2"/>
      <c r="J805" s="17"/>
      <c r="K805" s="17"/>
      <c r="L805" s="17"/>
    </row>
    <row r="806" spans="1:12">
      <c r="A806" s="45"/>
      <c r="B806" s="46"/>
      <c r="C806" s="14"/>
      <c r="D806" s="20"/>
      <c r="F806" s="20"/>
      <c r="H806" s="20"/>
      <c r="I806" s="2"/>
      <c r="J806" s="17"/>
      <c r="K806" s="17"/>
      <c r="L806" s="17"/>
    </row>
    <row r="807" spans="1:12">
      <c r="A807" s="45"/>
      <c r="B807" s="42" t="s">
        <v>556</v>
      </c>
      <c r="C807" s="14" t="s">
        <v>557</v>
      </c>
      <c r="D807" s="20"/>
      <c r="F807" s="20"/>
      <c r="H807" s="20"/>
      <c r="I807" s="2"/>
      <c r="J807" s="17"/>
      <c r="K807" s="17"/>
      <c r="L807" s="17"/>
    </row>
    <row r="808" spans="1:12">
      <c r="A808" s="45"/>
      <c r="B808" s="43">
        <v>1</v>
      </c>
      <c r="C808" s="19"/>
      <c r="D808" s="20">
        <v>0</v>
      </c>
      <c r="E808" s="21">
        <v>1</v>
      </c>
      <c r="F808" s="20">
        <f>D808*E808</f>
        <v>0</v>
      </c>
      <c r="G808" s="21">
        <v>101</v>
      </c>
      <c r="H808" s="20">
        <f>F808*G808</f>
        <v>0</v>
      </c>
      <c r="I808" s="2"/>
      <c r="J808" s="17"/>
      <c r="K808" s="17"/>
      <c r="L808" s="17"/>
    </row>
    <row r="809" spans="1:12">
      <c r="A809" s="45"/>
      <c r="B809" s="43">
        <v>2</v>
      </c>
      <c r="C809" s="19"/>
      <c r="D809" s="20">
        <v>0</v>
      </c>
      <c r="E809" s="21">
        <v>1</v>
      </c>
      <c r="F809" s="20">
        <f>D809*E809</f>
        <v>0</v>
      </c>
      <c r="G809" s="21">
        <v>102</v>
      </c>
      <c r="H809" s="20">
        <f>F809*G809</f>
        <v>0</v>
      </c>
      <c r="I809" s="2"/>
      <c r="J809" s="17"/>
      <c r="K809" s="17"/>
      <c r="L809" s="17"/>
    </row>
    <row r="810" spans="1:12">
      <c r="A810" s="45"/>
      <c r="B810" s="43"/>
      <c r="C810" s="14" t="s">
        <v>558</v>
      </c>
      <c r="D810" s="20"/>
      <c r="F810" s="20"/>
      <c r="H810" s="25">
        <f>SUM(H808:H809)</f>
        <v>0</v>
      </c>
      <c r="I810" s="2"/>
      <c r="J810" s="17"/>
      <c r="K810" s="17"/>
      <c r="L810" s="17"/>
    </row>
    <row r="811" spans="1:12">
      <c r="A811" s="45"/>
      <c r="B811" s="42"/>
      <c r="C811" s="14"/>
      <c r="D811" s="20"/>
      <c r="F811" s="20"/>
      <c r="H811" s="20"/>
      <c r="I811" s="2"/>
      <c r="J811" s="17"/>
      <c r="K811" s="17"/>
      <c r="L811" s="17"/>
    </row>
    <row r="812" spans="1:12">
      <c r="A812" s="45"/>
      <c r="B812" s="46"/>
      <c r="C812" s="14" t="s">
        <v>559</v>
      </c>
      <c r="D812" s="20"/>
      <c r="F812" s="20"/>
      <c r="H812" s="20"/>
      <c r="I812" s="2"/>
      <c r="J812" s="17"/>
      <c r="K812" s="17"/>
      <c r="L812" s="17"/>
    </row>
    <row r="813" spans="1:12">
      <c r="A813" s="45"/>
      <c r="B813" s="43">
        <v>1</v>
      </c>
      <c r="C813" s="19"/>
      <c r="D813" s="20">
        <v>0</v>
      </c>
      <c r="E813" s="21">
        <v>1</v>
      </c>
      <c r="F813" s="20">
        <f>D813*E813</f>
        <v>0</v>
      </c>
      <c r="G813" s="21">
        <v>101</v>
      </c>
      <c r="H813" s="20">
        <f>F813*G813</f>
        <v>0</v>
      </c>
      <c r="I813" s="2"/>
      <c r="J813" s="17"/>
      <c r="K813" s="17"/>
      <c r="L813" s="17"/>
    </row>
    <row r="814" spans="1:12">
      <c r="A814" s="45"/>
      <c r="B814" s="43">
        <v>2</v>
      </c>
      <c r="C814" s="19"/>
      <c r="D814" s="20">
        <v>0</v>
      </c>
      <c r="E814" s="21">
        <v>1</v>
      </c>
      <c r="F814" s="20">
        <f>D814*E814</f>
        <v>0</v>
      </c>
      <c r="G814" s="21">
        <v>102</v>
      </c>
      <c r="H814" s="20">
        <f>F814*G814</f>
        <v>0</v>
      </c>
      <c r="I814" s="2"/>
      <c r="J814" s="17"/>
      <c r="K814" s="17"/>
      <c r="L814" s="17"/>
    </row>
    <row r="815" spans="1:12">
      <c r="A815" s="45"/>
      <c r="B815" s="43"/>
      <c r="C815" s="14" t="s">
        <v>560</v>
      </c>
      <c r="D815" s="20"/>
      <c r="F815" s="20"/>
      <c r="H815" s="25">
        <f>SUM(H813:H814)</f>
        <v>0</v>
      </c>
      <c r="I815" s="2"/>
      <c r="J815" s="17"/>
      <c r="K815" s="17"/>
      <c r="L815" s="17"/>
    </row>
    <row r="816" spans="1:12">
      <c r="A816" s="45"/>
      <c r="B816" s="46"/>
      <c r="C816" s="14"/>
      <c r="D816" s="20"/>
      <c r="F816" s="20"/>
      <c r="H816" s="20"/>
      <c r="I816" s="2"/>
      <c r="J816" s="17"/>
      <c r="K816" s="17"/>
      <c r="L816" s="17"/>
    </row>
    <row r="817" spans="1:12">
      <c r="A817" s="45"/>
      <c r="B817" s="46"/>
      <c r="C817" s="14" t="s">
        <v>561</v>
      </c>
      <c r="D817" s="20"/>
      <c r="F817" s="20"/>
      <c r="H817" s="20"/>
      <c r="I817" s="2"/>
      <c r="J817" s="17"/>
      <c r="K817" s="17"/>
      <c r="L817" s="17"/>
    </row>
    <row r="818" spans="1:12">
      <c r="A818" s="45"/>
      <c r="B818" s="43">
        <v>1</v>
      </c>
      <c r="C818" s="19"/>
      <c r="D818" s="20">
        <v>0</v>
      </c>
      <c r="E818" s="21">
        <v>1</v>
      </c>
      <c r="F818" s="20">
        <f>D818*E818</f>
        <v>0</v>
      </c>
      <c r="G818" s="21">
        <v>101</v>
      </c>
      <c r="H818" s="20">
        <f>F818*G818</f>
        <v>0</v>
      </c>
      <c r="I818" s="2"/>
      <c r="J818" s="17"/>
      <c r="K818" s="17"/>
      <c r="L818" s="17"/>
    </row>
    <row r="819" spans="1:12">
      <c r="A819" s="45"/>
      <c r="B819" s="43">
        <v>2</v>
      </c>
      <c r="C819" s="19"/>
      <c r="D819" s="20">
        <v>0</v>
      </c>
      <c r="E819" s="21">
        <v>1</v>
      </c>
      <c r="F819" s="20">
        <f>D819*E819</f>
        <v>0</v>
      </c>
      <c r="G819" s="21">
        <v>102</v>
      </c>
      <c r="H819" s="20">
        <f>F819*G819</f>
        <v>0</v>
      </c>
      <c r="I819" s="2"/>
      <c r="J819" s="17"/>
      <c r="K819" s="17"/>
      <c r="L819" s="17"/>
    </row>
    <row r="820" spans="1:12">
      <c r="A820" s="45"/>
      <c r="B820" s="43"/>
      <c r="C820" s="14" t="s">
        <v>562</v>
      </c>
      <c r="D820" s="20"/>
      <c r="F820" s="20"/>
      <c r="H820" s="25">
        <f>SUM(H818:H819)</f>
        <v>0</v>
      </c>
      <c r="I820" s="2"/>
      <c r="J820" s="17"/>
      <c r="K820" s="17"/>
      <c r="L820" s="17"/>
    </row>
    <row r="821" spans="1:12">
      <c r="A821" s="45"/>
      <c r="B821" s="46"/>
      <c r="C821" s="14"/>
      <c r="D821" s="20"/>
      <c r="F821" s="20"/>
      <c r="H821" s="20"/>
      <c r="I821" s="2"/>
      <c r="J821" s="17"/>
      <c r="K821" s="17"/>
      <c r="L821" s="17"/>
    </row>
    <row r="822" spans="1:12">
      <c r="A822" s="45"/>
      <c r="B822" s="46"/>
      <c r="C822" s="14" t="s">
        <v>563</v>
      </c>
      <c r="D822" s="20"/>
      <c r="F822" s="20"/>
      <c r="H822" s="20"/>
      <c r="I822" s="2"/>
      <c r="J822" s="17"/>
      <c r="K822" s="17"/>
      <c r="L822" s="17"/>
    </row>
    <row r="823" spans="1:12">
      <c r="A823" s="45"/>
      <c r="B823" s="43">
        <v>1</v>
      </c>
      <c r="C823" s="19"/>
      <c r="D823" s="20">
        <v>0</v>
      </c>
      <c r="E823" s="21">
        <v>1</v>
      </c>
      <c r="F823" s="20">
        <f>D823*E823</f>
        <v>0</v>
      </c>
      <c r="G823" s="21">
        <v>101</v>
      </c>
      <c r="H823" s="20">
        <f>F823*G823</f>
        <v>0</v>
      </c>
      <c r="I823" s="2"/>
      <c r="J823" s="17"/>
      <c r="K823" s="17"/>
      <c r="L823" s="17"/>
    </row>
    <row r="824" spans="1:12">
      <c r="A824" s="45"/>
      <c r="B824" s="43">
        <v>2</v>
      </c>
      <c r="C824" s="19"/>
      <c r="D824" s="20">
        <v>0</v>
      </c>
      <c r="E824" s="21">
        <v>1</v>
      </c>
      <c r="F824" s="20">
        <f>D824*E824</f>
        <v>0</v>
      </c>
      <c r="G824" s="21">
        <v>102</v>
      </c>
      <c r="H824" s="20">
        <f>F824*G824</f>
        <v>0</v>
      </c>
      <c r="I824" s="2"/>
      <c r="J824" s="17"/>
      <c r="K824" s="17"/>
      <c r="L824" s="17"/>
    </row>
    <row r="825" spans="1:12">
      <c r="A825" s="45"/>
      <c r="B825" s="43"/>
      <c r="C825" s="14" t="s">
        <v>564</v>
      </c>
      <c r="D825" s="20"/>
      <c r="F825" s="20"/>
      <c r="H825" s="25">
        <f>SUM(H823:H824)</f>
        <v>0</v>
      </c>
      <c r="I825" s="2"/>
      <c r="J825" s="17"/>
      <c r="K825" s="17"/>
      <c r="L825" s="17"/>
    </row>
    <row r="826" spans="1:12">
      <c r="A826" s="45"/>
      <c r="B826" s="46"/>
      <c r="C826" s="14"/>
      <c r="D826" s="20"/>
      <c r="F826" s="20"/>
      <c r="H826" s="20"/>
      <c r="I826" s="2"/>
      <c r="J826" s="17"/>
      <c r="K826" s="17"/>
      <c r="L826" s="17"/>
    </row>
    <row r="827" spans="1:12">
      <c r="A827" s="45"/>
      <c r="B827" s="46"/>
      <c r="C827" s="14" t="s">
        <v>565</v>
      </c>
      <c r="D827" s="20"/>
      <c r="F827" s="20"/>
      <c r="H827" s="20"/>
      <c r="I827" s="2"/>
      <c r="J827" s="17"/>
      <c r="K827" s="17"/>
      <c r="L827" s="17"/>
    </row>
    <row r="828" spans="1:12">
      <c r="A828" s="45"/>
      <c r="B828" s="43">
        <v>1</v>
      </c>
      <c r="C828" s="19"/>
      <c r="D828" s="20">
        <v>0</v>
      </c>
      <c r="E828" s="21">
        <v>1</v>
      </c>
      <c r="F828" s="20">
        <f>D828*E828</f>
        <v>0</v>
      </c>
      <c r="G828" s="21">
        <v>101</v>
      </c>
      <c r="H828" s="20">
        <f>F828*G828</f>
        <v>0</v>
      </c>
      <c r="I828" s="2"/>
      <c r="J828" s="17"/>
      <c r="K828" s="17"/>
      <c r="L828" s="17"/>
    </row>
    <row r="829" spans="1:12">
      <c r="A829" s="45"/>
      <c r="B829" s="43">
        <v>2</v>
      </c>
      <c r="C829" s="19"/>
      <c r="D829" s="20">
        <v>0</v>
      </c>
      <c r="E829" s="21">
        <v>1</v>
      </c>
      <c r="F829" s="20">
        <f>D829*E829</f>
        <v>0</v>
      </c>
      <c r="G829" s="21">
        <v>102</v>
      </c>
      <c r="H829" s="20">
        <f>F829*G829</f>
        <v>0</v>
      </c>
      <c r="I829" s="2"/>
      <c r="J829" s="17"/>
      <c r="K829" s="17"/>
      <c r="L829" s="17"/>
    </row>
    <row r="830" spans="1:12">
      <c r="A830" s="45"/>
      <c r="B830" s="43"/>
      <c r="C830" s="14" t="s">
        <v>566</v>
      </c>
      <c r="D830" s="20"/>
      <c r="F830" s="20"/>
      <c r="H830" s="25">
        <f>SUM(H828:H829)</f>
        <v>0</v>
      </c>
      <c r="I830" s="2"/>
      <c r="J830" s="17"/>
      <c r="K830" s="17"/>
      <c r="L830" s="17"/>
    </row>
    <row r="831" spans="1:12">
      <c r="A831" s="45"/>
      <c r="B831" s="46"/>
      <c r="C831" s="14"/>
      <c r="D831" s="20"/>
      <c r="F831" s="20"/>
      <c r="H831" s="20"/>
      <c r="I831" s="2"/>
      <c r="J831" s="17"/>
      <c r="K831" s="17"/>
      <c r="L831" s="17"/>
    </row>
    <row r="832" spans="1:12">
      <c r="A832" s="45"/>
      <c r="B832" s="46"/>
      <c r="C832" s="14" t="s">
        <v>567</v>
      </c>
      <c r="D832" s="20"/>
      <c r="F832" s="20"/>
      <c r="H832" s="20"/>
      <c r="I832" s="2"/>
      <c r="J832" s="17"/>
      <c r="K832" s="17"/>
      <c r="L832" s="17"/>
    </row>
    <row r="833" spans="1:12">
      <c r="A833" s="45"/>
      <c r="B833" s="43">
        <v>1</v>
      </c>
      <c r="C833" s="19" t="s">
        <v>281</v>
      </c>
      <c r="D833" s="20">
        <v>0</v>
      </c>
      <c r="E833" s="21">
        <v>1</v>
      </c>
      <c r="F833" s="20">
        <f>D833*E833</f>
        <v>0</v>
      </c>
      <c r="G833" s="21">
        <v>50000</v>
      </c>
      <c r="H833" s="20">
        <f>F833*G833</f>
        <v>0</v>
      </c>
      <c r="I833" s="2"/>
      <c r="J833" s="17"/>
      <c r="K833" s="17"/>
      <c r="L833" s="17"/>
    </row>
    <row r="834" spans="1:12">
      <c r="A834" s="45"/>
      <c r="B834" s="43">
        <v>2</v>
      </c>
      <c r="C834" s="19" t="s">
        <v>282</v>
      </c>
      <c r="D834" s="20">
        <v>0</v>
      </c>
      <c r="E834" s="21">
        <v>1</v>
      </c>
      <c r="F834" s="20">
        <f t="shared" ref="F834:F845" si="82">D834*E834</f>
        <v>0</v>
      </c>
      <c r="G834" s="21">
        <v>50000</v>
      </c>
      <c r="H834" s="20">
        <f t="shared" ref="H834:H845" si="83">F834*G834</f>
        <v>0</v>
      </c>
      <c r="I834" s="2"/>
      <c r="J834" s="17"/>
      <c r="K834" s="17"/>
      <c r="L834" s="17"/>
    </row>
    <row r="835" spans="1:12">
      <c r="A835" s="45"/>
      <c r="B835" s="43">
        <v>3</v>
      </c>
      <c r="C835" s="19" t="s">
        <v>283</v>
      </c>
      <c r="D835" s="20">
        <v>0</v>
      </c>
      <c r="E835" s="21">
        <v>1</v>
      </c>
      <c r="F835" s="20">
        <f t="shared" si="82"/>
        <v>0</v>
      </c>
      <c r="G835" s="21">
        <v>50000</v>
      </c>
      <c r="H835" s="20">
        <f t="shared" si="83"/>
        <v>0</v>
      </c>
      <c r="I835" s="2"/>
      <c r="J835" s="17"/>
      <c r="K835" s="17"/>
      <c r="L835" s="17"/>
    </row>
    <row r="836" spans="1:12">
      <c r="A836" s="45"/>
      <c r="B836" s="43">
        <v>4</v>
      </c>
      <c r="C836" s="19" t="s">
        <v>284</v>
      </c>
      <c r="D836" s="20">
        <v>1</v>
      </c>
      <c r="E836" s="21">
        <v>1</v>
      </c>
      <c r="F836" s="20">
        <f t="shared" si="82"/>
        <v>1</v>
      </c>
      <c r="G836" s="21">
        <v>40000</v>
      </c>
      <c r="H836" s="20">
        <f t="shared" si="83"/>
        <v>40000</v>
      </c>
      <c r="I836" s="2"/>
      <c r="J836" s="17"/>
      <c r="K836" s="17"/>
      <c r="L836" s="17"/>
    </row>
    <row r="837" spans="1:12">
      <c r="A837" s="45"/>
      <c r="B837" s="43">
        <v>5</v>
      </c>
      <c r="C837" s="19" t="s">
        <v>568</v>
      </c>
      <c r="D837" s="20">
        <v>0</v>
      </c>
      <c r="E837" s="21">
        <v>1</v>
      </c>
      <c r="F837" s="20">
        <f t="shared" si="82"/>
        <v>0</v>
      </c>
      <c r="G837" s="21">
        <v>200000</v>
      </c>
      <c r="H837" s="20">
        <f t="shared" si="83"/>
        <v>0</v>
      </c>
      <c r="I837" s="2"/>
      <c r="J837" s="17"/>
      <c r="K837" s="17"/>
      <c r="L837" s="17"/>
    </row>
    <row r="838" spans="1:12">
      <c r="A838" s="45"/>
      <c r="B838" s="43">
        <v>6</v>
      </c>
      <c r="C838" s="19" t="s">
        <v>569</v>
      </c>
      <c r="D838" s="20">
        <v>0</v>
      </c>
      <c r="E838" s="21">
        <v>1</v>
      </c>
      <c r="F838" s="20">
        <f t="shared" si="82"/>
        <v>0</v>
      </c>
      <c r="G838" s="21">
        <v>106</v>
      </c>
      <c r="H838" s="20">
        <f t="shared" si="83"/>
        <v>0</v>
      </c>
      <c r="I838" s="2"/>
      <c r="J838" s="17"/>
      <c r="K838" s="17"/>
      <c r="L838" s="17"/>
    </row>
    <row r="839" spans="1:12">
      <c r="A839" s="45"/>
      <c r="B839" s="43">
        <v>7</v>
      </c>
      <c r="C839" s="19" t="s">
        <v>570</v>
      </c>
      <c r="D839" s="20">
        <v>0</v>
      </c>
      <c r="E839" s="21">
        <v>1</v>
      </c>
      <c r="F839" s="20">
        <f t="shared" si="82"/>
        <v>0</v>
      </c>
      <c r="G839" s="21">
        <v>107</v>
      </c>
      <c r="H839" s="20">
        <f t="shared" si="83"/>
        <v>0</v>
      </c>
      <c r="I839" s="2"/>
      <c r="J839" s="17"/>
      <c r="K839" s="17"/>
      <c r="L839" s="17"/>
    </row>
    <row r="840" spans="1:12">
      <c r="A840" s="45"/>
      <c r="B840" s="43">
        <v>8</v>
      </c>
      <c r="C840" s="19" t="s">
        <v>285</v>
      </c>
      <c r="D840" s="20">
        <v>0</v>
      </c>
      <c r="E840" s="21">
        <v>1</v>
      </c>
      <c r="F840" s="20">
        <f t="shared" si="82"/>
        <v>0</v>
      </c>
      <c r="G840" s="21">
        <v>290000</v>
      </c>
      <c r="H840" s="20">
        <f t="shared" si="83"/>
        <v>0</v>
      </c>
      <c r="I840" s="2"/>
      <c r="J840" s="17"/>
      <c r="K840" s="17"/>
      <c r="L840" s="17"/>
    </row>
    <row r="841" spans="1:12">
      <c r="A841" s="45"/>
      <c r="B841" s="43">
        <v>9</v>
      </c>
      <c r="C841" s="19"/>
      <c r="D841" s="20">
        <v>0</v>
      </c>
      <c r="E841" s="21">
        <v>1</v>
      </c>
      <c r="F841" s="20">
        <f t="shared" si="82"/>
        <v>0</v>
      </c>
      <c r="G841" s="21">
        <v>109</v>
      </c>
      <c r="H841" s="20">
        <f t="shared" si="83"/>
        <v>0</v>
      </c>
      <c r="I841" s="2"/>
      <c r="J841" s="17"/>
      <c r="K841" s="17"/>
      <c r="L841" s="17"/>
    </row>
    <row r="842" spans="1:12">
      <c r="A842" s="45"/>
      <c r="B842" s="43">
        <v>10</v>
      </c>
      <c r="C842" s="19"/>
      <c r="D842" s="20">
        <v>0</v>
      </c>
      <c r="E842" s="21">
        <v>1</v>
      </c>
      <c r="F842" s="20">
        <f t="shared" si="82"/>
        <v>0</v>
      </c>
      <c r="G842" s="21">
        <v>110</v>
      </c>
      <c r="H842" s="20">
        <f t="shared" si="83"/>
        <v>0</v>
      </c>
      <c r="I842" s="2"/>
      <c r="J842" s="17"/>
      <c r="K842" s="17"/>
      <c r="L842" s="17"/>
    </row>
    <row r="843" spans="1:12">
      <c r="A843" s="45"/>
      <c r="B843" s="43">
        <v>11</v>
      </c>
      <c r="C843" s="19"/>
      <c r="D843" s="20">
        <v>0</v>
      </c>
      <c r="E843" s="21">
        <v>1</v>
      </c>
      <c r="F843" s="20">
        <f t="shared" si="82"/>
        <v>0</v>
      </c>
      <c r="G843" s="21">
        <v>111</v>
      </c>
      <c r="H843" s="20">
        <f t="shared" si="83"/>
        <v>0</v>
      </c>
      <c r="I843" s="2"/>
      <c r="J843" s="17"/>
      <c r="K843" s="17"/>
      <c r="L843" s="17"/>
    </row>
    <row r="844" spans="1:12">
      <c r="A844" s="45"/>
      <c r="B844" s="43">
        <v>12</v>
      </c>
      <c r="C844" s="19"/>
      <c r="D844" s="20">
        <v>0</v>
      </c>
      <c r="E844" s="21">
        <v>1</v>
      </c>
      <c r="F844" s="20">
        <f t="shared" si="82"/>
        <v>0</v>
      </c>
      <c r="G844" s="21">
        <v>112</v>
      </c>
      <c r="H844" s="20">
        <f t="shared" si="83"/>
        <v>0</v>
      </c>
      <c r="I844" s="2"/>
      <c r="J844" s="17"/>
      <c r="K844" s="17"/>
      <c r="L844" s="17"/>
    </row>
    <row r="845" spans="1:12">
      <c r="A845" s="45"/>
      <c r="B845" s="43">
        <v>13</v>
      </c>
      <c r="C845" s="19"/>
      <c r="D845" s="20">
        <v>0</v>
      </c>
      <c r="E845" s="21">
        <v>1</v>
      </c>
      <c r="F845" s="20">
        <f t="shared" si="82"/>
        <v>0</v>
      </c>
      <c r="G845" s="21">
        <v>113</v>
      </c>
      <c r="H845" s="20">
        <f t="shared" si="83"/>
        <v>0</v>
      </c>
      <c r="I845" s="2"/>
      <c r="J845" s="17"/>
      <c r="K845" s="17"/>
      <c r="L845" s="17"/>
    </row>
    <row r="846" spans="1:12">
      <c r="A846" s="45"/>
      <c r="B846" s="43">
        <v>14</v>
      </c>
      <c r="C846" s="19"/>
      <c r="D846" s="20">
        <v>0</v>
      </c>
      <c r="E846" s="21">
        <v>1</v>
      </c>
      <c r="F846" s="20">
        <f>D846*E846</f>
        <v>0</v>
      </c>
      <c r="G846" s="21">
        <v>102</v>
      </c>
      <c r="H846" s="20">
        <f>F846*G846</f>
        <v>0</v>
      </c>
      <c r="I846" s="2"/>
      <c r="J846" s="17"/>
      <c r="K846" s="17"/>
      <c r="L846" s="17"/>
    </row>
    <row r="847" spans="1:12">
      <c r="A847" s="45"/>
      <c r="B847" s="43"/>
      <c r="C847" s="14" t="s">
        <v>571</v>
      </c>
      <c r="D847" s="20"/>
      <c r="F847" s="20"/>
      <c r="H847" s="25">
        <f>SUM(H833:H846)</f>
        <v>40000</v>
      </c>
      <c r="I847" s="2"/>
      <c r="J847" s="17"/>
      <c r="K847" s="17"/>
      <c r="L847" s="17"/>
    </row>
    <row r="848" spans="1:12">
      <c r="A848" s="45"/>
      <c r="B848" s="46"/>
      <c r="C848" s="14"/>
      <c r="D848" s="20"/>
      <c r="F848" s="20"/>
      <c r="H848" s="20"/>
      <c r="I848" s="2"/>
      <c r="J848" s="17"/>
      <c r="K848" s="17"/>
      <c r="L848" s="17"/>
    </row>
    <row r="849" spans="1:12">
      <c r="A849" s="45"/>
      <c r="B849" s="46"/>
      <c r="C849" s="14" t="s">
        <v>572</v>
      </c>
      <c r="D849" s="20"/>
      <c r="F849" s="20"/>
      <c r="H849" s="20"/>
      <c r="I849" s="2"/>
      <c r="J849" s="17"/>
      <c r="K849" s="17"/>
      <c r="L849" s="17"/>
    </row>
    <row r="850" spans="1:12">
      <c r="A850" s="45"/>
      <c r="B850" s="43">
        <v>1</v>
      </c>
      <c r="C850" s="19" t="s">
        <v>287</v>
      </c>
      <c r="D850" s="20">
        <v>0</v>
      </c>
      <c r="E850" s="21">
        <v>1</v>
      </c>
      <c r="F850" s="20">
        <f>D850*E850</f>
        <v>0</v>
      </c>
      <c r="G850" s="69">
        <v>22076</v>
      </c>
      <c r="H850" s="20">
        <f>F850*G850</f>
        <v>0</v>
      </c>
      <c r="I850" s="2"/>
      <c r="J850" s="17"/>
      <c r="K850" s="17"/>
      <c r="L850" s="17"/>
    </row>
    <row r="851" spans="1:12">
      <c r="A851" s="45"/>
      <c r="B851" s="43">
        <v>2</v>
      </c>
      <c r="C851" s="19" t="s">
        <v>219</v>
      </c>
      <c r="D851" s="20">
        <v>20</v>
      </c>
      <c r="E851" s="21">
        <v>1</v>
      </c>
      <c r="F851" s="20">
        <f t="shared" ref="F851:F893" si="84">D851*E851</f>
        <v>20</v>
      </c>
      <c r="G851" s="69">
        <v>12507</v>
      </c>
      <c r="H851" s="20">
        <f t="shared" ref="H851:H893" si="85">F851*G851</f>
        <v>250140</v>
      </c>
      <c r="I851" s="2"/>
      <c r="J851" s="17"/>
      <c r="K851" s="17"/>
      <c r="L851" s="17"/>
    </row>
    <row r="852" spans="1:12">
      <c r="A852" s="45"/>
      <c r="B852" s="43">
        <v>3</v>
      </c>
      <c r="C852" s="19" t="s">
        <v>223</v>
      </c>
      <c r="D852" s="20">
        <v>0</v>
      </c>
      <c r="E852" s="21">
        <v>1</v>
      </c>
      <c r="F852" s="20">
        <f t="shared" si="84"/>
        <v>0</v>
      </c>
      <c r="G852" s="69">
        <v>31769</v>
      </c>
      <c r="H852" s="20">
        <f t="shared" si="85"/>
        <v>0</v>
      </c>
      <c r="I852" s="2"/>
      <c r="J852" s="17"/>
      <c r="K852" s="17"/>
      <c r="L852" s="17"/>
    </row>
    <row r="853" spans="1:12">
      <c r="A853" s="45"/>
      <c r="B853" s="43">
        <v>4</v>
      </c>
      <c r="C853" s="19" t="s">
        <v>288</v>
      </c>
      <c r="D853" s="20">
        <v>20</v>
      </c>
      <c r="E853" s="21">
        <v>1</v>
      </c>
      <c r="F853" s="20">
        <f t="shared" si="84"/>
        <v>20</v>
      </c>
      <c r="G853" s="69">
        <v>11538</v>
      </c>
      <c r="H853" s="20">
        <f t="shared" si="85"/>
        <v>230760</v>
      </c>
      <c r="I853" s="2"/>
      <c r="J853" s="17"/>
      <c r="K853" s="17"/>
      <c r="L853" s="17"/>
    </row>
    <row r="854" spans="1:12">
      <c r="A854" s="45"/>
      <c r="B854" s="43">
        <v>5</v>
      </c>
      <c r="C854" s="19" t="s">
        <v>220</v>
      </c>
      <c r="D854" s="20">
        <v>20</v>
      </c>
      <c r="E854" s="21">
        <v>1</v>
      </c>
      <c r="F854" s="20">
        <f t="shared" si="84"/>
        <v>20</v>
      </c>
      <c r="G854" s="69">
        <v>12507</v>
      </c>
      <c r="H854" s="20">
        <f t="shared" si="85"/>
        <v>250140</v>
      </c>
      <c r="I854" s="2"/>
      <c r="J854" s="17"/>
      <c r="K854" s="17"/>
      <c r="L854" s="17"/>
    </row>
    <row r="855" spans="1:12">
      <c r="A855" s="45"/>
      <c r="B855" s="43">
        <v>6</v>
      </c>
      <c r="C855" s="19" t="s">
        <v>221</v>
      </c>
      <c r="D855" s="20">
        <v>20</v>
      </c>
      <c r="E855" s="21">
        <v>1</v>
      </c>
      <c r="F855" s="20">
        <f t="shared" si="84"/>
        <v>20</v>
      </c>
      <c r="G855" s="69">
        <v>12507</v>
      </c>
      <c r="H855" s="20">
        <f t="shared" si="85"/>
        <v>250140</v>
      </c>
      <c r="I855" s="2"/>
      <c r="J855" s="17"/>
      <c r="K855" s="17"/>
      <c r="L855" s="17"/>
    </row>
    <row r="856" spans="1:12">
      <c r="A856" s="45"/>
      <c r="B856" s="43">
        <v>7</v>
      </c>
      <c r="C856" s="19" t="s">
        <v>289</v>
      </c>
      <c r="D856" s="20">
        <v>20</v>
      </c>
      <c r="E856" s="21">
        <v>1</v>
      </c>
      <c r="F856" s="20">
        <f t="shared" si="84"/>
        <v>20</v>
      </c>
      <c r="G856" s="69">
        <v>12507</v>
      </c>
      <c r="H856" s="20">
        <f t="shared" si="85"/>
        <v>250140</v>
      </c>
      <c r="I856" s="2"/>
      <c r="J856" s="17"/>
      <c r="K856" s="17"/>
      <c r="L856" s="17"/>
    </row>
    <row r="857" spans="1:12">
      <c r="A857" s="45"/>
      <c r="B857" s="43">
        <v>8</v>
      </c>
      <c r="C857" s="19" t="s">
        <v>290</v>
      </c>
      <c r="D857" s="20">
        <v>0</v>
      </c>
      <c r="E857" s="21">
        <v>1</v>
      </c>
      <c r="F857" s="20">
        <f t="shared" si="84"/>
        <v>0</v>
      </c>
      <c r="G857" s="69">
        <v>12507</v>
      </c>
      <c r="H857" s="20">
        <f t="shared" si="85"/>
        <v>0</v>
      </c>
      <c r="I857" s="2"/>
      <c r="J857" s="17"/>
      <c r="K857" s="17"/>
      <c r="L857" s="17"/>
    </row>
    <row r="858" spans="1:12">
      <c r="A858" s="45"/>
      <c r="B858" s="43">
        <v>9</v>
      </c>
      <c r="C858" s="19" t="s">
        <v>291</v>
      </c>
      <c r="D858" s="20">
        <v>20</v>
      </c>
      <c r="E858" s="21">
        <v>1</v>
      </c>
      <c r="F858" s="20">
        <f t="shared" si="84"/>
        <v>20</v>
      </c>
      <c r="G858" s="69">
        <v>12507</v>
      </c>
      <c r="H858" s="20">
        <f t="shared" si="85"/>
        <v>250140</v>
      </c>
      <c r="I858" s="2"/>
      <c r="J858" s="17"/>
      <c r="K858" s="17"/>
      <c r="L858" s="17"/>
    </row>
    <row r="859" spans="1:12">
      <c r="A859" s="45"/>
      <c r="B859" s="43">
        <v>10</v>
      </c>
      <c r="C859" s="19" t="s">
        <v>292</v>
      </c>
      <c r="D859" s="20">
        <v>20</v>
      </c>
      <c r="E859" s="21">
        <v>1</v>
      </c>
      <c r="F859" s="20">
        <f t="shared" si="84"/>
        <v>20</v>
      </c>
      <c r="G859" s="69">
        <v>12507</v>
      </c>
      <c r="H859" s="20">
        <f t="shared" si="85"/>
        <v>250140</v>
      </c>
      <c r="I859" s="2"/>
      <c r="J859" s="17"/>
      <c r="K859" s="17"/>
      <c r="L859" s="17"/>
    </row>
    <row r="860" spans="1:12">
      <c r="A860" s="45"/>
      <c r="B860" s="43">
        <v>11</v>
      </c>
      <c r="C860" s="19" t="s">
        <v>293</v>
      </c>
      <c r="D860" s="20">
        <v>4</v>
      </c>
      <c r="E860" s="21">
        <v>1</v>
      </c>
      <c r="F860" s="20">
        <f t="shared" si="84"/>
        <v>4</v>
      </c>
      <c r="G860" s="69">
        <v>12507</v>
      </c>
      <c r="H860" s="20">
        <f t="shared" si="85"/>
        <v>50028</v>
      </c>
      <c r="I860" s="2"/>
      <c r="J860" s="17"/>
      <c r="K860" s="17"/>
      <c r="L860" s="17"/>
    </row>
    <row r="861" spans="1:12">
      <c r="A861" s="45"/>
      <c r="B861" s="43">
        <v>12</v>
      </c>
      <c r="C861" s="19" t="s">
        <v>294</v>
      </c>
      <c r="D861" s="20">
        <v>4</v>
      </c>
      <c r="E861" s="21">
        <v>1</v>
      </c>
      <c r="F861" s="20">
        <f t="shared" si="84"/>
        <v>4</v>
      </c>
      <c r="G861" s="69">
        <v>12507</v>
      </c>
      <c r="H861" s="20">
        <f t="shared" si="85"/>
        <v>50028</v>
      </c>
      <c r="I861" s="2"/>
      <c r="J861" s="17"/>
      <c r="K861" s="17"/>
      <c r="L861" s="17"/>
    </row>
    <row r="862" spans="1:12">
      <c r="A862" s="45"/>
      <c r="B862" s="43">
        <v>13</v>
      </c>
      <c r="C862" s="19" t="s">
        <v>295</v>
      </c>
      <c r="D862" s="20">
        <v>4</v>
      </c>
      <c r="E862" s="21">
        <v>1</v>
      </c>
      <c r="F862" s="20">
        <f t="shared" si="84"/>
        <v>4</v>
      </c>
      <c r="G862" s="69">
        <v>12507</v>
      </c>
      <c r="H862" s="20">
        <f t="shared" si="85"/>
        <v>50028</v>
      </c>
      <c r="I862" s="2"/>
      <c r="J862" s="17"/>
      <c r="K862" s="17"/>
      <c r="L862" s="17"/>
    </row>
    <row r="863" spans="1:12">
      <c r="A863" s="45"/>
      <c r="B863" s="43">
        <v>14</v>
      </c>
      <c r="C863" s="19" t="s">
        <v>296</v>
      </c>
      <c r="D863" s="20">
        <v>4</v>
      </c>
      <c r="E863" s="21">
        <v>1</v>
      </c>
      <c r="F863" s="20">
        <f t="shared" si="84"/>
        <v>4</v>
      </c>
      <c r="G863" s="69">
        <v>12507</v>
      </c>
      <c r="H863" s="20">
        <f t="shared" si="85"/>
        <v>50028</v>
      </c>
      <c r="I863" s="2"/>
      <c r="J863" s="17"/>
      <c r="K863" s="17"/>
      <c r="L863" s="17"/>
    </row>
    <row r="864" spans="1:12">
      <c r="A864" s="45"/>
      <c r="B864" s="43">
        <v>15</v>
      </c>
      <c r="C864" s="19" t="s">
        <v>297</v>
      </c>
      <c r="D864" s="20">
        <v>4</v>
      </c>
      <c r="E864" s="21">
        <v>1</v>
      </c>
      <c r="F864" s="20">
        <f t="shared" si="84"/>
        <v>4</v>
      </c>
      <c r="G864" s="69">
        <v>12507</v>
      </c>
      <c r="H864" s="20">
        <f t="shared" si="85"/>
        <v>50028</v>
      </c>
      <c r="I864" s="2"/>
      <c r="J864" s="17"/>
      <c r="K864" s="17"/>
      <c r="L864" s="17"/>
    </row>
    <row r="865" spans="1:12">
      <c r="A865" s="45"/>
      <c r="B865" s="43">
        <v>16</v>
      </c>
      <c r="C865" s="19" t="s">
        <v>298</v>
      </c>
      <c r="D865" s="20">
        <v>0</v>
      </c>
      <c r="E865" s="21">
        <v>1</v>
      </c>
      <c r="F865" s="20">
        <f t="shared" si="84"/>
        <v>0</v>
      </c>
      <c r="G865" s="69">
        <v>12507</v>
      </c>
      <c r="H865" s="20">
        <f t="shared" si="85"/>
        <v>0</v>
      </c>
      <c r="I865" s="2"/>
      <c r="J865" s="17"/>
      <c r="K865" s="17"/>
      <c r="L865" s="17"/>
    </row>
    <row r="866" spans="1:12">
      <c r="A866" s="45"/>
      <c r="B866" s="43">
        <v>17</v>
      </c>
      <c r="C866" s="19" t="s">
        <v>299</v>
      </c>
      <c r="D866" s="20">
        <v>0</v>
      </c>
      <c r="E866" s="21">
        <v>1</v>
      </c>
      <c r="F866" s="20">
        <f t="shared" si="84"/>
        <v>0</v>
      </c>
      <c r="G866" s="69">
        <v>12507</v>
      </c>
      <c r="H866" s="20">
        <f t="shared" si="85"/>
        <v>0</v>
      </c>
      <c r="I866" s="2"/>
      <c r="J866" s="17"/>
      <c r="K866" s="17"/>
      <c r="L866" s="17"/>
    </row>
    <row r="867" spans="1:12">
      <c r="A867" s="45"/>
      <c r="B867" s="43">
        <v>18</v>
      </c>
      <c r="C867" s="19" t="s">
        <v>300</v>
      </c>
      <c r="D867" s="20">
        <v>0</v>
      </c>
      <c r="E867" s="21">
        <v>1</v>
      </c>
      <c r="F867" s="20">
        <f t="shared" si="84"/>
        <v>0</v>
      </c>
      <c r="G867" s="69">
        <v>12507</v>
      </c>
      <c r="H867" s="20">
        <f t="shared" si="85"/>
        <v>0</v>
      </c>
      <c r="I867" s="2"/>
      <c r="J867" s="17"/>
      <c r="K867" s="17"/>
      <c r="L867" s="17"/>
    </row>
    <row r="868" spans="1:12">
      <c r="A868" s="45"/>
      <c r="B868" s="43">
        <v>19</v>
      </c>
      <c r="C868" s="19" t="s">
        <v>301</v>
      </c>
      <c r="D868" s="20">
        <v>4</v>
      </c>
      <c r="E868" s="21">
        <v>1</v>
      </c>
      <c r="F868" s="20">
        <f t="shared" si="84"/>
        <v>4</v>
      </c>
      <c r="G868" s="69">
        <v>12507</v>
      </c>
      <c r="H868" s="20">
        <f t="shared" si="85"/>
        <v>50028</v>
      </c>
      <c r="I868" s="2"/>
      <c r="J868" s="17"/>
      <c r="K868" s="17"/>
      <c r="L868" s="17"/>
    </row>
    <row r="869" spans="1:12">
      <c r="A869" s="45"/>
      <c r="B869" s="43">
        <v>20</v>
      </c>
      <c r="C869" s="19" t="s">
        <v>302</v>
      </c>
      <c r="D869" s="20">
        <v>0</v>
      </c>
      <c r="E869" s="21">
        <v>1</v>
      </c>
      <c r="F869" s="20">
        <f t="shared" si="84"/>
        <v>0</v>
      </c>
      <c r="G869" s="69">
        <v>12507</v>
      </c>
      <c r="H869" s="20">
        <f t="shared" si="85"/>
        <v>0</v>
      </c>
      <c r="I869" s="2"/>
      <c r="J869" s="17"/>
      <c r="K869" s="17"/>
      <c r="L869" s="17"/>
    </row>
    <row r="870" spans="1:12">
      <c r="A870" s="45"/>
      <c r="B870" s="43">
        <v>21</v>
      </c>
      <c r="C870" s="19" t="s">
        <v>303</v>
      </c>
      <c r="D870" s="20">
        <v>0</v>
      </c>
      <c r="E870" s="21">
        <v>1</v>
      </c>
      <c r="F870" s="20">
        <f t="shared" si="84"/>
        <v>0</v>
      </c>
      <c r="G870" s="69">
        <v>19231</v>
      </c>
      <c r="H870" s="20">
        <f t="shared" si="85"/>
        <v>0</v>
      </c>
      <c r="I870" s="2"/>
      <c r="J870" s="17"/>
      <c r="K870" s="17"/>
      <c r="L870" s="17"/>
    </row>
    <row r="871" spans="1:12">
      <c r="A871" s="45"/>
      <c r="B871" s="43">
        <v>22</v>
      </c>
      <c r="C871" s="19" t="s">
        <v>304</v>
      </c>
      <c r="D871" s="20">
        <v>4</v>
      </c>
      <c r="E871" s="21">
        <v>1</v>
      </c>
      <c r="F871" s="20">
        <f t="shared" si="84"/>
        <v>4</v>
      </c>
      <c r="G871" s="69">
        <v>12507</v>
      </c>
      <c r="H871" s="20">
        <f t="shared" si="85"/>
        <v>50028</v>
      </c>
      <c r="I871" s="2"/>
      <c r="J871" s="17"/>
      <c r="K871" s="17"/>
      <c r="L871" s="17"/>
    </row>
    <row r="872" spans="1:12">
      <c r="A872" s="45"/>
      <c r="B872" s="43">
        <v>23</v>
      </c>
      <c r="C872" s="19" t="s">
        <v>305</v>
      </c>
      <c r="D872" s="20">
        <v>4</v>
      </c>
      <c r="E872" s="21">
        <v>1</v>
      </c>
      <c r="F872" s="20">
        <f t="shared" si="84"/>
        <v>4</v>
      </c>
      <c r="G872" s="69">
        <v>12507</v>
      </c>
      <c r="H872" s="20">
        <f t="shared" si="85"/>
        <v>50028</v>
      </c>
      <c r="I872" s="2"/>
      <c r="J872" s="17"/>
      <c r="K872" s="17"/>
      <c r="L872" s="17"/>
    </row>
    <row r="873" spans="1:12">
      <c r="A873" s="45"/>
      <c r="B873" s="43">
        <v>24</v>
      </c>
      <c r="C873" s="19" t="s">
        <v>306</v>
      </c>
      <c r="D873" s="20">
        <v>4</v>
      </c>
      <c r="E873" s="21">
        <v>1</v>
      </c>
      <c r="F873" s="20">
        <f t="shared" si="84"/>
        <v>4</v>
      </c>
      <c r="G873" s="69">
        <v>12507</v>
      </c>
      <c r="H873" s="20">
        <f t="shared" si="85"/>
        <v>50028</v>
      </c>
      <c r="I873" s="2"/>
      <c r="J873" s="17"/>
      <c r="K873" s="17"/>
      <c r="L873" s="17"/>
    </row>
    <row r="874" spans="1:12">
      <c r="A874" s="45"/>
      <c r="B874" s="43">
        <v>25</v>
      </c>
      <c r="C874" s="19" t="s">
        <v>307</v>
      </c>
      <c r="D874" s="20">
        <v>4</v>
      </c>
      <c r="E874" s="21">
        <v>1</v>
      </c>
      <c r="F874" s="20">
        <f t="shared" si="84"/>
        <v>4</v>
      </c>
      <c r="G874" s="69">
        <v>12507</v>
      </c>
      <c r="H874" s="20">
        <f t="shared" si="85"/>
        <v>50028</v>
      </c>
      <c r="I874" s="2"/>
      <c r="J874" s="17"/>
      <c r="K874" s="17"/>
      <c r="L874" s="17"/>
    </row>
    <row r="875" spans="1:12">
      <c r="A875" s="45"/>
      <c r="B875" s="43">
        <v>26</v>
      </c>
      <c r="C875" s="19" t="s">
        <v>308</v>
      </c>
      <c r="D875" s="20">
        <v>4</v>
      </c>
      <c r="E875" s="21">
        <v>1</v>
      </c>
      <c r="F875" s="20">
        <f t="shared" si="84"/>
        <v>4</v>
      </c>
      <c r="G875" s="69">
        <v>12507</v>
      </c>
      <c r="H875" s="20">
        <f t="shared" si="85"/>
        <v>50028</v>
      </c>
      <c r="I875" s="2"/>
      <c r="J875" s="17"/>
      <c r="K875" s="17"/>
      <c r="L875" s="17"/>
    </row>
    <row r="876" spans="1:12">
      <c r="A876" s="45"/>
      <c r="B876" s="43">
        <v>27</v>
      </c>
      <c r="C876" s="19" t="s">
        <v>309</v>
      </c>
      <c r="D876" s="20">
        <v>0</v>
      </c>
      <c r="E876" s="21">
        <v>1</v>
      </c>
      <c r="F876" s="20">
        <f t="shared" si="84"/>
        <v>0</v>
      </c>
      <c r="G876" s="69">
        <v>53846</v>
      </c>
      <c r="H876" s="20">
        <f t="shared" si="85"/>
        <v>0</v>
      </c>
      <c r="I876" s="2"/>
      <c r="J876" s="17"/>
      <c r="K876" s="17"/>
      <c r="L876" s="17"/>
    </row>
    <row r="877" spans="1:12">
      <c r="A877" s="45"/>
      <c r="B877" s="43">
        <v>28</v>
      </c>
      <c r="C877" s="19" t="s">
        <v>310</v>
      </c>
      <c r="D877" s="20">
        <v>0</v>
      </c>
      <c r="E877" s="21">
        <v>1</v>
      </c>
      <c r="F877" s="20">
        <f t="shared" si="84"/>
        <v>0</v>
      </c>
      <c r="G877" s="69">
        <v>22076</v>
      </c>
      <c r="H877" s="20">
        <f t="shared" si="85"/>
        <v>0</v>
      </c>
      <c r="I877" s="2"/>
      <c r="J877" s="17"/>
      <c r="K877" s="17"/>
      <c r="L877" s="17"/>
    </row>
    <row r="878" spans="1:12">
      <c r="A878" s="45"/>
      <c r="B878" s="43">
        <v>29</v>
      </c>
      <c r="C878" s="19" t="s">
        <v>72</v>
      </c>
      <c r="D878" s="20">
        <v>0</v>
      </c>
      <c r="E878" s="21">
        <v>1</v>
      </c>
      <c r="F878" s="20">
        <f t="shared" si="84"/>
        <v>0</v>
      </c>
      <c r="G878" s="69">
        <v>22076</v>
      </c>
      <c r="H878" s="20">
        <f t="shared" si="85"/>
        <v>0</v>
      </c>
      <c r="I878" s="2"/>
      <c r="J878" s="17"/>
      <c r="K878" s="17"/>
      <c r="L878" s="17"/>
    </row>
    <row r="879" spans="1:12">
      <c r="A879" s="45"/>
      <c r="B879" s="43">
        <v>30</v>
      </c>
      <c r="C879" s="19" t="s">
        <v>311</v>
      </c>
      <c r="D879" s="20">
        <v>0</v>
      </c>
      <c r="E879" s="21">
        <v>1</v>
      </c>
      <c r="F879" s="20">
        <f t="shared" si="84"/>
        <v>0</v>
      </c>
      <c r="G879" s="69">
        <v>12507</v>
      </c>
      <c r="H879" s="20">
        <f t="shared" si="85"/>
        <v>0</v>
      </c>
      <c r="I879" s="2"/>
      <c r="J879" s="17"/>
      <c r="K879" s="17"/>
      <c r="L879" s="17"/>
    </row>
    <row r="880" spans="1:12">
      <c r="A880" s="45"/>
      <c r="B880" s="43">
        <v>31</v>
      </c>
      <c r="C880" s="19" t="s">
        <v>312</v>
      </c>
      <c r="D880" s="20">
        <v>0</v>
      </c>
      <c r="E880" s="21">
        <v>1</v>
      </c>
      <c r="F880" s="20">
        <f t="shared" si="84"/>
        <v>0</v>
      </c>
      <c r="G880" s="69">
        <v>18461</v>
      </c>
      <c r="H880" s="20">
        <f t="shared" si="85"/>
        <v>0</v>
      </c>
      <c r="I880" s="2"/>
      <c r="J880" s="17"/>
      <c r="K880" s="17"/>
      <c r="L880" s="17"/>
    </row>
    <row r="881" spans="1:12">
      <c r="A881" s="45"/>
      <c r="B881" s="43">
        <v>32</v>
      </c>
      <c r="C881" s="19" t="s">
        <v>73</v>
      </c>
      <c r="D881" s="20">
        <v>0</v>
      </c>
      <c r="E881" s="21">
        <v>1</v>
      </c>
      <c r="F881" s="20">
        <f t="shared" si="84"/>
        <v>0</v>
      </c>
      <c r="G881" s="69">
        <v>12507</v>
      </c>
      <c r="H881" s="20">
        <f t="shared" si="85"/>
        <v>0</v>
      </c>
      <c r="I881" s="2"/>
      <c r="J881" s="17"/>
      <c r="K881" s="17"/>
      <c r="L881" s="17"/>
    </row>
    <row r="882" spans="1:12">
      <c r="A882" s="45"/>
      <c r="B882" s="43">
        <v>33</v>
      </c>
      <c r="C882" s="19" t="s">
        <v>71</v>
      </c>
      <c r="D882" s="20">
        <v>0</v>
      </c>
      <c r="E882" s="21">
        <v>1</v>
      </c>
      <c r="F882" s="20">
        <f t="shared" si="84"/>
        <v>0</v>
      </c>
      <c r="G882" s="69">
        <v>22076</v>
      </c>
      <c r="H882" s="20">
        <f t="shared" si="85"/>
        <v>0</v>
      </c>
      <c r="I882" s="2"/>
      <c r="J882" s="17"/>
      <c r="K882" s="17"/>
      <c r="L882" s="17"/>
    </row>
    <row r="883" spans="1:12">
      <c r="A883" s="45"/>
      <c r="B883" s="43">
        <v>34</v>
      </c>
      <c r="C883" s="19" t="s">
        <v>313</v>
      </c>
      <c r="D883" s="20">
        <v>0</v>
      </c>
      <c r="E883" s="21">
        <v>1</v>
      </c>
      <c r="F883" s="20">
        <f t="shared" si="84"/>
        <v>0</v>
      </c>
      <c r="G883" s="69">
        <v>22076</v>
      </c>
      <c r="H883" s="20">
        <f t="shared" si="85"/>
        <v>0</v>
      </c>
      <c r="I883" s="2"/>
      <c r="J883" s="17"/>
      <c r="K883" s="17"/>
      <c r="L883" s="17"/>
    </row>
    <row r="884" spans="1:12">
      <c r="A884" s="45"/>
      <c r="B884" s="43">
        <v>35</v>
      </c>
      <c r="C884" s="19" t="s">
        <v>314</v>
      </c>
      <c r="D884" s="20">
        <v>0</v>
      </c>
      <c r="E884" s="21">
        <v>1</v>
      </c>
      <c r="F884" s="20">
        <f t="shared" si="84"/>
        <v>0</v>
      </c>
      <c r="G884" s="69">
        <v>61538</v>
      </c>
      <c r="H884" s="20">
        <f t="shared" si="85"/>
        <v>0</v>
      </c>
      <c r="I884" s="2"/>
      <c r="J884" s="17"/>
      <c r="K884" s="17"/>
      <c r="L884" s="17"/>
    </row>
    <row r="885" spans="1:12">
      <c r="A885" s="45"/>
      <c r="B885" s="43">
        <v>36</v>
      </c>
      <c r="C885" s="19" t="s">
        <v>315</v>
      </c>
      <c r="D885" s="20">
        <v>0</v>
      </c>
      <c r="E885" s="21">
        <v>1</v>
      </c>
      <c r="F885" s="20">
        <f t="shared" si="84"/>
        <v>0</v>
      </c>
      <c r="G885" s="69">
        <v>3846</v>
      </c>
      <c r="H885" s="20">
        <f t="shared" si="85"/>
        <v>0</v>
      </c>
      <c r="I885" s="2"/>
      <c r="J885" s="17"/>
      <c r="K885" s="17"/>
      <c r="L885" s="17"/>
    </row>
    <row r="886" spans="1:12">
      <c r="A886" s="45"/>
      <c r="B886" s="43">
        <v>37</v>
      </c>
      <c r="C886" s="19" t="s">
        <v>316</v>
      </c>
      <c r="D886" s="20">
        <v>20</v>
      </c>
      <c r="E886" s="21">
        <v>1</v>
      </c>
      <c r="F886" s="20">
        <f t="shared" si="84"/>
        <v>20</v>
      </c>
      <c r="G886" s="69">
        <v>7692</v>
      </c>
      <c r="H886" s="20">
        <f t="shared" si="85"/>
        <v>153840</v>
      </c>
      <c r="I886" s="2"/>
      <c r="J886" s="17"/>
      <c r="K886" s="17"/>
      <c r="L886" s="17"/>
    </row>
    <row r="887" spans="1:12">
      <c r="A887" s="45"/>
      <c r="B887" s="43">
        <v>38</v>
      </c>
      <c r="C887" s="19" t="s">
        <v>317</v>
      </c>
      <c r="D887" s="20">
        <v>0</v>
      </c>
      <c r="E887" s="21">
        <v>1</v>
      </c>
      <c r="F887" s="20">
        <f t="shared" si="84"/>
        <v>0</v>
      </c>
      <c r="G887" s="69">
        <v>46153</v>
      </c>
      <c r="H887" s="20">
        <f t="shared" si="85"/>
        <v>0</v>
      </c>
      <c r="I887" s="2"/>
      <c r="J887" s="17"/>
      <c r="K887" s="17"/>
      <c r="L887" s="17"/>
    </row>
    <row r="888" spans="1:12">
      <c r="A888" s="45"/>
      <c r="B888" s="43">
        <v>39</v>
      </c>
      <c r="C888" s="19" t="s">
        <v>318</v>
      </c>
      <c r="D888" s="20">
        <v>0</v>
      </c>
      <c r="E888" s="21">
        <v>1</v>
      </c>
      <c r="F888" s="20">
        <f t="shared" si="84"/>
        <v>0</v>
      </c>
      <c r="G888" s="69">
        <v>600000</v>
      </c>
      <c r="H888" s="20">
        <f t="shared" si="85"/>
        <v>0</v>
      </c>
      <c r="I888" s="2"/>
      <c r="J888" s="17"/>
      <c r="K888" s="17"/>
      <c r="L888" s="17"/>
    </row>
    <row r="889" spans="1:12">
      <c r="A889" s="45"/>
      <c r="B889" s="43">
        <v>40</v>
      </c>
      <c r="C889" s="19" t="s">
        <v>319</v>
      </c>
      <c r="D889" s="20">
        <v>0</v>
      </c>
      <c r="E889" s="21">
        <v>1</v>
      </c>
      <c r="F889" s="20">
        <f t="shared" si="84"/>
        <v>0</v>
      </c>
      <c r="G889" s="69">
        <v>157692</v>
      </c>
      <c r="H889" s="20">
        <f t="shared" si="85"/>
        <v>0</v>
      </c>
      <c r="I889" s="2"/>
      <c r="J889" s="17"/>
      <c r="K889" s="17"/>
      <c r="L889" s="17"/>
    </row>
    <row r="890" spans="1:12">
      <c r="A890" s="45"/>
      <c r="B890" s="43">
        <v>41</v>
      </c>
      <c r="C890" s="19" t="s">
        <v>320</v>
      </c>
      <c r="D890" s="20">
        <v>0</v>
      </c>
      <c r="E890" s="21">
        <v>1</v>
      </c>
      <c r="F890" s="20">
        <f t="shared" si="84"/>
        <v>0</v>
      </c>
      <c r="G890" s="69">
        <v>269230</v>
      </c>
      <c r="H890" s="20">
        <f t="shared" si="85"/>
        <v>0</v>
      </c>
      <c r="I890" s="2"/>
      <c r="J890" s="17"/>
      <c r="K890" s="17"/>
      <c r="L890" s="17"/>
    </row>
    <row r="891" spans="1:12">
      <c r="A891" s="45"/>
      <c r="B891" s="43">
        <v>42</v>
      </c>
      <c r="C891" s="19" t="s">
        <v>322</v>
      </c>
      <c r="D891" s="20">
        <v>8</v>
      </c>
      <c r="E891" s="21">
        <v>1</v>
      </c>
      <c r="F891" s="20">
        <f t="shared" si="84"/>
        <v>8</v>
      </c>
      <c r="G891" s="21">
        <v>31769</v>
      </c>
      <c r="H891" s="20">
        <f t="shared" si="85"/>
        <v>254152</v>
      </c>
      <c r="I891" s="2"/>
      <c r="J891" s="17"/>
      <c r="K891" s="17"/>
      <c r="L891" s="17"/>
    </row>
    <row r="892" spans="1:12">
      <c r="A892" s="45"/>
      <c r="B892" s="43">
        <v>43</v>
      </c>
      <c r="C892" s="19"/>
      <c r="D892" s="20">
        <v>0</v>
      </c>
      <c r="E892" s="21">
        <v>1</v>
      </c>
      <c r="F892" s="20">
        <f t="shared" si="84"/>
        <v>0</v>
      </c>
      <c r="G892" s="21">
        <v>31769</v>
      </c>
      <c r="H892" s="20">
        <f t="shared" si="85"/>
        <v>0</v>
      </c>
      <c r="I892" s="2"/>
      <c r="J892" s="17"/>
      <c r="K892" s="17"/>
      <c r="L892" s="17"/>
    </row>
    <row r="893" spans="1:12">
      <c r="A893" s="45"/>
      <c r="B893" s="43">
        <v>44</v>
      </c>
      <c r="C893" s="19"/>
      <c r="D893" s="20">
        <v>0</v>
      </c>
      <c r="E893" s="21">
        <v>1</v>
      </c>
      <c r="F893" s="20">
        <f t="shared" si="84"/>
        <v>0</v>
      </c>
      <c r="G893" s="21">
        <v>113</v>
      </c>
      <c r="H893" s="20">
        <f t="shared" si="85"/>
        <v>0</v>
      </c>
      <c r="I893" s="2"/>
      <c r="J893" s="17"/>
      <c r="K893" s="17"/>
      <c r="L893" s="17"/>
    </row>
    <row r="894" spans="1:12">
      <c r="A894" s="45"/>
      <c r="B894" s="43">
        <v>45</v>
      </c>
      <c r="C894" s="19"/>
      <c r="D894" s="20">
        <v>0</v>
      </c>
      <c r="E894" s="21">
        <v>1</v>
      </c>
      <c r="F894" s="20">
        <f>D894*E894</f>
        <v>0</v>
      </c>
      <c r="G894" s="21">
        <v>102</v>
      </c>
      <c r="H894" s="20">
        <f>F894*G894</f>
        <v>0</v>
      </c>
      <c r="I894" s="2"/>
      <c r="J894" s="17"/>
      <c r="K894" s="17"/>
      <c r="L894" s="17"/>
    </row>
    <row r="895" spans="1:12">
      <c r="A895" s="45"/>
      <c r="B895" s="43"/>
      <c r="C895" s="14" t="s">
        <v>573</v>
      </c>
      <c r="D895" s="20"/>
      <c r="F895" s="20"/>
      <c r="H895" s="25">
        <f>SUM(H850:H894)</f>
        <v>2689900</v>
      </c>
      <c r="I895" s="2"/>
      <c r="J895" s="17"/>
      <c r="K895" s="17"/>
      <c r="L895" s="17"/>
    </row>
    <row r="896" spans="1:12">
      <c r="A896" s="45"/>
      <c r="B896" s="43"/>
      <c r="C896" s="14"/>
      <c r="D896" s="20"/>
      <c r="F896" s="20"/>
      <c r="H896" s="25"/>
      <c r="I896" s="2"/>
      <c r="J896" s="17"/>
      <c r="K896" s="17"/>
      <c r="L896" s="17"/>
    </row>
    <row r="897" spans="1:12">
      <c r="A897" s="45"/>
      <c r="B897" s="46"/>
      <c r="C897" s="14" t="s">
        <v>574</v>
      </c>
      <c r="D897" s="20"/>
      <c r="F897" s="20"/>
      <c r="H897" s="20"/>
      <c r="I897" s="2"/>
      <c r="J897" s="17"/>
      <c r="K897" s="17"/>
      <c r="L897" s="17"/>
    </row>
    <row r="898" spans="1:12">
      <c r="A898" s="45"/>
      <c r="B898" s="43">
        <v>1</v>
      </c>
      <c r="C898" s="19"/>
      <c r="D898" s="20">
        <v>0</v>
      </c>
      <c r="E898" s="21">
        <v>1</v>
      </c>
      <c r="F898" s="20">
        <f>D898*E898</f>
        <v>0</v>
      </c>
      <c r="G898" s="21">
        <v>101</v>
      </c>
      <c r="H898" s="20">
        <f>F898*G898</f>
        <v>0</v>
      </c>
      <c r="I898" s="2"/>
      <c r="J898" s="17"/>
      <c r="K898" s="17"/>
      <c r="L898" s="17"/>
    </row>
    <row r="899" spans="1:12">
      <c r="A899" s="45"/>
      <c r="B899" s="43">
        <v>2</v>
      </c>
      <c r="C899" s="19"/>
      <c r="D899" s="20">
        <v>0</v>
      </c>
      <c r="E899" s="21">
        <v>1</v>
      </c>
      <c r="F899" s="20">
        <f>D899*E899</f>
        <v>0</v>
      </c>
      <c r="G899" s="21">
        <v>102</v>
      </c>
      <c r="H899" s="20">
        <f>F899*G899</f>
        <v>0</v>
      </c>
      <c r="I899" s="2"/>
      <c r="J899" s="17"/>
      <c r="K899" s="17"/>
      <c r="L899" s="17"/>
    </row>
    <row r="900" spans="1:12">
      <c r="A900" s="45"/>
      <c r="B900" s="43"/>
      <c r="C900" s="14" t="s">
        <v>575</v>
      </c>
      <c r="D900" s="20"/>
      <c r="F900" s="20"/>
      <c r="H900" s="25">
        <f>SUM(H898:H899)</f>
        <v>0</v>
      </c>
      <c r="I900" s="2"/>
      <c r="J900" s="17"/>
      <c r="K900" s="17"/>
      <c r="L900" s="17"/>
    </row>
    <row r="901" spans="1:12">
      <c r="A901" s="45"/>
      <c r="B901" s="43"/>
      <c r="C901" s="14"/>
      <c r="D901" s="20"/>
      <c r="F901" s="20"/>
      <c r="H901" s="25"/>
      <c r="I901" s="2"/>
      <c r="J901" s="17"/>
      <c r="K901" s="17"/>
      <c r="L901" s="17"/>
    </row>
    <row r="902" spans="1:12">
      <c r="A902" s="45"/>
      <c r="B902" s="43"/>
      <c r="C902" s="14" t="s">
        <v>576</v>
      </c>
      <c r="D902" s="20"/>
      <c r="F902" s="20"/>
      <c r="H902" s="25">
        <f>H810+H815+H820+H825+H830+H847+H895+H900</f>
        <v>2729900</v>
      </c>
      <c r="I902" s="2"/>
      <c r="J902" s="17"/>
      <c r="K902" s="17"/>
      <c r="L902" s="17"/>
    </row>
    <row r="903" spans="1:12">
      <c r="A903" s="45"/>
      <c r="B903" s="46"/>
      <c r="C903" s="14"/>
      <c r="D903" s="20"/>
      <c r="F903" s="20"/>
      <c r="H903" s="20"/>
      <c r="I903" s="2"/>
      <c r="J903" s="17"/>
      <c r="K903" s="17"/>
      <c r="L903" s="17"/>
    </row>
    <row r="904" spans="1:12">
      <c r="A904" s="45"/>
      <c r="B904" s="42" t="s">
        <v>577</v>
      </c>
      <c r="C904" s="14" t="s">
        <v>578</v>
      </c>
      <c r="D904" s="20"/>
      <c r="F904" s="20"/>
      <c r="H904" s="20"/>
      <c r="I904" s="2"/>
      <c r="J904" s="17"/>
      <c r="K904" s="17"/>
      <c r="L904" s="17"/>
    </row>
    <row r="905" spans="1:12">
      <c r="A905" s="45"/>
      <c r="B905" s="43">
        <v>1</v>
      </c>
      <c r="C905" s="19"/>
      <c r="D905" s="20">
        <v>0</v>
      </c>
      <c r="E905" s="21">
        <v>1</v>
      </c>
      <c r="F905" s="20">
        <f>D905*E905</f>
        <v>0</v>
      </c>
      <c r="G905" s="21">
        <v>101</v>
      </c>
      <c r="H905" s="20">
        <f>F905*G905</f>
        <v>0</v>
      </c>
      <c r="I905" s="2"/>
      <c r="J905" s="17"/>
      <c r="K905" s="17"/>
      <c r="L905" s="17"/>
    </row>
    <row r="906" spans="1:12">
      <c r="A906" s="45"/>
      <c r="B906" s="43">
        <v>2</v>
      </c>
      <c r="C906" s="19"/>
      <c r="D906" s="20">
        <v>0</v>
      </c>
      <c r="E906" s="21">
        <v>1</v>
      </c>
      <c r="F906" s="20">
        <f>D906*E906</f>
        <v>0</v>
      </c>
      <c r="G906" s="21">
        <v>102</v>
      </c>
      <c r="H906" s="20">
        <f>F906*G906</f>
        <v>0</v>
      </c>
      <c r="I906" s="2"/>
      <c r="J906" s="17"/>
      <c r="K906" s="17"/>
      <c r="L906" s="17"/>
    </row>
    <row r="907" spans="1:12">
      <c r="A907" s="45"/>
      <c r="B907" s="43"/>
      <c r="C907" s="14" t="s">
        <v>579</v>
      </c>
      <c r="D907" s="20"/>
      <c r="F907" s="20"/>
      <c r="H907" s="25">
        <f>SUM(H905:H906)</f>
        <v>0</v>
      </c>
      <c r="I907" s="2"/>
      <c r="J907" s="17"/>
      <c r="K907" s="17"/>
      <c r="L907" s="17"/>
    </row>
    <row r="908" spans="1:12">
      <c r="A908" s="45"/>
      <c r="B908" s="42"/>
      <c r="C908" s="14"/>
      <c r="D908" s="20"/>
      <c r="F908" s="20"/>
      <c r="H908" s="20"/>
      <c r="I908" s="2"/>
      <c r="J908" s="17"/>
      <c r="K908" s="17"/>
      <c r="L908" s="17"/>
    </row>
    <row r="909" spans="1:12">
      <c r="A909" s="45"/>
      <c r="B909" s="46"/>
      <c r="C909" s="14" t="s">
        <v>580</v>
      </c>
      <c r="D909" s="20"/>
      <c r="F909" s="20"/>
      <c r="H909" s="20"/>
      <c r="I909" s="2"/>
      <c r="J909" s="17"/>
      <c r="K909" s="17"/>
      <c r="L909" s="17"/>
    </row>
    <row r="910" spans="1:12">
      <c r="A910" s="45"/>
      <c r="B910" s="43">
        <v>1</v>
      </c>
      <c r="C910" s="19"/>
      <c r="D910" s="20">
        <v>0</v>
      </c>
      <c r="E910" s="21">
        <v>1</v>
      </c>
      <c r="F910" s="20">
        <f>D910*E910</f>
        <v>0</v>
      </c>
      <c r="G910" s="21">
        <v>101</v>
      </c>
      <c r="H910" s="20">
        <f>F910*G910</f>
        <v>0</v>
      </c>
      <c r="I910" s="2"/>
      <c r="J910" s="17"/>
      <c r="K910" s="17"/>
      <c r="L910" s="17"/>
    </row>
    <row r="911" spans="1:12">
      <c r="A911" s="45"/>
      <c r="B911" s="43">
        <v>2</v>
      </c>
      <c r="C911" s="19"/>
      <c r="D911" s="20">
        <v>0</v>
      </c>
      <c r="E911" s="21">
        <v>1</v>
      </c>
      <c r="F911" s="20">
        <f>D911*E911</f>
        <v>0</v>
      </c>
      <c r="G911" s="21">
        <v>102</v>
      </c>
      <c r="H911" s="20">
        <f>F911*G911</f>
        <v>0</v>
      </c>
      <c r="I911" s="2"/>
      <c r="J911" s="17"/>
      <c r="K911" s="17"/>
      <c r="L911" s="17"/>
    </row>
    <row r="912" spans="1:12">
      <c r="A912" s="45"/>
      <c r="B912" s="43"/>
      <c r="C912" s="14" t="s">
        <v>581</v>
      </c>
      <c r="D912" s="20"/>
      <c r="F912" s="20"/>
      <c r="H912" s="25">
        <f>SUM(H910:H911)</f>
        <v>0</v>
      </c>
      <c r="I912" s="2"/>
      <c r="J912" s="17"/>
      <c r="K912" s="17"/>
      <c r="L912" s="17"/>
    </row>
    <row r="913" spans="1:12">
      <c r="A913" s="45"/>
      <c r="B913" s="46"/>
      <c r="C913" s="14"/>
      <c r="D913" s="20"/>
      <c r="F913" s="20"/>
      <c r="H913" s="20"/>
      <c r="I913" s="2"/>
      <c r="J913" s="17"/>
      <c r="K913" s="17"/>
      <c r="L913" s="17"/>
    </row>
    <row r="914" spans="1:12">
      <c r="A914" s="45"/>
      <c r="B914" s="46"/>
      <c r="C914" s="14" t="s">
        <v>582</v>
      </c>
      <c r="D914" s="20"/>
      <c r="F914" s="20"/>
      <c r="H914" s="20"/>
      <c r="I914" s="2"/>
      <c r="J914" s="17"/>
      <c r="K914" s="17"/>
      <c r="L914" s="17"/>
    </row>
    <row r="915" spans="1:12">
      <c r="A915" s="45"/>
      <c r="B915" s="43">
        <v>1</v>
      </c>
      <c r="C915" s="19"/>
      <c r="D915" s="20">
        <v>0</v>
      </c>
      <c r="E915" s="21">
        <v>1</v>
      </c>
      <c r="F915" s="20">
        <f>D915*E915</f>
        <v>0</v>
      </c>
      <c r="G915" s="21">
        <v>101</v>
      </c>
      <c r="H915" s="20">
        <f>F915*G915</f>
        <v>0</v>
      </c>
      <c r="I915" s="2"/>
      <c r="J915" s="17"/>
      <c r="K915" s="17"/>
      <c r="L915" s="17"/>
    </row>
    <row r="916" spans="1:12">
      <c r="A916" s="45"/>
      <c r="B916" s="43">
        <v>2</v>
      </c>
      <c r="C916" s="19"/>
      <c r="D916" s="20">
        <v>0</v>
      </c>
      <c r="E916" s="21">
        <v>1</v>
      </c>
      <c r="F916" s="20">
        <f>D916*E916</f>
        <v>0</v>
      </c>
      <c r="G916" s="21">
        <v>102</v>
      </c>
      <c r="H916" s="20">
        <f>F916*G916</f>
        <v>0</v>
      </c>
      <c r="I916" s="2"/>
      <c r="J916" s="17"/>
      <c r="K916" s="17"/>
      <c r="L916" s="17"/>
    </row>
    <row r="917" spans="1:12">
      <c r="A917" s="45"/>
      <c r="B917" s="43"/>
      <c r="C917" s="14" t="s">
        <v>583</v>
      </c>
      <c r="D917" s="20"/>
      <c r="F917" s="20"/>
      <c r="H917" s="25">
        <f>SUM(H915:H916)</f>
        <v>0</v>
      </c>
      <c r="I917" s="2"/>
      <c r="J917" s="17"/>
      <c r="K917" s="17"/>
      <c r="L917" s="17"/>
    </row>
    <row r="918" spans="1:12">
      <c r="A918" s="45"/>
      <c r="B918" s="46"/>
      <c r="C918" s="14"/>
      <c r="D918" s="20"/>
      <c r="F918" s="20"/>
      <c r="H918" s="20"/>
      <c r="I918" s="2"/>
      <c r="J918" s="17"/>
      <c r="K918" s="17"/>
      <c r="L918" s="17"/>
    </row>
    <row r="919" spans="1:12">
      <c r="A919" s="45"/>
      <c r="B919" s="46"/>
      <c r="C919" s="14" t="s">
        <v>584</v>
      </c>
      <c r="D919" s="20"/>
      <c r="F919" s="20"/>
      <c r="H919" s="20"/>
      <c r="I919" s="2"/>
      <c r="J919" s="17"/>
      <c r="K919" s="17"/>
      <c r="L919" s="17"/>
    </row>
    <row r="920" spans="1:12">
      <c r="A920" s="45"/>
      <c r="B920" s="43">
        <v>1</v>
      </c>
      <c r="C920" s="19"/>
      <c r="D920" s="20">
        <v>0</v>
      </c>
      <c r="E920" s="21">
        <v>1</v>
      </c>
      <c r="F920" s="20">
        <f>D920*E920</f>
        <v>0</v>
      </c>
      <c r="G920" s="21">
        <v>101</v>
      </c>
      <c r="H920" s="20">
        <f>F920*G920</f>
        <v>0</v>
      </c>
      <c r="I920" s="2"/>
      <c r="J920" s="17"/>
      <c r="K920" s="17"/>
      <c r="L920" s="17"/>
    </row>
    <row r="921" spans="1:12">
      <c r="A921" s="45"/>
      <c r="B921" s="43">
        <v>2</v>
      </c>
      <c r="C921" s="19"/>
      <c r="D921" s="20">
        <v>0</v>
      </c>
      <c r="E921" s="21">
        <v>1</v>
      </c>
      <c r="F921" s="20">
        <f>D921*E921</f>
        <v>0</v>
      </c>
      <c r="G921" s="21">
        <v>102</v>
      </c>
      <c r="H921" s="20">
        <f>F921*G921</f>
        <v>0</v>
      </c>
      <c r="I921" s="2"/>
      <c r="J921" s="17"/>
      <c r="K921" s="17"/>
      <c r="L921" s="17"/>
    </row>
    <row r="922" spans="1:12">
      <c r="A922" s="45"/>
      <c r="B922" s="43"/>
      <c r="C922" s="14" t="s">
        <v>585</v>
      </c>
      <c r="D922" s="20"/>
      <c r="F922" s="20"/>
      <c r="H922" s="25">
        <f>SUM(H920:H921)</f>
        <v>0</v>
      </c>
      <c r="I922" s="2"/>
      <c r="J922" s="17"/>
      <c r="K922" s="17"/>
      <c r="L922" s="17"/>
    </row>
    <row r="923" spans="1:12">
      <c r="A923" s="45"/>
      <c r="B923" s="46"/>
      <c r="C923" s="14"/>
      <c r="D923" s="20"/>
      <c r="F923" s="20"/>
      <c r="H923" s="20"/>
      <c r="I923" s="2"/>
      <c r="J923" s="17"/>
      <c r="K923" s="17"/>
      <c r="L923" s="17"/>
    </row>
    <row r="924" spans="1:12">
      <c r="A924" s="45"/>
      <c r="B924" s="46"/>
      <c r="C924" s="14" t="s">
        <v>586</v>
      </c>
      <c r="D924" s="20"/>
      <c r="F924" s="20"/>
      <c r="H924" s="20"/>
      <c r="I924" s="2"/>
      <c r="J924" s="17"/>
      <c r="K924" s="17"/>
      <c r="L924" s="17"/>
    </row>
    <row r="925" spans="1:12">
      <c r="A925" s="45"/>
      <c r="B925" s="43">
        <v>1</v>
      </c>
      <c r="C925" s="19" t="s">
        <v>496</v>
      </c>
      <c r="D925" s="20">
        <v>2154</v>
      </c>
      <c r="E925" s="21">
        <v>1</v>
      </c>
      <c r="F925" s="20">
        <f>D925*E925</f>
        <v>2154</v>
      </c>
      <c r="G925" s="69">
        <f>K43</f>
        <v>5384.6153846153802</v>
      </c>
      <c r="H925" s="20">
        <f>F925*G925</f>
        <v>11598461.538461529</v>
      </c>
      <c r="I925" s="2"/>
      <c r="J925" s="17"/>
      <c r="K925" s="17"/>
      <c r="L925" s="17"/>
    </row>
    <row r="926" spans="1:12">
      <c r="A926" s="45"/>
      <c r="B926" s="43">
        <v>2</v>
      </c>
      <c r="C926" s="19" t="s">
        <v>497</v>
      </c>
      <c r="D926" s="20">
        <v>1236</v>
      </c>
      <c r="E926" s="21">
        <v>1</v>
      </c>
      <c r="F926" s="20">
        <f t="shared" ref="F926:F937" si="86">D926*E926</f>
        <v>1236</v>
      </c>
      <c r="G926" s="69">
        <f>K44</f>
        <v>8307.6923076923104</v>
      </c>
      <c r="H926" s="20">
        <f t="shared" ref="H926:H937" si="87">F926*G926</f>
        <v>10268307.692307696</v>
      </c>
      <c r="I926" s="2"/>
      <c r="J926" s="17"/>
      <c r="K926" s="17"/>
      <c r="L926" s="17"/>
    </row>
    <row r="927" spans="1:12">
      <c r="A927" s="45"/>
      <c r="B927" s="43">
        <v>3</v>
      </c>
      <c r="C927" s="19" t="s">
        <v>587</v>
      </c>
      <c r="D927" s="20">
        <v>546</v>
      </c>
      <c r="E927" s="21">
        <v>1</v>
      </c>
      <c r="F927" s="20">
        <f t="shared" si="86"/>
        <v>546</v>
      </c>
      <c r="G927" s="69">
        <v>60.769230769230766</v>
      </c>
      <c r="H927" s="20">
        <f t="shared" si="87"/>
        <v>33180</v>
      </c>
      <c r="I927" s="2"/>
      <c r="J927" s="17"/>
      <c r="K927" s="17"/>
      <c r="L927" s="17"/>
    </row>
    <row r="928" spans="1:12">
      <c r="A928" s="45"/>
      <c r="B928" s="43">
        <v>4</v>
      </c>
      <c r="C928" s="19" t="s">
        <v>503</v>
      </c>
      <c r="D928" s="20">
        <v>174</v>
      </c>
      <c r="E928" s="21">
        <v>1</v>
      </c>
      <c r="F928" s="20">
        <f t="shared" si="86"/>
        <v>174</v>
      </c>
      <c r="G928" s="69">
        <v>40</v>
      </c>
      <c r="H928" s="20">
        <f t="shared" si="87"/>
        <v>6960</v>
      </c>
      <c r="I928" s="2"/>
      <c r="J928" s="17"/>
      <c r="K928" s="17"/>
      <c r="L928" s="17"/>
    </row>
    <row r="929" spans="1:12">
      <c r="A929" s="45"/>
      <c r="B929" s="43">
        <v>5</v>
      </c>
      <c r="C929" s="19" t="s">
        <v>504</v>
      </c>
      <c r="D929" s="20">
        <v>35.783999999999999</v>
      </c>
      <c r="E929" s="21">
        <v>0.42599999999999999</v>
      </c>
      <c r="F929" s="20">
        <f t="shared" si="86"/>
        <v>15.243983999999999</v>
      </c>
      <c r="G929" s="69">
        <v>49000</v>
      </c>
      <c r="H929" s="20">
        <f t="shared" si="87"/>
        <v>746955.21600000001</v>
      </c>
      <c r="I929" s="2"/>
      <c r="J929" s="17"/>
      <c r="K929" s="17"/>
      <c r="L929" s="17"/>
    </row>
    <row r="930" spans="1:12">
      <c r="A930" s="45"/>
      <c r="B930" s="43">
        <v>6</v>
      </c>
      <c r="C930" s="19" t="s">
        <v>354</v>
      </c>
      <c r="D930" s="20">
        <v>84</v>
      </c>
      <c r="E930" s="21">
        <v>1</v>
      </c>
      <c r="F930" s="20">
        <f t="shared" si="86"/>
        <v>84</v>
      </c>
      <c r="G930" s="69">
        <v>230.76923076923077</v>
      </c>
      <c r="H930" s="20">
        <f t="shared" si="87"/>
        <v>19384.615384615387</v>
      </c>
      <c r="I930" s="2"/>
      <c r="J930" s="17"/>
      <c r="K930" s="17"/>
      <c r="L930" s="17"/>
    </row>
    <row r="931" spans="1:12">
      <c r="A931" s="45"/>
      <c r="B931" s="43">
        <v>7</v>
      </c>
      <c r="C931" s="19" t="s">
        <v>43</v>
      </c>
      <c r="D931" s="20">
        <v>208.93799999999999</v>
      </c>
      <c r="E931" s="21">
        <v>0.58199999999999996</v>
      </c>
      <c r="F931" s="20">
        <f t="shared" si="86"/>
        <v>121.60191599999999</v>
      </c>
      <c r="G931" s="69">
        <v>177.69230769230768</v>
      </c>
      <c r="H931" s="20">
        <f t="shared" si="87"/>
        <v>21607.725073846152</v>
      </c>
      <c r="I931" s="2"/>
      <c r="J931" s="17"/>
      <c r="K931" s="17"/>
      <c r="L931" s="17"/>
    </row>
    <row r="932" spans="1:12">
      <c r="A932" s="45"/>
      <c r="B932" s="43">
        <v>8</v>
      </c>
      <c r="C932" s="19" t="s">
        <v>45</v>
      </c>
      <c r="D932" s="20">
        <v>835.75199999999995</v>
      </c>
      <c r="E932" s="21">
        <v>0.58199999999999996</v>
      </c>
      <c r="F932" s="20">
        <f t="shared" si="86"/>
        <v>486.40766399999995</v>
      </c>
      <c r="G932" s="69">
        <v>77.692307692307693</v>
      </c>
      <c r="H932" s="20">
        <f t="shared" si="87"/>
        <v>37790.133895384613</v>
      </c>
      <c r="I932" s="2"/>
      <c r="J932" s="17"/>
      <c r="K932" s="17"/>
      <c r="L932" s="17"/>
    </row>
    <row r="933" spans="1:12">
      <c r="A933" s="45"/>
      <c r="B933" s="43">
        <v>9</v>
      </c>
      <c r="C933" s="19" t="s">
        <v>47</v>
      </c>
      <c r="D933" s="20">
        <v>1253.6279999999999</v>
      </c>
      <c r="E933" s="21">
        <v>0.58199999999999996</v>
      </c>
      <c r="F933" s="20">
        <f t="shared" si="86"/>
        <v>729.61149599999987</v>
      </c>
      <c r="G933" s="69">
        <v>264.61538461538458</v>
      </c>
      <c r="H933" s="20">
        <f t="shared" si="87"/>
        <v>193066.4266338461</v>
      </c>
      <c r="I933" s="2"/>
      <c r="J933" s="17"/>
      <c r="K933" s="17"/>
      <c r="L933" s="17"/>
    </row>
    <row r="934" spans="1:12">
      <c r="A934" s="45"/>
      <c r="B934" s="43">
        <v>10</v>
      </c>
      <c r="C934" s="19" t="s">
        <v>51</v>
      </c>
      <c r="D934" s="20">
        <v>310.17599999999999</v>
      </c>
      <c r="E934" s="21">
        <v>0.216</v>
      </c>
      <c r="F934" s="20">
        <f t="shared" si="86"/>
        <v>66.998015999999993</v>
      </c>
      <c r="G934" s="69">
        <v>150</v>
      </c>
      <c r="H934" s="20">
        <f t="shared" si="87"/>
        <v>10049.702399999998</v>
      </c>
      <c r="I934" s="2"/>
      <c r="J934" s="17"/>
      <c r="K934" s="17"/>
      <c r="L934" s="17"/>
    </row>
    <row r="935" spans="1:12">
      <c r="A935" s="45"/>
      <c r="B935" s="43">
        <v>11</v>
      </c>
      <c r="C935" s="19" t="s">
        <v>52</v>
      </c>
      <c r="D935" s="20">
        <v>1.5508799999999998</v>
      </c>
      <c r="E935" s="21">
        <v>0.14399999999999999</v>
      </c>
      <c r="F935" s="20">
        <f t="shared" si="86"/>
        <v>0.22332671999999995</v>
      </c>
      <c r="G935" s="69">
        <v>9000</v>
      </c>
      <c r="H935" s="20">
        <f t="shared" si="87"/>
        <v>2009.9404799999995</v>
      </c>
      <c r="I935" s="2"/>
      <c r="J935" s="17"/>
      <c r="K935" s="17"/>
      <c r="L935" s="17"/>
    </row>
    <row r="936" spans="1:12">
      <c r="A936" s="45"/>
      <c r="B936" s="43">
        <v>12</v>
      </c>
      <c r="C936" s="19"/>
      <c r="D936" s="20">
        <v>0</v>
      </c>
      <c r="E936" s="21">
        <v>1</v>
      </c>
      <c r="F936" s="20">
        <f t="shared" si="86"/>
        <v>0</v>
      </c>
      <c r="G936" s="21">
        <v>112</v>
      </c>
      <c r="H936" s="20">
        <f t="shared" si="87"/>
        <v>0</v>
      </c>
      <c r="I936" s="2"/>
      <c r="J936" s="17"/>
      <c r="K936" s="17"/>
      <c r="L936" s="17"/>
    </row>
    <row r="937" spans="1:12">
      <c r="A937" s="45"/>
      <c r="B937" s="43">
        <v>13</v>
      </c>
      <c r="C937" s="19"/>
      <c r="D937" s="20">
        <v>0</v>
      </c>
      <c r="E937" s="21">
        <v>1</v>
      </c>
      <c r="F937" s="20">
        <f t="shared" si="86"/>
        <v>0</v>
      </c>
      <c r="G937" s="21">
        <v>113</v>
      </c>
      <c r="H937" s="20">
        <f t="shared" si="87"/>
        <v>0</v>
      </c>
      <c r="I937" s="2"/>
      <c r="J937" s="17"/>
      <c r="K937" s="17"/>
      <c r="L937" s="17"/>
    </row>
    <row r="938" spans="1:12">
      <c r="A938" s="45"/>
      <c r="B938" s="43">
        <v>14</v>
      </c>
      <c r="C938" s="19"/>
      <c r="D938" s="20">
        <v>0</v>
      </c>
      <c r="E938" s="21">
        <v>1</v>
      </c>
      <c r="F938" s="20">
        <f>D938*E938</f>
        <v>0</v>
      </c>
      <c r="G938" s="21">
        <v>102</v>
      </c>
      <c r="H938" s="20">
        <f>F938*G938</f>
        <v>0</v>
      </c>
      <c r="I938" s="2"/>
      <c r="J938" s="17"/>
      <c r="K938" s="17"/>
      <c r="L938" s="17"/>
    </row>
    <row r="939" spans="1:12">
      <c r="A939" s="45"/>
      <c r="B939" s="43"/>
      <c r="C939" s="14" t="s">
        <v>588</v>
      </c>
      <c r="D939" s="20"/>
      <c r="F939" s="20"/>
      <c r="H939" s="25">
        <f>SUM(H925:H938)</f>
        <v>22937772.990636919</v>
      </c>
      <c r="I939" s="2"/>
      <c r="J939" s="17"/>
      <c r="K939" s="17"/>
      <c r="L939" s="17"/>
    </row>
    <row r="940" spans="1:12">
      <c r="A940" s="45"/>
      <c r="B940" s="46"/>
      <c r="C940" s="14"/>
      <c r="D940" s="20"/>
      <c r="F940" s="20"/>
      <c r="H940" s="20"/>
      <c r="I940" s="2"/>
      <c r="J940" s="17"/>
      <c r="K940" s="17"/>
      <c r="L940" s="17"/>
    </row>
    <row r="941" spans="1:12">
      <c r="A941" s="45"/>
      <c r="B941" s="46"/>
      <c r="C941" s="14" t="s">
        <v>589</v>
      </c>
      <c r="D941" s="20"/>
      <c r="F941" s="20"/>
      <c r="H941" s="20"/>
      <c r="I941" s="2"/>
      <c r="J941" s="17"/>
      <c r="K941" s="17"/>
      <c r="L941" s="17"/>
    </row>
    <row r="942" spans="1:12">
      <c r="A942" s="45"/>
      <c r="B942" s="43">
        <v>1</v>
      </c>
      <c r="C942" s="19"/>
      <c r="D942" s="20">
        <v>0</v>
      </c>
      <c r="E942" s="21">
        <v>1</v>
      </c>
      <c r="F942" s="20">
        <f>D942*E942</f>
        <v>0</v>
      </c>
      <c r="G942" s="21">
        <v>101</v>
      </c>
      <c r="H942" s="20">
        <f>F942*G942</f>
        <v>0</v>
      </c>
      <c r="I942" s="2"/>
      <c r="J942" s="17"/>
      <c r="K942" s="17"/>
      <c r="L942" s="17"/>
    </row>
    <row r="943" spans="1:12">
      <c r="A943" s="45"/>
      <c r="B943" s="43">
        <v>2</v>
      </c>
      <c r="C943" s="19"/>
      <c r="D943" s="20">
        <v>0</v>
      </c>
      <c r="E943" s="21">
        <v>1</v>
      </c>
      <c r="F943" s="20">
        <f>D943*E943</f>
        <v>0</v>
      </c>
      <c r="G943" s="21">
        <v>102</v>
      </c>
      <c r="H943" s="20">
        <f>F943*G943</f>
        <v>0</v>
      </c>
      <c r="I943" s="2"/>
      <c r="J943" s="17"/>
      <c r="K943" s="17"/>
      <c r="L943" s="17"/>
    </row>
    <row r="944" spans="1:12">
      <c r="A944" s="45"/>
      <c r="B944" s="43"/>
      <c r="C944" s="14" t="s">
        <v>590</v>
      </c>
      <c r="D944" s="20"/>
      <c r="F944" s="20"/>
      <c r="H944" s="25">
        <f>SUM(H942:H943)</f>
        <v>0</v>
      </c>
      <c r="I944" s="2"/>
      <c r="J944" s="17"/>
      <c r="K944" s="17"/>
      <c r="L944" s="17"/>
    </row>
    <row r="945" spans="1:12">
      <c r="A945" s="45"/>
      <c r="B945" s="46"/>
      <c r="C945" s="14"/>
      <c r="D945" s="20"/>
      <c r="F945" s="20"/>
      <c r="H945" s="20"/>
      <c r="I945" s="2"/>
      <c r="J945" s="17"/>
      <c r="K945" s="17"/>
      <c r="L945" s="17"/>
    </row>
    <row r="946" spans="1:12">
      <c r="A946" s="45"/>
      <c r="B946" s="46"/>
      <c r="C946" s="14" t="s">
        <v>591</v>
      </c>
      <c r="D946" s="20"/>
      <c r="F946" s="20"/>
      <c r="H946" s="20"/>
      <c r="I946" s="2"/>
      <c r="J946" s="17"/>
      <c r="K946" s="17"/>
      <c r="L946" s="17"/>
    </row>
    <row r="947" spans="1:12">
      <c r="A947" s="45"/>
      <c r="B947" s="43">
        <v>1</v>
      </c>
      <c r="C947" s="19"/>
      <c r="D947" s="20">
        <v>0</v>
      </c>
      <c r="E947" s="21">
        <v>1</v>
      </c>
      <c r="F947" s="20">
        <f>D947*E947</f>
        <v>0</v>
      </c>
      <c r="G947" s="21">
        <v>101</v>
      </c>
      <c r="H947" s="20">
        <f>F947*G947</f>
        <v>0</v>
      </c>
      <c r="I947" s="2"/>
      <c r="J947" s="17"/>
      <c r="K947" s="17"/>
      <c r="L947" s="17"/>
    </row>
    <row r="948" spans="1:12">
      <c r="A948" s="45"/>
      <c r="B948" s="43">
        <v>2</v>
      </c>
      <c r="C948" s="19"/>
      <c r="D948" s="20">
        <v>0</v>
      </c>
      <c r="E948" s="21">
        <v>1</v>
      </c>
      <c r="F948" s="20">
        <f>D948*E948</f>
        <v>0</v>
      </c>
      <c r="G948" s="21">
        <v>102</v>
      </c>
      <c r="H948" s="20">
        <f>F948*G948</f>
        <v>0</v>
      </c>
      <c r="I948" s="2"/>
      <c r="J948" s="17"/>
      <c r="K948" s="17"/>
      <c r="L948" s="17"/>
    </row>
    <row r="949" spans="1:12">
      <c r="A949" s="45"/>
      <c r="B949" s="43"/>
      <c r="C949" s="14" t="s">
        <v>592</v>
      </c>
      <c r="D949" s="20"/>
      <c r="F949" s="20"/>
      <c r="H949" s="25">
        <f>SUM(H947:H948)</f>
        <v>0</v>
      </c>
      <c r="I949" s="2"/>
      <c r="J949" s="17"/>
      <c r="K949" s="17"/>
      <c r="L949" s="17"/>
    </row>
    <row r="950" spans="1:12">
      <c r="A950" s="45"/>
      <c r="B950" s="43"/>
      <c r="C950" s="14"/>
      <c r="D950" s="20"/>
      <c r="F950" s="20"/>
      <c r="H950" s="25"/>
      <c r="I950" s="2"/>
      <c r="J950" s="17"/>
      <c r="K950" s="17"/>
      <c r="L950" s="17"/>
    </row>
    <row r="951" spans="1:12">
      <c r="A951" s="45"/>
      <c r="B951" s="46"/>
      <c r="C951" s="14" t="s">
        <v>593</v>
      </c>
      <c r="D951" s="20"/>
      <c r="F951" s="20"/>
      <c r="H951" s="20"/>
      <c r="I951" s="2"/>
      <c r="J951" s="17"/>
      <c r="K951" s="17"/>
      <c r="L951" s="17"/>
    </row>
    <row r="952" spans="1:12">
      <c r="A952" s="45"/>
      <c r="B952" s="43">
        <v>1</v>
      </c>
      <c r="C952" s="19"/>
      <c r="D952" s="20">
        <v>0</v>
      </c>
      <c r="E952" s="21">
        <v>1</v>
      </c>
      <c r="F952" s="20">
        <f>D952*E952</f>
        <v>0</v>
      </c>
      <c r="G952" s="21">
        <v>101</v>
      </c>
      <c r="H952" s="20">
        <f>F952*G952</f>
        <v>0</v>
      </c>
      <c r="I952" s="2"/>
      <c r="J952" s="17"/>
      <c r="K952" s="17"/>
      <c r="L952" s="17"/>
    </row>
    <row r="953" spans="1:12">
      <c r="A953" s="45"/>
      <c r="B953" s="43">
        <v>2</v>
      </c>
      <c r="C953" s="19"/>
      <c r="D953" s="20">
        <v>0</v>
      </c>
      <c r="E953" s="21">
        <v>1</v>
      </c>
      <c r="F953" s="20">
        <f>D953*E953</f>
        <v>0</v>
      </c>
      <c r="G953" s="21">
        <v>102</v>
      </c>
      <c r="H953" s="20">
        <f>F953*G953</f>
        <v>0</v>
      </c>
      <c r="I953" s="2"/>
      <c r="J953" s="17"/>
      <c r="K953" s="17"/>
      <c r="L953" s="17"/>
    </row>
    <row r="954" spans="1:12">
      <c r="A954" s="45"/>
      <c r="B954" s="43"/>
      <c r="C954" s="14" t="s">
        <v>594</v>
      </c>
      <c r="D954" s="20"/>
      <c r="F954" s="20"/>
      <c r="H954" s="25">
        <f>SUM(H952:H953)</f>
        <v>0</v>
      </c>
      <c r="I954" s="2"/>
      <c r="J954" s="17"/>
      <c r="K954" s="17"/>
      <c r="L954" s="17"/>
    </row>
    <row r="955" spans="1:12">
      <c r="A955" s="45"/>
      <c r="B955" s="43"/>
      <c r="C955" s="14"/>
      <c r="D955" s="20"/>
      <c r="F955" s="20"/>
      <c r="H955" s="25"/>
      <c r="I955" s="2"/>
      <c r="J955" s="17"/>
      <c r="K955" s="17"/>
      <c r="L955" s="17"/>
    </row>
    <row r="956" spans="1:12">
      <c r="A956" s="45"/>
      <c r="B956" s="46"/>
      <c r="C956" s="14" t="s">
        <v>595</v>
      </c>
      <c r="D956" s="20"/>
      <c r="F956" s="20"/>
      <c r="H956" s="25">
        <f>H907+H912+H917+H922+H939+H944+H949+H954</f>
        <v>22937772.990636919</v>
      </c>
      <c r="I956" s="2"/>
      <c r="J956" s="17"/>
      <c r="K956" s="17"/>
      <c r="L956" s="17"/>
    </row>
    <row r="957" spans="1:12">
      <c r="A957" s="45"/>
      <c r="B957" s="46"/>
      <c r="C957" s="14"/>
      <c r="D957" s="20"/>
      <c r="F957" s="20"/>
      <c r="H957" s="20"/>
      <c r="I957" s="2"/>
      <c r="J957" s="17"/>
      <c r="K957" s="17"/>
      <c r="L957" s="17"/>
    </row>
    <row r="958" spans="1:12" ht="26">
      <c r="A958" s="45"/>
      <c r="B958" s="42" t="s">
        <v>596</v>
      </c>
      <c r="C958" s="14" t="s">
        <v>597</v>
      </c>
      <c r="D958" s="20"/>
      <c r="F958" s="20"/>
      <c r="H958" s="20"/>
      <c r="I958" s="2"/>
      <c r="J958" s="17"/>
      <c r="K958" s="17"/>
      <c r="L958" s="17"/>
    </row>
    <row r="959" spans="1:12">
      <c r="A959" s="45"/>
      <c r="B959" s="43">
        <v>1</v>
      </c>
      <c r="C959" s="19"/>
      <c r="D959" s="20">
        <v>0</v>
      </c>
      <c r="E959" s="21">
        <v>0</v>
      </c>
      <c r="F959" s="20">
        <f>D959*E959</f>
        <v>0</v>
      </c>
      <c r="G959" s="21">
        <v>101</v>
      </c>
      <c r="H959" s="20">
        <f>F959*G959</f>
        <v>0</v>
      </c>
      <c r="I959" s="2"/>
      <c r="J959" s="17"/>
      <c r="K959" s="17"/>
      <c r="L959" s="17"/>
    </row>
    <row r="960" spans="1:12">
      <c r="A960" s="45"/>
      <c r="B960" s="43">
        <v>2</v>
      </c>
      <c r="C960" s="19"/>
      <c r="D960" s="20">
        <v>0</v>
      </c>
      <c r="E960" s="21">
        <v>1</v>
      </c>
      <c r="F960" s="20">
        <f t="shared" ref="F960:F964" si="88">D960*E960</f>
        <v>0</v>
      </c>
      <c r="G960" s="21">
        <v>102</v>
      </c>
      <c r="H960" s="20">
        <f t="shared" ref="H960:H964" si="89">F960*G960</f>
        <v>0</v>
      </c>
      <c r="I960" s="2"/>
      <c r="J960" s="17"/>
      <c r="K960" s="17"/>
      <c r="L960" s="17"/>
    </row>
    <row r="961" spans="1:12">
      <c r="A961" s="45"/>
      <c r="B961" s="43">
        <v>3</v>
      </c>
      <c r="C961" s="19"/>
      <c r="D961" s="20">
        <v>0</v>
      </c>
      <c r="E961" s="21">
        <v>1</v>
      </c>
      <c r="F961" s="20">
        <f t="shared" si="88"/>
        <v>0</v>
      </c>
      <c r="G961" s="21">
        <v>103</v>
      </c>
      <c r="H961" s="20">
        <f t="shared" si="89"/>
        <v>0</v>
      </c>
      <c r="I961" s="2"/>
      <c r="J961" s="17"/>
      <c r="K961" s="17"/>
      <c r="L961" s="17"/>
    </row>
    <row r="962" spans="1:12">
      <c r="A962" s="45"/>
      <c r="B962" s="43">
        <v>4</v>
      </c>
      <c r="C962" s="19"/>
      <c r="D962" s="20">
        <v>0</v>
      </c>
      <c r="E962" s="21">
        <v>1</v>
      </c>
      <c r="F962" s="20">
        <f t="shared" si="88"/>
        <v>0</v>
      </c>
      <c r="G962" s="21">
        <v>104</v>
      </c>
      <c r="H962" s="20">
        <f t="shared" si="89"/>
        <v>0</v>
      </c>
      <c r="I962" s="2"/>
      <c r="J962" s="17"/>
      <c r="K962" s="17"/>
      <c r="L962" s="17"/>
    </row>
    <row r="963" spans="1:12">
      <c r="A963" s="45"/>
      <c r="B963" s="43">
        <v>5</v>
      </c>
      <c r="C963" s="19"/>
      <c r="D963" s="20">
        <v>0</v>
      </c>
      <c r="E963" s="21">
        <v>1</v>
      </c>
      <c r="F963" s="20">
        <f t="shared" si="88"/>
        <v>0</v>
      </c>
      <c r="G963" s="21">
        <v>105</v>
      </c>
      <c r="H963" s="20">
        <f t="shared" si="89"/>
        <v>0</v>
      </c>
      <c r="I963" s="2"/>
      <c r="J963" s="17"/>
      <c r="K963" s="17"/>
      <c r="L963" s="17"/>
    </row>
    <row r="964" spans="1:12">
      <c r="A964" s="45"/>
      <c r="B964" s="43">
        <v>6</v>
      </c>
      <c r="C964" s="19"/>
      <c r="D964" s="20">
        <v>0</v>
      </c>
      <c r="E964" s="21">
        <v>1</v>
      </c>
      <c r="F964" s="20">
        <f t="shared" si="88"/>
        <v>0</v>
      </c>
      <c r="G964" s="21">
        <v>106</v>
      </c>
      <c r="H964" s="20">
        <f t="shared" si="89"/>
        <v>0</v>
      </c>
      <c r="I964" s="2"/>
      <c r="J964" s="17"/>
      <c r="K964" s="17"/>
      <c r="L964" s="17"/>
    </row>
    <row r="965" spans="1:12">
      <c r="A965" s="45"/>
      <c r="B965" s="43"/>
      <c r="C965" s="14" t="s">
        <v>598</v>
      </c>
      <c r="D965" s="20"/>
      <c r="F965" s="20"/>
      <c r="H965" s="25">
        <f>SUM(H959:H964)</f>
        <v>0</v>
      </c>
      <c r="I965" s="2"/>
      <c r="J965" s="17"/>
      <c r="K965" s="17"/>
      <c r="L965" s="17"/>
    </row>
    <row r="966" spans="1:12">
      <c r="A966" s="45"/>
      <c r="B966" s="42"/>
      <c r="C966" s="14"/>
      <c r="D966" s="20"/>
      <c r="F966" s="20"/>
      <c r="H966" s="20"/>
      <c r="I966" s="2"/>
      <c r="J966" s="17"/>
      <c r="K966" s="17"/>
      <c r="L966" s="17"/>
    </row>
    <row r="967" spans="1:12">
      <c r="A967" s="45"/>
      <c r="B967" s="46"/>
      <c r="C967" s="14" t="s">
        <v>599</v>
      </c>
      <c r="D967" s="20"/>
      <c r="F967" s="20"/>
      <c r="H967" s="20"/>
      <c r="I967" s="2"/>
      <c r="J967" s="17"/>
      <c r="K967" s="17"/>
      <c r="L967" s="17"/>
    </row>
    <row r="968" spans="1:12">
      <c r="A968" s="45"/>
      <c r="B968" s="43">
        <v>1</v>
      </c>
      <c r="C968" s="19"/>
      <c r="D968" s="20">
        <v>0</v>
      </c>
      <c r="E968" s="21">
        <v>1</v>
      </c>
      <c r="F968" s="20">
        <f>D968*E968</f>
        <v>0</v>
      </c>
      <c r="G968" s="21">
        <v>101</v>
      </c>
      <c r="H968" s="20">
        <f>F968*G968</f>
        <v>0</v>
      </c>
      <c r="I968" s="2"/>
      <c r="J968" s="17"/>
      <c r="K968" s="17"/>
      <c r="L968" s="17"/>
    </row>
    <row r="969" spans="1:12">
      <c r="A969" s="45"/>
      <c r="B969" s="43">
        <v>2</v>
      </c>
      <c r="C969" s="19"/>
      <c r="D969" s="20"/>
      <c r="F969" s="20"/>
      <c r="H969" s="20"/>
      <c r="I969" s="2"/>
      <c r="J969" s="17"/>
      <c r="K969" s="17"/>
      <c r="L969" s="17"/>
    </row>
    <row r="970" spans="1:12">
      <c r="A970" s="45"/>
      <c r="B970" s="43">
        <v>3</v>
      </c>
      <c r="C970" s="19"/>
      <c r="D970" s="20"/>
      <c r="F970" s="20"/>
      <c r="H970" s="20"/>
      <c r="I970" s="2"/>
      <c r="J970" s="17"/>
      <c r="K970" s="17"/>
      <c r="L970" s="17"/>
    </row>
    <row r="971" spans="1:12">
      <c r="A971" s="45"/>
      <c r="B971" s="43">
        <v>4</v>
      </c>
      <c r="C971" s="19"/>
      <c r="D971" s="20"/>
      <c r="F971" s="20"/>
      <c r="H971" s="20"/>
      <c r="I971" s="2"/>
      <c r="J971" s="17"/>
      <c r="K971" s="17"/>
      <c r="L971" s="17"/>
    </row>
    <row r="972" spans="1:12">
      <c r="A972" s="45"/>
      <c r="B972" s="43">
        <v>5</v>
      </c>
      <c r="C972" s="19"/>
      <c r="D972" s="20">
        <v>0</v>
      </c>
      <c r="E972" s="21">
        <v>1</v>
      </c>
      <c r="F972" s="20">
        <f>D972*E972</f>
        <v>0</v>
      </c>
      <c r="G972" s="21">
        <v>102</v>
      </c>
      <c r="H972" s="20">
        <f>F972*G972</f>
        <v>0</v>
      </c>
      <c r="I972" s="2"/>
      <c r="J972" s="17"/>
      <c r="K972" s="17"/>
      <c r="L972" s="17"/>
    </row>
    <row r="973" spans="1:12">
      <c r="A973" s="45"/>
      <c r="B973" s="43"/>
      <c r="C973" s="14" t="s">
        <v>600</v>
      </c>
      <c r="D973" s="20"/>
      <c r="F973" s="20"/>
      <c r="H973" s="25">
        <f>SUM(H968:H972)</f>
        <v>0</v>
      </c>
      <c r="I973" s="2"/>
      <c r="J973" s="17"/>
      <c r="K973" s="17"/>
      <c r="L973" s="17"/>
    </row>
    <row r="974" spans="1:12">
      <c r="A974" s="45"/>
      <c r="B974" s="46"/>
      <c r="C974" s="14"/>
      <c r="D974" s="20"/>
      <c r="F974" s="20"/>
      <c r="H974" s="20"/>
      <c r="I974" s="2"/>
      <c r="J974" s="17"/>
      <c r="K974" s="17"/>
      <c r="L974" s="17"/>
    </row>
    <row r="975" spans="1:12">
      <c r="A975" s="45"/>
      <c r="B975" s="46"/>
      <c r="C975" s="14" t="s">
        <v>601</v>
      </c>
      <c r="D975" s="20"/>
      <c r="F975" s="20"/>
      <c r="H975" s="20"/>
      <c r="I975" s="2"/>
      <c r="J975" s="17"/>
      <c r="K975" s="17"/>
      <c r="L975" s="17"/>
    </row>
    <row r="976" spans="1:12">
      <c r="A976" s="45"/>
      <c r="B976" s="43">
        <v>1</v>
      </c>
      <c r="C976" s="19"/>
      <c r="D976" s="20">
        <v>0</v>
      </c>
      <c r="E976" s="21">
        <v>1</v>
      </c>
      <c r="F976" s="20">
        <f>D976*E976</f>
        <v>0</v>
      </c>
      <c r="G976" s="21">
        <v>101</v>
      </c>
      <c r="H976" s="20">
        <f>F976*G976</f>
        <v>0</v>
      </c>
      <c r="I976" s="2"/>
      <c r="J976" s="17"/>
      <c r="K976" s="17"/>
      <c r="L976" s="17"/>
    </row>
    <row r="977" spans="1:12">
      <c r="A977" s="45"/>
      <c r="B977" s="43">
        <v>2</v>
      </c>
      <c r="C977" s="19"/>
      <c r="D977" s="20"/>
      <c r="F977" s="20"/>
      <c r="H977" s="20"/>
      <c r="I977" s="2"/>
      <c r="J977" s="17"/>
      <c r="K977" s="17"/>
      <c r="L977" s="17"/>
    </row>
    <row r="978" spans="1:12">
      <c r="A978" s="45"/>
      <c r="B978" s="43">
        <v>3</v>
      </c>
      <c r="C978" s="19"/>
      <c r="D978" s="20"/>
      <c r="F978" s="20"/>
      <c r="H978" s="20"/>
      <c r="I978" s="2"/>
      <c r="J978" s="17"/>
      <c r="K978" s="17"/>
      <c r="L978" s="17"/>
    </row>
    <row r="979" spans="1:12">
      <c r="A979" s="45"/>
      <c r="B979" s="43">
        <v>4</v>
      </c>
      <c r="C979" s="19"/>
      <c r="D979" s="20"/>
      <c r="F979" s="20"/>
      <c r="H979" s="20"/>
      <c r="I979" s="2"/>
      <c r="J979" s="17"/>
      <c r="K979" s="17"/>
      <c r="L979" s="17"/>
    </row>
    <row r="980" spans="1:12">
      <c r="A980" s="45"/>
      <c r="B980" s="43">
        <v>5</v>
      </c>
      <c r="C980" s="19"/>
      <c r="D980" s="20"/>
      <c r="F980" s="20"/>
      <c r="H980" s="20"/>
      <c r="I980" s="2"/>
      <c r="J980" s="17"/>
      <c r="K980" s="17"/>
      <c r="L980" s="17"/>
    </row>
    <row r="981" spans="1:12">
      <c r="A981" s="45"/>
      <c r="B981" s="43">
        <v>6</v>
      </c>
      <c r="C981" s="19"/>
      <c r="D981" s="20">
        <v>0</v>
      </c>
      <c r="E981" s="21">
        <v>1</v>
      </c>
      <c r="F981" s="20">
        <f>D981*E981</f>
        <v>0</v>
      </c>
      <c r="G981" s="21">
        <v>102</v>
      </c>
      <c r="H981" s="20">
        <f>F981*G981</f>
        <v>0</v>
      </c>
      <c r="I981" s="2"/>
      <c r="J981" s="17"/>
      <c r="K981" s="17"/>
      <c r="L981" s="17"/>
    </row>
    <row r="982" spans="1:12">
      <c r="A982" s="45"/>
      <c r="B982" s="43"/>
      <c r="C982" s="14" t="s">
        <v>602</v>
      </c>
      <c r="D982" s="20"/>
      <c r="F982" s="20"/>
      <c r="H982" s="25">
        <f>SUM(H976:H981)</f>
        <v>0</v>
      </c>
      <c r="I982" s="2"/>
      <c r="J982" s="17"/>
      <c r="K982" s="17"/>
      <c r="L982" s="17"/>
    </row>
    <row r="983" spans="1:12">
      <c r="A983" s="45"/>
      <c r="B983" s="46"/>
      <c r="C983" s="14"/>
      <c r="D983" s="20"/>
      <c r="F983" s="20"/>
      <c r="H983" s="20"/>
      <c r="I983" s="2"/>
      <c r="J983" s="17"/>
      <c r="K983" s="17"/>
      <c r="L983" s="17"/>
    </row>
    <row r="984" spans="1:12">
      <c r="A984" s="45"/>
      <c r="B984" s="46"/>
      <c r="C984" s="14" t="s">
        <v>603</v>
      </c>
      <c r="D984" s="20"/>
      <c r="F984" s="20"/>
      <c r="H984" s="20"/>
      <c r="I984" s="2"/>
      <c r="J984" s="17"/>
      <c r="K984" s="17"/>
      <c r="L984" s="17"/>
    </row>
    <row r="985" spans="1:12">
      <c r="A985" s="45"/>
      <c r="B985" s="43">
        <v>1</v>
      </c>
      <c r="C985" s="19"/>
      <c r="D985" s="20">
        <v>0</v>
      </c>
      <c r="E985" s="21">
        <v>1</v>
      </c>
      <c r="F985" s="20">
        <f>D985*E985</f>
        <v>0</v>
      </c>
      <c r="G985" s="21">
        <v>101</v>
      </c>
      <c r="H985" s="20">
        <f>F985*G985</f>
        <v>0</v>
      </c>
      <c r="I985" s="2"/>
      <c r="J985" s="17"/>
      <c r="K985" s="17"/>
      <c r="L985" s="17"/>
    </row>
    <row r="986" spans="1:12">
      <c r="A986" s="45"/>
      <c r="B986" s="43">
        <v>2</v>
      </c>
      <c r="C986" s="19"/>
      <c r="D986" s="20">
        <v>0</v>
      </c>
      <c r="E986" s="21">
        <v>1</v>
      </c>
      <c r="F986" s="20">
        <f t="shared" ref="F986:F995" si="90">D986*E986</f>
        <v>0</v>
      </c>
      <c r="G986" s="21">
        <v>102</v>
      </c>
      <c r="H986" s="20">
        <f t="shared" ref="H986:H995" si="91">F986*G986</f>
        <v>0</v>
      </c>
      <c r="I986" s="2"/>
      <c r="J986" s="17"/>
      <c r="K986" s="17"/>
      <c r="L986" s="17"/>
    </row>
    <row r="987" spans="1:12">
      <c r="A987" s="45"/>
      <c r="B987" s="43">
        <v>3</v>
      </c>
      <c r="C987" s="19"/>
      <c r="D987" s="20">
        <v>0</v>
      </c>
      <c r="E987" s="21">
        <v>1</v>
      </c>
      <c r="F987" s="20">
        <f t="shared" si="90"/>
        <v>0</v>
      </c>
      <c r="G987" s="21">
        <v>103</v>
      </c>
      <c r="H987" s="20">
        <f t="shared" si="91"/>
        <v>0</v>
      </c>
      <c r="I987" s="2"/>
      <c r="J987" s="17"/>
      <c r="K987" s="17"/>
      <c r="L987" s="17"/>
    </row>
    <row r="988" spans="1:12">
      <c r="A988" s="45"/>
      <c r="B988" s="43">
        <v>4</v>
      </c>
      <c r="C988" s="19"/>
      <c r="D988" s="20">
        <v>0</v>
      </c>
      <c r="E988" s="21">
        <v>1</v>
      </c>
      <c r="F988" s="20">
        <f t="shared" si="90"/>
        <v>0</v>
      </c>
      <c r="G988" s="21">
        <v>104</v>
      </c>
      <c r="H988" s="20">
        <f t="shared" si="91"/>
        <v>0</v>
      </c>
      <c r="I988" s="2"/>
      <c r="J988" s="17"/>
      <c r="K988" s="17"/>
      <c r="L988" s="17"/>
    </row>
    <row r="989" spans="1:12">
      <c r="A989" s="45"/>
      <c r="B989" s="43">
        <v>5</v>
      </c>
      <c r="C989" s="19"/>
      <c r="D989" s="20">
        <v>0</v>
      </c>
      <c r="E989" s="21">
        <v>1</v>
      </c>
      <c r="F989" s="20">
        <f t="shared" si="90"/>
        <v>0</v>
      </c>
      <c r="G989" s="21">
        <v>105</v>
      </c>
      <c r="H989" s="20">
        <f t="shared" si="91"/>
        <v>0</v>
      </c>
      <c r="I989" s="2"/>
      <c r="J989" s="17"/>
      <c r="K989" s="17"/>
      <c r="L989" s="17"/>
    </row>
    <row r="990" spans="1:12">
      <c r="A990" s="45"/>
      <c r="B990" s="43">
        <v>6</v>
      </c>
      <c r="C990" s="19"/>
      <c r="D990" s="20">
        <v>0</v>
      </c>
      <c r="E990" s="21">
        <v>1</v>
      </c>
      <c r="F990" s="20">
        <f t="shared" si="90"/>
        <v>0</v>
      </c>
      <c r="G990" s="21">
        <v>106</v>
      </c>
      <c r="H990" s="20">
        <f t="shared" si="91"/>
        <v>0</v>
      </c>
      <c r="I990" s="2"/>
      <c r="J990" s="17"/>
      <c r="K990" s="17"/>
      <c r="L990" s="17"/>
    </row>
    <row r="991" spans="1:12">
      <c r="A991" s="45"/>
      <c r="B991" s="43">
        <v>7</v>
      </c>
      <c r="C991" s="19"/>
      <c r="D991" s="20">
        <v>0</v>
      </c>
      <c r="E991" s="21">
        <v>1</v>
      </c>
      <c r="F991" s="20">
        <f t="shared" si="90"/>
        <v>0</v>
      </c>
      <c r="G991" s="21">
        <v>107</v>
      </c>
      <c r="H991" s="20">
        <f t="shared" si="91"/>
        <v>0</v>
      </c>
      <c r="I991" s="2"/>
      <c r="J991" s="17"/>
      <c r="K991" s="17"/>
      <c r="L991" s="17"/>
    </row>
    <row r="992" spans="1:12">
      <c r="A992" s="45"/>
      <c r="B992" s="43">
        <v>8</v>
      </c>
      <c r="C992" s="19"/>
      <c r="D992" s="20">
        <v>0</v>
      </c>
      <c r="E992" s="21">
        <v>1</v>
      </c>
      <c r="F992" s="20">
        <f t="shared" si="90"/>
        <v>0</v>
      </c>
      <c r="G992" s="21">
        <v>108</v>
      </c>
      <c r="H992" s="20">
        <f t="shared" si="91"/>
        <v>0</v>
      </c>
      <c r="I992" s="2"/>
      <c r="J992" s="17"/>
      <c r="K992" s="17"/>
      <c r="L992" s="17"/>
    </row>
    <row r="993" spans="1:12">
      <c r="A993" s="45"/>
      <c r="B993" s="43">
        <v>9</v>
      </c>
      <c r="C993" s="19"/>
      <c r="D993" s="20">
        <v>0</v>
      </c>
      <c r="E993" s="21">
        <v>1</v>
      </c>
      <c r="F993" s="20">
        <f t="shared" si="90"/>
        <v>0</v>
      </c>
      <c r="G993" s="21">
        <v>109</v>
      </c>
      <c r="H993" s="20">
        <f t="shared" si="91"/>
        <v>0</v>
      </c>
      <c r="I993" s="2"/>
      <c r="J993" s="17"/>
      <c r="K993" s="17"/>
      <c r="L993" s="17"/>
    </row>
    <row r="994" spans="1:12">
      <c r="A994" s="45"/>
      <c r="B994" s="43">
        <v>10</v>
      </c>
      <c r="C994" s="19"/>
      <c r="D994" s="20">
        <v>0</v>
      </c>
      <c r="E994" s="21">
        <v>1</v>
      </c>
      <c r="F994" s="20">
        <f t="shared" si="90"/>
        <v>0</v>
      </c>
      <c r="G994" s="21">
        <v>110</v>
      </c>
      <c r="H994" s="20">
        <f t="shared" si="91"/>
        <v>0</v>
      </c>
      <c r="I994" s="2"/>
      <c r="J994" s="17"/>
      <c r="K994" s="17"/>
      <c r="L994" s="17"/>
    </row>
    <row r="995" spans="1:12">
      <c r="A995" s="45"/>
      <c r="B995" s="43">
        <v>11</v>
      </c>
      <c r="C995" s="19"/>
      <c r="D995" s="20">
        <v>0</v>
      </c>
      <c r="E995" s="21">
        <v>1</v>
      </c>
      <c r="F995" s="20">
        <f t="shared" si="90"/>
        <v>0</v>
      </c>
      <c r="G995" s="21">
        <v>111</v>
      </c>
      <c r="H995" s="20">
        <f t="shared" si="91"/>
        <v>0</v>
      </c>
      <c r="I995" s="2"/>
      <c r="J995" s="17"/>
      <c r="K995" s="17"/>
      <c r="L995" s="17"/>
    </row>
    <row r="996" spans="1:12">
      <c r="A996" s="45"/>
      <c r="B996" s="43">
        <v>12</v>
      </c>
      <c r="C996" s="19"/>
      <c r="D996" s="20">
        <v>0</v>
      </c>
      <c r="E996" s="21">
        <v>1</v>
      </c>
      <c r="F996" s="20">
        <f>D996*E996</f>
        <v>0</v>
      </c>
      <c r="G996" s="21">
        <v>102</v>
      </c>
      <c r="H996" s="20">
        <f>F996*G996</f>
        <v>0</v>
      </c>
      <c r="I996" s="2"/>
      <c r="J996" s="17"/>
      <c r="K996" s="17"/>
      <c r="L996" s="17"/>
    </row>
    <row r="997" spans="1:12">
      <c r="A997" s="45"/>
      <c r="B997" s="43"/>
      <c r="C997" s="14" t="s">
        <v>604</v>
      </c>
      <c r="D997" s="20"/>
      <c r="F997" s="20"/>
      <c r="H997" s="25">
        <f>SUM(H985:H996)</f>
        <v>0</v>
      </c>
      <c r="I997" s="2"/>
      <c r="J997" s="17"/>
      <c r="K997" s="17"/>
      <c r="L997" s="17"/>
    </row>
    <row r="998" spans="1:12">
      <c r="A998" s="45"/>
      <c r="B998" s="46"/>
      <c r="C998" s="14"/>
      <c r="D998" s="20"/>
      <c r="F998" s="20"/>
      <c r="H998" s="20"/>
      <c r="I998" s="2"/>
      <c r="J998" s="17"/>
      <c r="K998" s="17"/>
      <c r="L998" s="17"/>
    </row>
    <row r="999" spans="1:12">
      <c r="A999" s="45"/>
      <c r="B999" s="46"/>
      <c r="C999" s="14" t="s">
        <v>605</v>
      </c>
      <c r="D999" s="20"/>
      <c r="F999" s="20"/>
      <c r="H999" s="20"/>
      <c r="I999" s="2"/>
      <c r="J999" s="17"/>
      <c r="K999" s="17"/>
      <c r="L999" s="17"/>
    </row>
    <row r="1000" spans="1:12">
      <c r="A1000" s="45"/>
      <c r="B1000" s="43">
        <v>1</v>
      </c>
      <c r="C1000" s="19" t="s">
        <v>496</v>
      </c>
      <c r="D1000" s="20">
        <v>0</v>
      </c>
      <c r="E1000" s="21">
        <v>1</v>
      </c>
      <c r="F1000" s="20">
        <f>D1000*E1000</f>
        <v>0</v>
      </c>
      <c r="G1000" s="21">
        <f>K43</f>
        <v>5384.6153846153802</v>
      </c>
      <c r="H1000" s="20">
        <f>F1000*G1000</f>
        <v>0</v>
      </c>
      <c r="I1000" s="2"/>
      <c r="J1000" s="17"/>
      <c r="K1000" s="17"/>
      <c r="L1000" s="17"/>
    </row>
    <row r="1001" spans="1:12">
      <c r="A1001" s="45"/>
      <c r="B1001" s="43">
        <v>2</v>
      </c>
      <c r="C1001" s="19" t="s">
        <v>497</v>
      </c>
      <c r="D1001" s="20">
        <v>0</v>
      </c>
      <c r="E1001" s="21">
        <v>1</v>
      </c>
      <c r="F1001" s="20">
        <f t="shared" ref="F1001:F1010" si="92">D1001*E1001</f>
        <v>0</v>
      </c>
      <c r="G1001" s="21">
        <f>K44</f>
        <v>8307.6923076923104</v>
      </c>
      <c r="H1001" s="20">
        <f t="shared" ref="H1001:H1010" si="93">F1001*G1001</f>
        <v>0</v>
      </c>
      <c r="I1001" s="2"/>
      <c r="J1001" s="17"/>
      <c r="K1001" s="17"/>
      <c r="L1001" s="17"/>
    </row>
    <row r="1002" spans="1:12">
      <c r="A1002" s="45"/>
      <c r="B1002" s="43">
        <v>3</v>
      </c>
      <c r="C1002" s="19" t="s">
        <v>606</v>
      </c>
      <c r="D1002" s="20">
        <v>0</v>
      </c>
      <c r="E1002" s="21">
        <v>1</v>
      </c>
      <c r="F1002" s="20">
        <f t="shared" si="92"/>
        <v>0</v>
      </c>
      <c r="G1002" s="21">
        <v>60.769230769230766</v>
      </c>
      <c r="H1002" s="20">
        <f t="shared" si="93"/>
        <v>0</v>
      </c>
      <c r="I1002" s="2"/>
      <c r="J1002" s="17"/>
      <c r="K1002" s="17"/>
      <c r="L1002" s="17"/>
    </row>
    <row r="1003" spans="1:12">
      <c r="A1003" s="45"/>
      <c r="B1003" s="43">
        <v>4</v>
      </c>
      <c r="C1003" s="19" t="s">
        <v>503</v>
      </c>
      <c r="D1003" s="20">
        <v>0</v>
      </c>
      <c r="E1003" s="21">
        <v>1</v>
      </c>
      <c r="F1003" s="20">
        <f t="shared" si="92"/>
        <v>0</v>
      </c>
      <c r="G1003" s="21">
        <v>40</v>
      </c>
      <c r="H1003" s="20">
        <f t="shared" si="93"/>
        <v>0</v>
      </c>
      <c r="I1003" s="2"/>
      <c r="J1003" s="17"/>
      <c r="K1003" s="17"/>
      <c r="L1003" s="17"/>
    </row>
    <row r="1004" spans="1:12">
      <c r="A1004" s="45"/>
      <c r="B1004" s="43">
        <v>5</v>
      </c>
      <c r="C1004" s="19" t="s">
        <v>504</v>
      </c>
      <c r="D1004" s="20">
        <v>0</v>
      </c>
      <c r="E1004" s="21">
        <v>0.42599999999999999</v>
      </c>
      <c r="F1004" s="20">
        <f t="shared" si="92"/>
        <v>0</v>
      </c>
      <c r="G1004" s="21">
        <v>49000</v>
      </c>
      <c r="H1004" s="20">
        <f t="shared" si="93"/>
        <v>0</v>
      </c>
      <c r="I1004" s="2"/>
      <c r="J1004" s="17"/>
      <c r="K1004" s="17"/>
      <c r="L1004" s="17"/>
    </row>
    <row r="1005" spans="1:12">
      <c r="A1005" s="45"/>
      <c r="B1005" s="43">
        <v>6</v>
      </c>
      <c r="C1005" s="19" t="s">
        <v>507</v>
      </c>
      <c r="D1005" s="20">
        <v>0</v>
      </c>
      <c r="E1005" s="21">
        <v>1</v>
      </c>
      <c r="F1005" s="20">
        <f t="shared" si="92"/>
        <v>0</v>
      </c>
      <c r="G1005" s="21">
        <v>230.76923076923077</v>
      </c>
      <c r="H1005" s="20">
        <f t="shared" si="93"/>
        <v>0</v>
      </c>
      <c r="I1005" s="2"/>
      <c r="J1005" s="17"/>
      <c r="K1005" s="17"/>
      <c r="L1005" s="17"/>
    </row>
    <row r="1006" spans="1:12">
      <c r="A1006" s="45"/>
      <c r="B1006" s="43">
        <v>7</v>
      </c>
      <c r="C1006" s="19" t="s">
        <v>508</v>
      </c>
      <c r="D1006" s="20">
        <v>0</v>
      </c>
      <c r="E1006" s="21">
        <v>0.14399999999999999</v>
      </c>
      <c r="F1006" s="20">
        <f t="shared" si="92"/>
        <v>0</v>
      </c>
      <c r="G1006" s="21">
        <v>9000</v>
      </c>
      <c r="H1006" s="20">
        <f t="shared" si="93"/>
        <v>0</v>
      </c>
      <c r="I1006" s="2"/>
      <c r="J1006" s="17"/>
      <c r="K1006" s="17"/>
      <c r="L1006" s="17"/>
    </row>
    <row r="1007" spans="1:12">
      <c r="A1007" s="45"/>
      <c r="B1007" s="43">
        <v>8</v>
      </c>
      <c r="C1007" s="19" t="s">
        <v>352</v>
      </c>
      <c r="D1007" s="20">
        <v>0</v>
      </c>
      <c r="E1007" s="21">
        <v>0.58199999999999996</v>
      </c>
      <c r="F1007" s="20">
        <f t="shared" si="92"/>
        <v>0</v>
      </c>
      <c r="G1007" s="21">
        <v>177.69230769230768</v>
      </c>
      <c r="H1007" s="20">
        <f t="shared" si="93"/>
        <v>0</v>
      </c>
      <c r="I1007" s="2"/>
      <c r="J1007" s="17"/>
      <c r="K1007" s="17"/>
      <c r="L1007" s="17"/>
    </row>
    <row r="1008" spans="1:12">
      <c r="A1008" s="45"/>
      <c r="B1008" s="43">
        <v>9</v>
      </c>
      <c r="C1008" s="19" t="s">
        <v>45</v>
      </c>
      <c r="D1008" s="20">
        <v>0</v>
      </c>
      <c r="E1008" s="21">
        <v>0.58199999999999996</v>
      </c>
      <c r="F1008" s="20">
        <f t="shared" si="92"/>
        <v>0</v>
      </c>
      <c r="G1008" s="21">
        <v>77.692307692307693</v>
      </c>
      <c r="H1008" s="20">
        <f t="shared" si="93"/>
        <v>0</v>
      </c>
      <c r="I1008" s="2"/>
      <c r="J1008" s="17"/>
      <c r="K1008" s="17"/>
      <c r="L1008" s="17"/>
    </row>
    <row r="1009" spans="1:12">
      <c r="A1009" s="45"/>
      <c r="B1009" s="43">
        <v>10</v>
      </c>
      <c r="C1009" s="19" t="s">
        <v>351</v>
      </c>
      <c r="D1009" s="20">
        <v>0</v>
      </c>
      <c r="E1009" s="21">
        <v>0.58199999999999996</v>
      </c>
      <c r="F1009" s="20">
        <f t="shared" si="92"/>
        <v>0</v>
      </c>
      <c r="G1009" s="21">
        <v>264.61538461538458</v>
      </c>
      <c r="H1009" s="20">
        <f t="shared" si="93"/>
        <v>0</v>
      </c>
      <c r="I1009" s="2"/>
      <c r="J1009" s="17"/>
      <c r="K1009" s="17"/>
      <c r="L1009" s="17"/>
    </row>
    <row r="1010" spans="1:12">
      <c r="A1010" s="45"/>
      <c r="B1010" s="43">
        <v>11</v>
      </c>
      <c r="C1010" s="19"/>
      <c r="D1010" s="20">
        <v>0</v>
      </c>
      <c r="E1010" s="21">
        <v>0</v>
      </c>
      <c r="F1010" s="20">
        <f t="shared" si="92"/>
        <v>0</v>
      </c>
      <c r="G1010" s="21">
        <v>111</v>
      </c>
      <c r="H1010" s="20">
        <f t="shared" si="93"/>
        <v>0</v>
      </c>
      <c r="I1010" s="2"/>
      <c r="J1010" s="17"/>
      <c r="K1010" s="17"/>
      <c r="L1010" s="17"/>
    </row>
    <row r="1011" spans="1:12">
      <c r="A1011" s="45"/>
      <c r="B1011" s="43">
        <v>12</v>
      </c>
      <c r="C1011" s="19"/>
      <c r="D1011" s="20">
        <v>0</v>
      </c>
      <c r="E1011" s="21">
        <v>0</v>
      </c>
      <c r="F1011" s="20">
        <f>D1011*E1011</f>
        <v>0</v>
      </c>
      <c r="G1011" s="21">
        <v>102</v>
      </c>
      <c r="H1011" s="20">
        <f>F1011*G1011</f>
        <v>0</v>
      </c>
      <c r="I1011" s="2"/>
      <c r="J1011" s="17"/>
      <c r="K1011" s="17"/>
      <c r="L1011" s="17"/>
    </row>
    <row r="1012" spans="1:12">
      <c r="A1012" s="45"/>
      <c r="B1012" s="43"/>
      <c r="C1012" s="14" t="s">
        <v>607</v>
      </c>
      <c r="D1012" s="20"/>
      <c r="F1012" s="20"/>
      <c r="H1012" s="25">
        <f>SUM(H1000:H1011)</f>
        <v>0</v>
      </c>
      <c r="I1012" s="2"/>
      <c r="J1012" s="17"/>
      <c r="K1012" s="17"/>
      <c r="L1012" s="17"/>
    </row>
    <row r="1013" spans="1:12">
      <c r="A1013" s="45"/>
      <c r="B1013" s="46"/>
      <c r="C1013" s="14"/>
      <c r="D1013" s="20"/>
      <c r="F1013" s="20"/>
      <c r="H1013" s="20"/>
      <c r="I1013" s="2"/>
      <c r="J1013" s="17"/>
      <c r="K1013" s="17"/>
      <c r="L1013" s="17"/>
    </row>
    <row r="1014" spans="1:12">
      <c r="A1014" s="45"/>
      <c r="B1014" s="46"/>
      <c r="C1014" s="14" t="s">
        <v>608</v>
      </c>
      <c r="D1014" s="20"/>
      <c r="F1014" s="20"/>
      <c r="H1014" s="20"/>
      <c r="I1014" s="2"/>
      <c r="J1014" s="17"/>
      <c r="K1014" s="17"/>
      <c r="L1014" s="17"/>
    </row>
    <row r="1015" spans="1:12">
      <c r="A1015" s="45"/>
      <c r="B1015" s="43">
        <v>1</v>
      </c>
      <c r="C1015" s="19"/>
      <c r="D1015" s="20">
        <v>0</v>
      </c>
      <c r="E1015" s="21">
        <v>1</v>
      </c>
      <c r="F1015" s="20">
        <f>D1015*E1015</f>
        <v>0</v>
      </c>
      <c r="G1015" s="21">
        <v>101</v>
      </c>
      <c r="H1015" s="20">
        <f>F1015*G1015</f>
        <v>0</v>
      </c>
      <c r="I1015" s="2"/>
      <c r="J1015" s="17"/>
      <c r="K1015" s="17"/>
      <c r="L1015" s="17"/>
    </row>
    <row r="1016" spans="1:12">
      <c r="A1016" s="45"/>
      <c r="B1016" s="43">
        <v>2</v>
      </c>
      <c r="C1016" s="19"/>
      <c r="D1016" s="20">
        <v>0</v>
      </c>
      <c r="E1016" s="21">
        <v>1</v>
      </c>
      <c r="F1016" s="20">
        <f t="shared" ref="F1016:F1019" si="94">D1016*E1016</f>
        <v>0</v>
      </c>
      <c r="G1016" s="21">
        <v>102</v>
      </c>
      <c r="H1016" s="20">
        <f t="shared" ref="H1016:H1019" si="95">F1016*G1016</f>
        <v>0</v>
      </c>
      <c r="I1016" s="2"/>
      <c r="J1016" s="17"/>
      <c r="K1016" s="17"/>
      <c r="L1016" s="17"/>
    </row>
    <row r="1017" spans="1:12">
      <c r="A1017" s="45"/>
      <c r="B1017" s="43">
        <v>3</v>
      </c>
      <c r="C1017" s="19"/>
      <c r="D1017" s="20">
        <v>0</v>
      </c>
      <c r="E1017" s="21">
        <v>1</v>
      </c>
      <c r="F1017" s="20">
        <f t="shared" si="94"/>
        <v>0</v>
      </c>
      <c r="G1017" s="21">
        <v>103</v>
      </c>
      <c r="H1017" s="20">
        <f t="shared" si="95"/>
        <v>0</v>
      </c>
      <c r="I1017" s="2"/>
      <c r="J1017" s="17"/>
      <c r="K1017" s="17"/>
      <c r="L1017" s="17"/>
    </row>
    <row r="1018" spans="1:12">
      <c r="A1018" s="45"/>
      <c r="B1018" s="43">
        <v>4</v>
      </c>
      <c r="C1018" s="19"/>
      <c r="D1018" s="20">
        <v>0</v>
      </c>
      <c r="E1018" s="21">
        <v>1</v>
      </c>
      <c r="F1018" s="20">
        <f t="shared" si="94"/>
        <v>0</v>
      </c>
      <c r="G1018" s="21">
        <v>104</v>
      </c>
      <c r="H1018" s="20">
        <f t="shared" si="95"/>
        <v>0</v>
      </c>
      <c r="I1018" s="2"/>
      <c r="J1018" s="17"/>
      <c r="K1018" s="17"/>
      <c r="L1018" s="17"/>
    </row>
    <row r="1019" spans="1:12">
      <c r="A1019" s="45"/>
      <c r="B1019" s="43">
        <v>5</v>
      </c>
      <c r="C1019" s="19"/>
      <c r="D1019" s="20">
        <v>0</v>
      </c>
      <c r="E1019" s="21">
        <v>1</v>
      </c>
      <c r="F1019" s="20">
        <f t="shared" si="94"/>
        <v>0</v>
      </c>
      <c r="G1019" s="21">
        <v>105</v>
      </c>
      <c r="H1019" s="20">
        <f t="shared" si="95"/>
        <v>0</v>
      </c>
      <c r="I1019" s="2"/>
      <c r="J1019" s="17"/>
      <c r="K1019" s="17"/>
      <c r="L1019" s="17"/>
    </row>
    <row r="1020" spans="1:12">
      <c r="A1020" s="45"/>
      <c r="B1020" s="43"/>
      <c r="C1020" s="14" t="s">
        <v>609</v>
      </c>
      <c r="D1020" s="20"/>
      <c r="F1020" s="20"/>
      <c r="H1020" s="25">
        <f>SUM(H1015:H1019)</f>
        <v>0</v>
      </c>
      <c r="I1020" s="2"/>
      <c r="J1020" s="17"/>
      <c r="K1020" s="17"/>
      <c r="L1020" s="17"/>
    </row>
    <row r="1021" spans="1:12">
      <c r="A1021" s="45"/>
      <c r="B1021" s="46"/>
      <c r="C1021" s="14"/>
      <c r="D1021" s="20"/>
      <c r="F1021" s="20"/>
      <c r="H1021" s="20"/>
      <c r="I1021" s="2"/>
      <c r="J1021" s="17"/>
      <c r="K1021" s="17"/>
      <c r="L1021" s="17"/>
    </row>
    <row r="1022" spans="1:12">
      <c r="A1022" s="45"/>
      <c r="B1022" s="46"/>
      <c r="C1022" s="14" t="s">
        <v>610</v>
      </c>
      <c r="D1022" s="20"/>
      <c r="F1022" s="20"/>
      <c r="H1022" s="20"/>
      <c r="I1022" s="2"/>
      <c r="J1022" s="17"/>
      <c r="K1022" s="17"/>
      <c r="L1022" s="17"/>
    </row>
    <row r="1023" spans="1:12">
      <c r="A1023" s="45"/>
      <c r="B1023" s="43">
        <v>1</v>
      </c>
      <c r="C1023" s="19" t="s">
        <v>219</v>
      </c>
      <c r="D1023" s="20">
        <v>0</v>
      </c>
      <c r="E1023" s="21">
        <v>1</v>
      </c>
      <c r="F1023" s="20">
        <f>D1023*E1023</f>
        <v>0</v>
      </c>
      <c r="G1023" s="21">
        <v>12507</v>
      </c>
      <c r="H1023" s="20">
        <f>F1023*G1023</f>
        <v>0</v>
      </c>
      <c r="I1023" s="2"/>
      <c r="J1023" s="17"/>
      <c r="K1023" s="17"/>
      <c r="L1023" s="17"/>
    </row>
    <row r="1024" spans="1:12">
      <c r="A1024" s="45"/>
      <c r="B1024" s="43">
        <v>2</v>
      </c>
      <c r="C1024" s="19" t="s">
        <v>64</v>
      </c>
      <c r="D1024" s="20">
        <v>0</v>
      </c>
      <c r="E1024" s="21">
        <v>1</v>
      </c>
      <c r="F1024" s="20">
        <f t="shared" ref="F1024:F1030" si="96">D1024*E1024</f>
        <v>0</v>
      </c>
      <c r="G1024" s="21">
        <v>12507</v>
      </c>
      <c r="H1024" s="20">
        <f t="shared" ref="H1024:H1030" si="97">F1024*G1024</f>
        <v>0</v>
      </c>
      <c r="I1024" s="2"/>
      <c r="J1024" s="17"/>
      <c r="K1024" s="17"/>
      <c r="L1024" s="17"/>
    </row>
    <row r="1025" spans="1:12">
      <c r="A1025" s="45"/>
      <c r="B1025" s="43">
        <v>3</v>
      </c>
      <c r="C1025" s="19" t="s">
        <v>65</v>
      </c>
      <c r="D1025" s="20">
        <v>0</v>
      </c>
      <c r="E1025" s="21">
        <v>1</v>
      </c>
      <c r="F1025" s="20">
        <f t="shared" si="96"/>
        <v>0</v>
      </c>
      <c r="G1025" s="21">
        <v>12507</v>
      </c>
      <c r="H1025" s="20">
        <f t="shared" si="97"/>
        <v>0</v>
      </c>
      <c r="I1025" s="2"/>
      <c r="J1025" s="17"/>
      <c r="K1025" s="17"/>
      <c r="L1025" s="17"/>
    </row>
    <row r="1026" spans="1:12">
      <c r="A1026" s="45"/>
      <c r="B1026" s="43">
        <v>4</v>
      </c>
      <c r="C1026" s="19" t="s">
        <v>358</v>
      </c>
      <c r="D1026" s="20">
        <v>0</v>
      </c>
      <c r="E1026" s="21">
        <v>1</v>
      </c>
      <c r="F1026" s="20">
        <f t="shared" si="96"/>
        <v>0</v>
      </c>
      <c r="G1026" s="21">
        <v>12507</v>
      </c>
      <c r="H1026" s="20">
        <f t="shared" si="97"/>
        <v>0</v>
      </c>
      <c r="I1026" s="2"/>
      <c r="J1026" s="17"/>
      <c r="K1026" s="17"/>
      <c r="L1026" s="17"/>
    </row>
    <row r="1027" spans="1:12">
      <c r="A1027" s="45"/>
      <c r="B1027" s="43">
        <v>5</v>
      </c>
      <c r="C1027" s="19" t="s">
        <v>222</v>
      </c>
      <c r="D1027" s="20">
        <v>0</v>
      </c>
      <c r="E1027" s="21">
        <v>1</v>
      </c>
      <c r="F1027" s="20">
        <f t="shared" si="96"/>
        <v>0</v>
      </c>
      <c r="G1027" s="21">
        <v>12507</v>
      </c>
      <c r="H1027" s="20">
        <f t="shared" si="97"/>
        <v>0</v>
      </c>
      <c r="I1027" s="2"/>
      <c r="J1027" s="17"/>
      <c r="K1027" s="17"/>
      <c r="L1027" s="17"/>
    </row>
    <row r="1028" spans="1:12">
      <c r="A1028" s="45"/>
      <c r="B1028" s="43">
        <v>6</v>
      </c>
      <c r="C1028" s="19" t="s">
        <v>360</v>
      </c>
      <c r="D1028" s="20">
        <v>0</v>
      </c>
      <c r="E1028" s="21">
        <v>1</v>
      </c>
      <c r="F1028" s="20">
        <f t="shared" si="96"/>
        <v>0</v>
      </c>
      <c r="G1028" s="21">
        <v>31769</v>
      </c>
      <c r="H1028" s="20">
        <f t="shared" si="97"/>
        <v>0</v>
      </c>
      <c r="I1028" s="2"/>
      <c r="J1028" s="17"/>
      <c r="K1028" s="17"/>
      <c r="L1028" s="17"/>
    </row>
    <row r="1029" spans="1:12">
      <c r="A1029" s="45"/>
      <c r="B1029" s="43">
        <v>7</v>
      </c>
      <c r="C1029" s="19"/>
      <c r="D1029" s="20">
        <v>0</v>
      </c>
      <c r="E1029" s="21">
        <v>1</v>
      </c>
      <c r="F1029" s="20">
        <f t="shared" si="96"/>
        <v>0</v>
      </c>
      <c r="G1029" s="21">
        <v>107</v>
      </c>
      <c r="H1029" s="20">
        <f t="shared" si="97"/>
        <v>0</v>
      </c>
      <c r="I1029" s="2"/>
      <c r="J1029" s="17"/>
      <c r="K1029" s="17"/>
      <c r="L1029" s="17"/>
    </row>
    <row r="1030" spans="1:12">
      <c r="A1030" s="45"/>
      <c r="B1030" s="43">
        <v>8</v>
      </c>
      <c r="C1030" s="19"/>
      <c r="D1030" s="20">
        <v>0</v>
      </c>
      <c r="E1030" s="21">
        <v>1</v>
      </c>
      <c r="F1030" s="20">
        <f t="shared" si="96"/>
        <v>0</v>
      </c>
      <c r="G1030" s="21">
        <v>108</v>
      </c>
      <c r="H1030" s="20">
        <f t="shared" si="97"/>
        <v>0</v>
      </c>
      <c r="I1030" s="2"/>
      <c r="J1030" s="17"/>
      <c r="K1030" s="17"/>
      <c r="L1030" s="17"/>
    </row>
    <row r="1031" spans="1:12">
      <c r="A1031" s="45"/>
      <c r="B1031" s="43">
        <v>9</v>
      </c>
      <c r="C1031" s="19"/>
      <c r="D1031" s="20">
        <v>0</v>
      </c>
      <c r="E1031" s="21">
        <v>1</v>
      </c>
      <c r="F1031" s="20">
        <f>D1031*E1031</f>
        <v>0</v>
      </c>
      <c r="G1031" s="21">
        <v>102</v>
      </c>
      <c r="H1031" s="20">
        <f>F1031*G1031</f>
        <v>0</v>
      </c>
      <c r="I1031" s="2"/>
      <c r="J1031" s="17"/>
      <c r="K1031" s="17"/>
      <c r="L1031" s="17"/>
    </row>
    <row r="1032" spans="1:12">
      <c r="A1032" s="45"/>
      <c r="B1032" s="43"/>
      <c r="C1032" s="14" t="s">
        <v>611</v>
      </c>
      <c r="D1032" s="20"/>
      <c r="F1032" s="20"/>
      <c r="H1032" s="25">
        <f>SUM(H1023:H1031)</f>
        <v>0</v>
      </c>
      <c r="I1032" s="2"/>
      <c r="J1032" s="17"/>
      <c r="K1032" s="17"/>
      <c r="L1032" s="17"/>
    </row>
    <row r="1033" spans="1:12">
      <c r="A1033" s="45"/>
      <c r="B1033" s="43"/>
      <c r="C1033" s="14"/>
      <c r="D1033" s="20"/>
      <c r="F1033" s="20"/>
      <c r="H1033" s="25"/>
      <c r="I1033" s="2"/>
      <c r="J1033" s="17"/>
      <c r="K1033" s="17"/>
      <c r="L1033" s="17"/>
    </row>
    <row r="1034" spans="1:12">
      <c r="A1034" s="45"/>
      <c r="B1034" s="46"/>
      <c r="C1034" s="14" t="s">
        <v>612</v>
      </c>
      <c r="D1034" s="20"/>
      <c r="F1034" s="20"/>
      <c r="H1034" s="20"/>
      <c r="I1034" s="2"/>
      <c r="J1034" s="17"/>
      <c r="K1034" s="17"/>
      <c r="L1034" s="17"/>
    </row>
    <row r="1035" spans="1:12">
      <c r="A1035" s="45"/>
      <c r="B1035" s="43">
        <v>1</v>
      </c>
      <c r="C1035" s="40" t="s">
        <v>613</v>
      </c>
      <c r="D1035" s="68">
        <v>1</v>
      </c>
      <c r="E1035" s="69">
        <v>1</v>
      </c>
      <c r="F1035" s="68">
        <f>D1035*E1035</f>
        <v>1</v>
      </c>
      <c r="G1035" s="69">
        <v>140000</v>
      </c>
      <c r="H1035" s="68">
        <f>F1035*G1035</f>
        <v>140000</v>
      </c>
      <c r="I1035" s="2"/>
      <c r="J1035" s="17"/>
      <c r="K1035" s="17"/>
      <c r="L1035" s="17"/>
    </row>
    <row r="1036" spans="1:12">
      <c r="A1036" s="45"/>
      <c r="B1036" s="43">
        <v>2</v>
      </c>
      <c r="C1036" s="19" t="s">
        <v>614</v>
      </c>
      <c r="D1036" s="20">
        <v>2</v>
      </c>
      <c r="E1036" s="21">
        <v>1</v>
      </c>
      <c r="F1036" s="20">
        <f t="shared" ref="F1036:F1043" si="98">D1036*E1036</f>
        <v>2</v>
      </c>
      <c r="G1036" s="21">
        <v>30770</v>
      </c>
      <c r="H1036" s="20">
        <f t="shared" ref="H1036:H1043" si="99">F1036*G1036</f>
        <v>61540</v>
      </c>
      <c r="I1036" s="2"/>
      <c r="J1036" s="17"/>
      <c r="K1036" s="17"/>
      <c r="L1036" s="17"/>
    </row>
    <row r="1037" spans="1:12">
      <c r="A1037" s="45"/>
      <c r="B1037" s="43">
        <v>3</v>
      </c>
      <c r="C1037" s="19" t="s">
        <v>615</v>
      </c>
      <c r="D1037" s="20">
        <v>1</v>
      </c>
      <c r="E1037" s="21">
        <v>1</v>
      </c>
      <c r="F1037" s="20">
        <f t="shared" si="98"/>
        <v>1</v>
      </c>
      <c r="G1037" s="21">
        <v>241538</v>
      </c>
      <c r="H1037" s="20">
        <f t="shared" si="99"/>
        <v>241538</v>
      </c>
      <c r="I1037" s="2"/>
      <c r="J1037" s="17"/>
      <c r="K1037" s="17"/>
      <c r="L1037" s="17"/>
    </row>
    <row r="1038" spans="1:12">
      <c r="A1038" s="45"/>
      <c r="B1038" s="43">
        <v>4</v>
      </c>
      <c r="C1038" s="19" t="s">
        <v>616</v>
      </c>
      <c r="D1038" s="20">
        <v>1</v>
      </c>
      <c r="E1038" s="21">
        <v>1</v>
      </c>
      <c r="F1038" s="20">
        <f t="shared" si="98"/>
        <v>1</v>
      </c>
      <c r="G1038" s="21">
        <v>150000</v>
      </c>
      <c r="H1038" s="20">
        <f t="shared" si="99"/>
        <v>150000</v>
      </c>
      <c r="I1038" s="93"/>
      <c r="J1038" s="17"/>
      <c r="K1038" s="17"/>
      <c r="L1038" s="17"/>
    </row>
    <row r="1039" spans="1:12">
      <c r="A1039" s="45"/>
      <c r="B1039" s="43">
        <v>5</v>
      </c>
      <c r="C1039" s="19"/>
      <c r="D1039" s="20">
        <v>0</v>
      </c>
      <c r="E1039" s="21">
        <v>1</v>
      </c>
      <c r="F1039" s="20">
        <f t="shared" si="98"/>
        <v>0</v>
      </c>
      <c r="G1039" s="21">
        <v>105</v>
      </c>
      <c r="H1039" s="20">
        <f t="shared" si="99"/>
        <v>0</v>
      </c>
      <c r="I1039" s="2"/>
      <c r="J1039" s="17"/>
      <c r="K1039" s="17"/>
      <c r="L1039" s="17"/>
    </row>
    <row r="1040" spans="1:12">
      <c r="A1040" s="45"/>
      <c r="B1040" s="43">
        <v>6</v>
      </c>
      <c r="C1040" s="19"/>
      <c r="D1040" s="20">
        <v>0</v>
      </c>
      <c r="E1040" s="21">
        <v>1</v>
      </c>
      <c r="F1040" s="20">
        <f t="shared" si="98"/>
        <v>0</v>
      </c>
      <c r="G1040" s="21">
        <v>106</v>
      </c>
      <c r="H1040" s="20">
        <f t="shared" si="99"/>
        <v>0</v>
      </c>
      <c r="I1040" s="2"/>
      <c r="J1040" s="17"/>
      <c r="K1040" s="17"/>
      <c r="L1040" s="17"/>
    </row>
    <row r="1041" spans="1:12">
      <c r="A1041" s="45"/>
      <c r="B1041" s="43">
        <v>7</v>
      </c>
      <c r="C1041" s="19"/>
      <c r="D1041" s="20">
        <v>0</v>
      </c>
      <c r="E1041" s="21">
        <v>1</v>
      </c>
      <c r="F1041" s="20">
        <f t="shared" si="98"/>
        <v>0</v>
      </c>
      <c r="G1041" s="21">
        <v>107</v>
      </c>
      <c r="H1041" s="20">
        <f t="shared" si="99"/>
        <v>0</v>
      </c>
      <c r="I1041" s="2"/>
      <c r="J1041" s="17"/>
      <c r="K1041" s="17"/>
      <c r="L1041" s="17"/>
    </row>
    <row r="1042" spans="1:12">
      <c r="A1042" s="45"/>
      <c r="B1042" s="43">
        <v>8</v>
      </c>
      <c r="C1042" s="19"/>
      <c r="D1042" s="20">
        <v>0</v>
      </c>
      <c r="E1042" s="21">
        <v>1</v>
      </c>
      <c r="F1042" s="20">
        <f t="shared" si="98"/>
        <v>0</v>
      </c>
      <c r="G1042" s="21">
        <v>108</v>
      </c>
      <c r="H1042" s="20">
        <f t="shared" si="99"/>
        <v>0</v>
      </c>
      <c r="I1042" s="2"/>
      <c r="J1042" s="17"/>
      <c r="K1042" s="17"/>
      <c r="L1042" s="17"/>
    </row>
    <row r="1043" spans="1:12">
      <c r="A1043" s="45"/>
      <c r="B1043" s="43">
        <v>9</v>
      </c>
      <c r="C1043" s="19"/>
      <c r="D1043" s="20">
        <v>0</v>
      </c>
      <c r="E1043" s="21">
        <v>1</v>
      </c>
      <c r="F1043" s="20">
        <f t="shared" si="98"/>
        <v>0</v>
      </c>
      <c r="G1043" s="21">
        <v>109</v>
      </c>
      <c r="H1043" s="20">
        <f t="shared" si="99"/>
        <v>0</v>
      </c>
      <c r="I1043" s="2"/>
      <c r="J1043" s="17"/>
      <c r="K1043" s="17"/>
      <c r="L1043" s="17"/>
    </row>
    <row r="1044" spans="1:12">
      <c r="A1044" s="45"/>
      <c r="B1044" s="43">
        <v>10</v>
      </c>
      <c r="C1044" s="19"/>
      <c r="D1044" s="20">
        <v>0</v>
      </c>
      <c r="E1044" s="21">
        <v>1</v>
      </c>
      <c r="F1044" s="20">
        <f>D1044*E1044</f>
        <v>0</v>
      </c>
      <c r="G1044" s="21">
        <v>102</v>
      </c>
      <c r="H1044" s="20">
        <f>F1044*G1044</f>
        <v>0</v>
      </c>
      <c r="I1044" s="2"/>
      <c r="J1044" s="17"/>
      <c r="K1044" s="17"/>
      <c r="L1044" s="17"/>
    </row>
    <row r="1045" spans="1:12">
      <c r="A1045" s="45"/>
      <c r="B1045" s="43"/>
      <c r="C1045" s="14" t="s">
        <v>617</v>
      </c>
      <c r="D1045" s="20"/>
      <c r="F1045" s="20"/>
      <c r="H1045" s="25">
        <f>SUM(H1035:H1044)</f>
        <v>593078</v>
      </c>
      <c r="I1045" s="2"/>
      <c r="J1045" s="17"/>
      <c r="K1045" s="17"/>
      <c r="L1045" s="17"/>
    </row>
    <row r="1046" spans="1:12">
      <c r="A1046" s="45"/>
      <c r="B1046" s="43"/>
      <c r="C1046" s="14"/>
      <c r="D1046" s="20"/>
      <c r="F1046" s="20"/>
      <c r="H1046" s="25"/>
      <c r="I1046" s="2"/>
      <c r="J1046" s="17"/>
      <c r="K1046" s="17"/>
      <c r="L1046" s="17"/>
    </row>
    <row r="1047" spans="1:12">
      <c r="A1047" s="45"/>
      <c r="B1047" s="46"/>
      <c r="C1047" s="14" t="s">
        <v>618</v>
      </c>
      <c r="D1047" s="20"/>
      <c r="F1047" s="20"/>
      <c r="H1047" s="25">
        <f>H965+H973+H982+H997+H1012+H1020+H1032+H1045</f>
        <v>593078</v>
      </c>
      <c r="I1047" s="2"/>
      <c r="J1047" s="17"/>
      <c r="K1047" s="17"/>
      <c r="L1047" s="17"/>
    </row>
    <row r="1048" spans="1:12">
      <c r="A1048" s="45"/>
      <c r="B1048" s="46"/>
      <c r="C1048" s="14"/>
      <c r="D1048" s="20"/>
      <c r="F1048" s="20"/>
      <c r="H1048" s="20"/>
      <c r="I1048" s="2"/>
      <c r="J1048" s="17"/>
      <c r="K1048" s="17"/>
      <c r="L1048" s="17"/>
    </row>
    <row r="1049" spans="1:12" ht="26">
      <c r="A1049" s="45"/>
      <c r="B1049" s="42" t="s">
        <v>619</v>
      </c>
      <c r="C1049" s="14" t="s">
        <v>620</v>
      </c>
      <c r="D1049" s="20"/>
      <c r="F1049" s="20"/>
      <c r="H1049" s="20"/>
      <c r="I1049" s="2"/>
      <c r="J1049" s="17"/>
      <c r="K1049" s="17"/>
      <c r="L1049" s="17"/>
    </row>
    <row r="1050" spans="1:12">
      <c r="A1050" s="45"/>
      <c r="B1050" s="43">
        <v>1</v>
      </c>
      <c r="C1050" s="19"/>
      <c r="D1050" s="20">
        <v>0</v>
      </c>
      <c r="E1050" s="21">
        <v>1</v>
      </c>
      <c r="F1050" s="20">
        <f>D1050*E1050</f>
        <v>0</v>
      </c>
      <c r="G1050" s="21">
        <v>101</v>
      </c>
      <c r="H1050" s="20">
        <f>F1050*G1050</f>
        <v>0</v>
      </c>
      <c r="I1050" s="2"/>
      <c r="J1050" s="17"/>
      <c r="K1050" s="17"/>
      <c r="L1050" s="17"/>
    </row>
    <row r="1051" spans="1:12">
      <c r="A1051" s="45"/>
      <c r="B1051" s="43">
        <v>2</v>
      </c>
      <c r="C1051" s="19"/>
      <c r="D1051" s="20">
        <v>0</v>
      </c>
      <c r="E1051" s="21">
        <v>2</v>
      </c>
      <c r="F1051" s="20">
        <f>D1051*E1051</f>
        <v>0</v>
      </c>
      <c r="G1051" s="21">
        <v>102</v>
      </c>
      <c r="H1051" s="20">
        <f>F1051*G1051</f>
        <v>0</v>
      </c>
      <c r="I1051" s="2"/>
      <c r="J1051" s="17"/>
      <c r="K1051" s="17"/>
      <c r="L1051" s="17"/>
    </row>
    <row r="1052" spans="1:12">
      <c r="A1052" s="45"/>
      <c r="B1052" s="43">
        <v>3</v>
      </c>
      <c r="C1052" s="19"/>
      <c r="D1052" s="20">
        <v>0</v>
      </c>
      <c r="E1052" s="21">
        <v>3</v>
      </c>
      <c r="F1052" s="20">
        <f t="shared" ref="F1052:F1056" si="100">D1052*E1052</f>
        <v>0</v>
      </c>
      <c r="G1052" s="21">
        <v>103</v>
      </c>
      <c r="H1052" s="20">
        <f t="shared" ref="H1052:H1056" si="101">F1052*G1052</f>
        <v>0</v>
      </c>
      <c r="I1052" s="2"/>
      <c r="J1052" s="17"/>
      <c r="K1052" s="17"/>
      <c r="L1052" s="17"/>
    </row>
    <row r="1053" spans="1:12">
      <c r="A1053" s="45"/>
      <c r="B1053" s="43">
        <v>4</v>
      </c>
      <c r="C1053" s="19"/>
      <c r="D1053" s="20">
        <v>0</v>
      </c>
      <c r="E1053" s="21">
        <v>4</v>
      </c>
      <c r="F1053" s="20">
        <f t="shared" si="100"/>
        <v>0</v>
      </c>
      <c r="G1053" s="21">
        <v>104</v>
      </c>
      <c r="H1053" s="20">
        <f t="shared" si="101"/>
        <v>0</v>
      </c>
      <c r="I1053" s="2"/>
      <c r="J1053" s="17"/>
      <c r="K1053" s="17"/>
      <c r="L1053" s="17"/>
    </row>
    <row r="1054" spans="1:12">
      <c r="A1054" s="45"/>
      <c r="B1054" s="43">
        <v>5</v>
      </c>
      <c r="C1054" s="19"/>
      <c r="D1054" s="20">
        <v>0</v>
      </c>
      <c r="E1054" s="21">
        <v>5</v>
      </c>
      <c r="F1054" s="20">
        <f t="shared" si="100"/>
        <v>0</v>
      </c>
      <c r="G1054" s="21">
        <v>105</v>
      </c>
      <c r="H1054" s="20">
        <f t="shared" si="101"/>
        <v>0</v>
      </c>
      <c r="I1054" s="2"/>
      <c r="J1054" s="17"/>
      <c r="K1054" s="17"/>
      <c r="L1054" s="17"/>
    </row>
    <row r="1055" spans="1:12">
      <c r="A1055" s="45"/>
      <c r="B1055" s="43">
        <v>6</v>
      </c>
      <c r="C1055" s="19"/>
      <c r="D1055" s="20">
        <v>0</v>
      </c>
      <c r="E1055" s="21">
        <v>6</v>
      </c>
      <c r="F1055" s="20">
        <f t="shared" si="100"/>
        <v>0</v>
      </c>
      <c r="G1055" s="21">
        <v>106</v>
      </c>
      <c r="H1055" s="20">
        <f t="shared" si="101"/>
        <v>0</v>
      </c>
      <c r="I1055" s="2"/>
      <c r="J1055" s="17"/>
      <c r="K1055" s="17"/>
      <c r="L1055" s="17"/>
    </row>
    <row r="1056" spans="1:12">
      <c r="A1056" s="45"/>
      <c r="B1056" s="43">
        <v>7</v>
      </c>
      <c r="C1056" s="19"/>
      <c r="D1056" s="20">
        <v>0</v>
      </c>
      <c r="E1056" s="21">
        <v>7</v>
      </c>
      <c r="F1056" s="20">
        <f t="shared" si="100"/>
        <v>0</v>
      </c>
      <c r="G1056" s="21">
        <v>107</v>
      </c>
      <c r="H1056" s="20">
        <f t="shared" si="101"/>
        <v>0</v>
      </c>
      <c r="I1056" s="2"/>
      <c r="J1056" s="17"/>
      <c r="K1056" s="17"/>
      <c r="L1056" s="17"/>
    </row>
    <row r="1057" spans="1:12">
      <c r="A1057" s="45"/>
      <c r="B1057" s="43">
        <v>8</v>
      </c>
      <c r="C1057" s="19"/>
      <c r="D1057" s="20">
        <v>0</v>
      </c>
      <c r="E1057" s="21">
        <v>1</v>
      </c>
      <c r="F1057" s="20">
        <f>D1057*E1057</f>
        <v>0</v>
      </c>
      <c r="G1057" s="21">
        <v>102</v>
      </c>
      <c r="H1057" s="20">
        <f>F1057*G1057</f>
        <v>0</v>
      </c>
      <c r="I1057" s="2"/>
      <c r="J1057" s="17"/>
      <c r="K1057" s="17"/>
      <c r="L1057" s="17"/>
    </row>
    <row r="1058" spans="1:12">
      <c r="A1058" s="45"/>
      <c r="B1058" s="43"/>
      <c r="C1058" s="14" t="s">
        <v>621</v>
      </c>
      <c r="D1058" s="20"/>
      <c r="F1058" s="20"/>
      <c r="H1058" s="25">
        <f>SUM(H1050:H1057)</f>
        <v>0</v>
      </c>
      <c r="I1058" s="2"/>
      <c r="J1058" s="17"/>
      <c r="K1058" s="17"/>
      <c r="L1058" s="17"/>
    </row>
    <row r="1059" spans="1:12">
      <c r="A1059" s="45"/>
      <c r="B1059" s="42"/>
      <c r="C1059" s="14"/>
      <c r="D1059" s="20"/>
      <c r="F1059" s="20"/>
      <c r="H1059" s="20"/>
      <c r="I1059" s="2"/>
      <c r="J1059" s="17"/>
      <c r="K1059" s="17"/>
      <c r="L1059" s="17"/>
    </row>
    <row r="1060" spans="1:12">
      <c r="A1060" s="45"/>
      <c r="B1060" s="46"/>
      <c r="C1060" s="14" t="s">
        <v>622</v>
      </c>
      <c r="D1060" s="20"/>
      <c r="F1060" s="20"/>
      <c r="H1060" s="20"/>
      <c r="I1060" s="2"/>
      <c r="J1060" s="17"/>
      <c r="K1060" s="17"/>
      <c r="L1060" s="17"/>
    </row>
    <row r="1061" spans="1:12">
      <c r="A1061" s="45"/>
      <c r="B1061" s="43">
        <v>1</v>
      </c>
      <c r="C1061" s="19"/>
      <c r="D1061" s="20">
        <v>0</v>
      </c>
      <c r="E1061" s="21">
        <v>1</v>
      </c>
      <c r="F1061" s="20">
        <f>D1061*E1061</f>
        <v>0</v>
      </c>
      <c r="G1061" s="21">
        <v>101</v>
      </c>
      <c r="H1061" s="20">
        <f>F1061*G1061</f>
        <v>0</v>
      </c>
      <c r="I1061" s="2"/>
      <c r="J1061" s="17"/>
      <c r="K1061" s="17"/>
      <c r="L1061" s="17"/>
    </row>
    <row r="1062" spans="1:12">
      <c r="A1062" s="45"/>
      <c r="B1062" s="43">
        <v>2</v>
      </c>
      <c r="C1062" s="19"/>
      <c r="D1062" s="20">
        <v>0</v>
      </c>
      <c r="E1062" s="21">
        <v>1</v>
      </c>
      <c r="F1062" s="20">
        <f t="shared" ref="F1062:F1064" si="102">D1062*E1062</f>
        <v>0</v>
      </c>
      <c r="G1062" s="21">
        <v>102</v>
      </c>
      <c r="H1062" s="20">
        <f t="shared" ref="H1062:H1064" si="103">F1062*G1062</f>
        <v>0</v>
      </c>
      <c r="I1062" s="2"/>
      <c r="J1062" s="17"/>
      <c r="K1062" s="17"/>
      <c r="L1062" s="17"/>
    </row>
    <row r="1063" spans="1:12">
      <c r="A1063" s="45"/>
      <c r="B1063" s="43">
        <v>3</v>
      </c>
      <c r="C1063" s="19"/>
      <c r="D1063" s="20">
        <v>0</v>
      </c>
      <c r="E1063" s="21">
        <v>1</v>
      </c>
      <c r="F1063" s="20">
        <f t="shared" si="102"/>
        <v>0</v>
      </c>
      <c r="G1063" s="21">
        <v>103</v>
      </c>
      <c r="H1063" s="20">
        <f t="shared" si="103"/>
        <v>0</v>
      </c>
      <c r="I1063" s="2"/>
      <c r="J1063" s="17"/>
      <c r="K1063" s="17"/>
      <c r="L1063" s="17"/>
    </row>
    <row r="1064" spans="1:12">
      <c r="A1064" s="45"/>
      <c r="B1064" s="43">
        <v>4</v>
      </c>
      <c r="C1064" s="19"/>
      <c r="D1064" s="20">
        <v>0</v>
      </c>
      <c r="E1064" s="21">
        <v>1</v>
      </c>
      <c r="F1064" s="20">
        <f t="shared" si="102"/>
        <v>0</v>
      </c>
      <c r="G1064" s="21">
        <v>104</v>
      </c>
      <c r="H1064" s="20">
        <f t="shared" si="103"/>
        <v>0</v>
      </c>
      <c r="I1064" s="2"/>
      <c r="J1064" s="17"/>
      <c r="K1064" s="17"/>
      <c r="L1064" s="17"/>
    </row>
    <row r="1065" spans="1:12">
      <c r="A1065" s="45"/>
      <c r="B1065" s="43">
        <v>5</v>
      </c>
      <c r="C1065" s="19"/>
      <c r="D1065" s="20">
        <v>0</v>
      </c>
      <c r="E1065" s="21">
        <v>1</v>
      </c>
      <c r="F1065" s="20">
        <f>D1065*E1065</f>
        <v>0</v>
      </c>
      <c r="G1065" s="21">
        <v>102</v>
      </c>
      <c r="H1065" s="20">
        <f>F1065*G1065</f>
        <v>0</v>
      </c>
      <c r="I1065" s="2"/>
      <c r="J1065" s="17"/>
      <c r="K1065" s="17"/>
      <c r="L1065" s="17"/>
    </row>
    <row r="1066" spans="1:12">
      <c r="A1066" s="45"/>
      <c r="B1066" s="43"/>
      <c r="C1066" s="14" t="s">
        <v>623</v>
      </c>
      <c r="D1066" s="20"/>
      <c r="F1066" s="20"/>
      <c r="H1066" s="25">
        <f>SUM(H1061:H1065)</f>
        <v>0</v>
      </c>
      <c r="I1066" s="2"/>
      <c r="J1066" s="17"/>
      <c r="K1066" s="17"/>
      <c r="L1066" s="17"/>
    </row>
    <row r="1067" spans="1:12">
      <c r="A1067" s="45"/>
      <c r="B1067" s="46"/>
      <c r="C1067" s="14"/>
      <c r="D1067" s="20"/>
      <c r="F1067" s="20"/>
      <c r="H1067" s="20"/>
      <c r="I1067" s="2"/>
      <c r="J1067" s="17"/>
      <c r="K1067" s="17"/>
      <c r="L1067" s="17"/>
    </row>
    <row r="1068" spans="1:12">
      <c r="A1068" s="45"/>
      <c r="B1068" s="46"/>
      <c r="C1068" s="14" t="s">
        <v>624</v>
      </c>
      <c r="D1068" s="20"/>
      <c r="F1068" s="20"/>
      <c r="H1068" s="20"/>
      <c r="I1068" s="2"/>
      <c r="J1068" s="17"/>
      <c r="K1068" s="17"/>
      <c r="L1068" s="17"/>
    </row>
    <row r="1069" spans="1:12">
      <c r="A1069" s="45"/>
      <c r="B1069" s="43">
        <v>1</v>
      </c>
      <c r="C1069" s="19"/>
      <c r="D1069" s="20">
        <v>0</v>
      </c>
      <c r="E1069" s="21">
        <v>1</v>
      </c>
      <c r="F1069" s="20">
        <f>D1069*E1069</f>
        <v>0</v>
      </c>
      <c r="G1069" s="21">
        <v>101</v>
      </c>
      <c r="H1069" s="20">
        <f>F1069*G1069</f>
        <v>0</v>
      </c>
      <c r="I1069" s="2"/>
      <c r="J1069" s="17"/>
      <c r="K1069" s="17"/>
      <c r="L1069" s="17"/>
    </row>
    <row r="1070" spans="1:12">
      <c r="A1070" s="45"/>
      <c r="B1070" s="43">
        <v>2</v>
      </c>
      <c r="C1070" s="19"/>
      <c r="D1070" s="20">
        <v>0</v>
      </c>
      <c r="E1070" s="21">
        <v>1</v>
      </c>
      <c r="F1070" s="20">
        <f t="shared" ref="F1070:F1072" si="104">D1070*E1070</f>
        <v>0</v>
      </c>
      <c r="G1070" s="21">
        <v>102</v>
      </c>
      <c r="H1070" s="20">
        <f t="shared" ref="H1070:H1072" si="105">F1070*G1070</f>
        <v>0</v>
      </c>
      <c r="I1070" s="2"/>
      <c r="J1070" s="17"/>
      <c r="K1070" s="17"/>
      <c r="L1070" s="17"/>
    </row>
    <row r="1071" spans="1:12">
      <c r="A1071" s="45"/>
      <c r="B1071" s="43">
        <v>3</v>
      </c>
      <c r="C1071" s="19"/>
      <c r="D1071" s="20">
        <v>0</v>
      </c>
      <c r="E1071" s="21">
        <v>1</v>
      </c>
      <c r="F1071" s="20">
        <f t="shared" si="104"/>
        <v>0</v>
      </c>
      <c r="G1071" s="21">
        <v>103</v>
      </c>
      <c r="H1071" s="20">
        <f t="shared" si="105"/>
        <v>0</v>
      </c>
      <c r="I1071" s="2"/>
      <c r="J1071" s="17"/>
      <c r="K1071" s="17"/>
      <c r="L1071" s="17"/>
    </row>
    <row r="1072" spans="1:12">
      <c r="A1072" s="45"/>
      <c r="B1072" s="43">
        <v>4</v>
      </c>
      <c r="C1072" s="19"/>
      <c r="D1072" s="20">
        <v>0</v>
      </c>
      <c r="E1072" s="21">
        <v>1</v>
      </c>
      <c r="F1072" s="20">
        <f t="shared" si="104"/>
        <v>0</v>
      </c>
      <c r="G1072" s="21">
        <v>104</v>
      </c>
      <c r="H1072" s="20">
        <f t="shared" si="105"/>
        <v>0</v>
      </c>
      <c r="I1072" s="2"/>
      <c r="J1072" s="17"/>
      <c r="K1072" s="17"/>
      <c r="L1072" s="17"/>
    </row>
    <row r="1073" spans="1:12">
      <c r="A1073" s="45"/>
      <c r="B1073" s="43">
        <v>5</v>
      </c>
      <c r="C1073" s="19"/>
      <c r="D1073" s="20">
        <v>0</v>
      </c>
      <c r="E1073" s="21">
        <v>1</v>
      </c>
      <c r="F1073" s="20">
        <f>D1073*E1073</f>
        <v>0</v>
      </c>
      <c r="G1073" s="21">
        <v>102</v>
      </c>
      <c r="H1073" s="20">
        <f>F1073*G1073</f>
        <v>0</v>
      </c>
      <c r="I1073" s="2"/>
      <c r="J1073" s="17"/>
      <c r="K1073" s="17"/>
      <c r="L1073" s="17"/>
    </row>
    <row r="1074" spans="1:12">
      <c r="A1074" s="45"/>
      <c r="B1074" s="43"/>
      <c r="C1074" s="14" t="s">
        <v>625</v>
      </c>
      <c r="D1074" s="20"/>
      <c r="F1074" s="20"/>
      <c r="H1074" s="25">
        <f>SUM(H1069:H1073)</f>
        <v>0</v>
      </c>
      <c r="I1074" s="2"/>
      <c r="J1074" s="17"/>
      <c r="K1074" s="17"/>
      <c r="L1074" s="17"/>
    </row>
    <row r="1075" spans="1:12">
      <c r="A1075" s="45"/>
      <c r="B1075" s="46"/>
      <c r="C1075" s="14"/>
      <c r="D1075" s="20"/>
      <c r="F1075" s="20"/>
      <c r="H1075" s="20"/>
      <c r="I1075" s="2"/>
      <c r="J1075" s="17"/>
      <c r="K1075" s="17"/>
      <c r="L1075" s="17"/>
    </row>
    <row r="1076" spans="1:12">
      <c r="A1076" s="45"/>
      <c r="B1076" s="46"/>
      <c r="C1076" s="14" t="s">
        <v>626</v>
      </c>
      <c r="D1076" s="20"/>
      <c r="F1076" s="20"/>
      <c r="H1076" s="20"/>
      <c r="I1076" s="2"/>
      <c r="J1076" s="17"/>
      <c r="K1076" s="17"/>
      <c r="L1076" s="17"/>
    </row>
    <row r="1077" spans="1:12">
      <c r="A1077" s="45"/>
      <c r="B1077" s="43">
        <v>1</v>
      </c>
      <c r="C1077" s="19"/>
      <c r="D1077" s="20">
        <v>0</v>
      </c>
      <c r="E1077" s="21">
        <v>1</v>
      </c>
      <c r="F1077" s="20">
        <f>D1077*E1077</f>
        <v>0</v>
      </c>
      <c r="G1077" s="21">
        <v>101</v>
      </c>
      <c r="H1077" s="20">
        <f>F1077*G1077</f>
        <v>0</v>
      </c>
      <c r="I1077" s="2"/>
      <c r="J1077" s="17"/>
      <c r="K1077" s="17"/>
      <c r="L1077" s="17"/>
    </row>
    <row r="1078" spans="1:12">
      <c r="A1078" s="45"/>
      <c r="B1078" s="43">
        <v>2</v>
      </c>
      <c r="C1078" s="19"/>
      <c r="D1078" s="20">
        <v>0</v>
      </c>
      <c r="E1078" s="21">
        <v>1</v>
      </c>
      <c r="F1078" s="20">
        <f t="shared" ref="F1078:F1080" si="106">D1078*E1078</f>
        <v>0</v>
      </c>
      <c r="G1078" s="21">
        <v>102</v>
      </c>
      <c r="H1078" s="20">
        <f t="shared" ref="H1078:H1080" si="107">F1078*G1078</f>
        <v>0</v>
      </c>
      <c r="I1078" s="2"/>
      <c r="J1078" s="17"/>
      <c r="K1078" s="17"/>
      <c r="L1078" s="17"/>
    </row>
    <row r="1079" spans="1:12">
      <c r="A1079" s="45"/>
      <c r="B1079" s="43">
        <v>3</v>
      </c>
      <c r="C1079" s="19"/>
      <c r="D1079" s="20">
        <v>0</v>
      </c>
      <c r="E1079" s="21">
        <v>1</v>
      </c>
      <c r="F1079" s="20">
        <f t="shared" si="106"/>
        <v>0</v>
      </c>
      <c r="G1079" s="21">
        <v>103</v>
      </c>
      <c r="H1079" s="20">
        <f t="shared" si="107"/>
        <v>0</v>
      </c>
      <c r="I1079" s="2"/>
      <c r="J1079" s="17"/>
      <c r="K1079" s="17"/>
      <c r="L1079" s="17"/>
    </row>
    <row r="1080" spans="1:12">
      <c r="A1080" s="45"/>
      <c r="B1080" s="43">
        <v>4</v>
      </c>
      <c r="C1080" s="19"/>
      <c r="D1080" s="20">
        <v>0</v>
      </c>
      <c r="E1080" s="21">
        <v>1</v>
      </c>
      <c r="F1080" s="20">
        <f t="shared" si="106"/>
        <v>0</v>
      </c>
      <c r="G1080" s="21">
        <v>104</v>
      </c>
      <c r="H1080" s="20">
        <f t="shared" si="107"/>
        <v>0</v>
      </c>
      <c r="I1080" s="2"/>
      <c r="J1080" s="17"/>
      <c r="K1080" s="17"/>
      <c r="L1080" s="17"/>
    </row>
    <row r="1081" spans="1:12">
      <c r="A1081" s="45"/>
      <c r="B1081" s="43">
        <v>5</v>
      </c>
      <c r="C1081" s="19"/>
      <c r="D1081" s="20">
        <v>0</v>
      </c>
      <c r="E1081" s="21">
        <v>1</v>
      </c>
      <c r="F1081" s="20">
        <f>D1081*E1081</f>
        <v>0</v>
      </c>
      <c r="G1081" s="21">
        <v>102</v>
      </c>
      <c r="H1081" s="20">
        <f>F1081*G1081</f>
        <v>0</v>
      </c>
      <c r="I1081" s="2"/>
      <c r="J1081" s="17"/>
      <c r="K1081" s="17"/>
      <c r="L1081" s="17"/>
    </row>
    <row r="1082" spans="1:12">
      <c r="A1082" s="45"/>
      <c r="B1082" s="43"/>
      <c r="C1082" s="14" t="s">
        <v>627</v>
      </c>
      <c r="D1082" s="20"/>
      <c r="F1082" s="20"/>
      <c r="H1082" s="25">
        <f>SUM(H1077:H1081)</f>
        <v>0</v>
      </c>
      <c r="I1082" s="2"/>
      <c r="J1082" s="17"/>
      <c r="K1082" s="17"/>
      <c r="L1082" s="17"/>
    </row>
    <row r="1083" spans="1:12">
      <c r="A1083" s="45"/>
      <c r="B1083" s="46"/>
      <c r="C1083" s="14"/>
      <c r="D1083" s="20"/>
      <c r="F1083" s="20"/>
      <c r="H1083" s="20"/>
      <c r="I1083" s="2"/>
      <c r="J1083" s="17"/>
      <c r="K1083" s="17"/>
      <c r="L1083" s="17"/>
    </row>
    <row r="1084" spans="1:12">
      <c r="A1084" s="45"/>
      <c r="B1084" s="46"/>
      <c r="C1084" s="14" t="s">
        <v>628</v>
      </c>
      <c r="D1084" s="20"/>
      <c r="F1084" s="20"/>
      <c r="H1084" s="20"/>
      <c r="I1084" s="2"/>
      <c r="J1084" s="17"/>
      <c r="K1084" s="17"/>
      <c r="L1084" s="17"/>
    </row>
    <row r="1085" spans="1:12">
      <c r="A1085" s="45"/>
      <c r="B1085" s="43">
        <v>1</v>
      </c>
      <c r="C1085" s="19" t="s">
        <v>496</v>
      </c>
      <c r="D1085" s="20">
        <v>0</v>
      </c>
      <c r="E1085" s="21">
        <v>1</v>
      </c>
      <c r="F1085" s="20">
        <f>D1085*E1085</f>
        <v>0</v>
      </c>
      <c r="G1085" s="21">
        <f>K43</f>
        <v>5384.6153846153802</v>
      </c>
      <c r="H1085" s="20">
        <f>F1085*G1085</f>
        <v>0</v>
      </c>
      <c r="I1085" s="2"/>
      <c r="J1085" s="17"/>
      <c r="K1085" s="17"/>
      <c r="L1085" s="17"/>
    </row>
    <row r="1086" spans="1:12">
      <c r="A1086" s="45"/>
      <c r="B1086" s="43">
        <v>2</v>
      </c>
      <c r="C1086" s="19" t="s">
        <v>497</v>
      </c>
      <c r="D1086" s="20">
        <v>0</v>
      </c>
      <c r="E1086" s="21">
        <v>1</v>
      </c>
      <c r="F1086" s="20">
        <f t="shared" ref="F1086:F1099" si="108">D1086*E1086</f>
        <v>0</v>
      </c>
      <c r="G1086" s="21">
        <f>K44</f>
        <v>8307.6923076923104</v>
      </c>
      <c r="H1086" s="20">
        <f t="shared" ref="H1086:H1099" si="109">F1086*G1086</f>
        <v>0</v>
      </c>
      <c r="I1086" s="2"/>
      <c r="J1086" s="17"/>
      <c r="K1086" s="17"/>
      <c r="L1086" s="17"/>
    </row>
    <row r="1087" spans="1:12">
      <c r="A1087" s="45"/>
      <c r="B1087" s="43">
        <v>3</v>
      </c>
      <c r="C1087" s="19" t="s">
        <v>606</v>
      </c>
      <c r="D1087" s="20">
        <v>0</v>
      </c>
      <c r="E1087" s="21">
        <v>1</v>
      </c>
      <c r="F1087" s="20">
        <f t="shared" si="108"/>
        <v>0</v>
      </c>
      <c r="G1087" s="21">
        <v>60.769230769230766</v>
      </c>
      <c r="H1087" s="20">
        <f t="shared" si="109"/>
        <v>0</v>
      </c>
      <c r="I1087" s="2"/>
      <c r="J1087" s="17"/>
      <c r="K1087" s="17"/>
      <c r="L1087" s="17"/>
    </row>
    <row r="1088" spans="1:12">
      <c r="A1088" s="45"/>
      <c r="B1088" s="43">
        <v>4</v>
      </c>
      <c r="C1088" s="19" t="s">
        <v>503</v>
      </c>
      <c r="D1088" s="20">
        <v>0</v>
      </c>
      <c r="E1088" s="21">
        <v>0</v>
      </c>
      <c r="F1088" s="20">
        <f t="shared" si="108"/>
        <v>0</v>
      </c>
      <c r="G1088" s="21">
        <v>40</v>
      </c>
      <c r="H1088" s="20">
        <f t="shared" si="109"/>
        <v>0</v>
      </c>
      <c r="I1088" s="2"/>
      <c r="J1088" s="17"/>
      <c r="K1088" s="17"/>
      <c r="L1088" s="17"/>
    </row>
    <row r="1089" spans="1:12">
      <c r="A1089" s="45"/>
      <c r="B1089" s="43">
        <v>5</v>
      </c>
      <c r="C1089" s="19" t="s">
        <v>504</v>
      </c>
      <c r="D1089" s="20">
        <v>0</v>
      </c>
      <c r="E1089" s="21">
        <v>0</v>
      </c>
      <c r="F1089" s="20">
        <f t="shared" si="108"/>
        <v>0</v>
      </c>
      <c r="G1089" s="21">
        <v>49000</v>
      </c>
      <c r="H1089" s="20">
        <f t="shared" si="109"/>
        <v>0</v>
      </c>
      <c r="I1089" s="2"/>
      <c r="J1089" s="17"/>
      <c r="K1089" s="17"/>
      <c r="L1089" s="17"/>
    </row>
    <row r="1090" spans="1:12">
      <c r="A1090" s="45"/>
      <c r="B1090" s="43">
        <v>6</v>
      </c>
      <c r="C1090" s="19" t="s">
        <v>507</v>
      </c>
      <c r="D1090" s="20">
        <v>0</v>
      </c>
      <c r="E1090" s="21">
        <v>0</v>
      </c>
      <c r="F1090" s="20">
        <f t="shared" si="108"/>
        <v>0</v>
      </c>
      <c r="G1090" s="21">
        <v>230.76923076923077</v>
      </c>
      <c r="H1090" s="20">
        <f t="shared" si="109"/>
        <v>0</v>
      </c>
      <c r="I1090" s="2"/>
      <c r="J1090" s="17"/>
      <c r="K1090" s="17"/>
      <c r="L1090" s="17"/>
    </row>
    <row r="1091" spans="1:12">
      <c r="A1091" s="45"/>
      <c r="B1091" s="43">
        <v>7</v>
      </c>
      <c r="C1091" s="19" t="s">
        <v>508</v>
      </c>
      <c r="D1091" s="20">
        <v>0</v>
      </c>
      <c r="E1091" s="21">
        <v>0.14399999999999999</v>
      </c>
      <c r="F1091" s="20">
        <f t="shared" si="108"/>
        <v>0</v>
      </c>
      <c r="G1091" s="21">
        <v>9000</v>
      </c>
      <c r="H1091" s="20">
        <f t="shared" si="109"/>
        <v>0</v>
      </c>
      <c r="I1091" s="2"/>
      <c r="J1091" s="17"/>
      <c r="K1091" s="17"/>
      <c r="L1091" s="17"/>
    </row>
    <row r="1092" spans="1:12">
      <c r="A1092" s="45"/>
      <c r="B1092" s="43">
        <v>8</v>
      </c>
      <c r="C1092" s="19" t="s">
        <v>352</v>
      </c>
      <c r="D1092" s="20">
        <v>0</v>
      </c>
      <c r="E1092" s="21">
        <v>0.58199999999999996</v>
      </c>
      <c r="F1092" s="20">
        <f t="shared" si="108"/>
        <v>0</v>
      </c>
      <c r="G1092" s="21">
        <v>177.69230769230768</v>
      </c>
      <c r="H1092" s="20">
        <f t="shared" si="109"/>
        <v>0</v>
      </c>
      <c r="I1092" s="2"/>
      <c r="J1092" s="17"/>
      <c r="K1092" s="17"/>
      <c r="L1092" s="17"/>
    </row>
    <row r="1093" spans="1:12">
      <c r="A1093" s="45"/>
      <c r="B1093" s="43">
        <v>9</v>
      </c>
      <c r="C1093" s="19" t="s">
        <v>45</v>
      </c>
      <c r="D1093" s="20">
        <v>0</v>
      </c>
      <c r="E1093" s="21">
        <v>0.58199999999999996</v>
      </c>
      <c r="F1093" s="20">
        <f t="shared" si="108"/>
        <v>0</v>
      </c>
      <c r="G1093" s="21">
        <v>77.692307692307693</v>
      </c>
      <c r="H1093" s="20">
        <f t="shared" si="109"/>
        <v>0</v>
      </c>
      <c r="I1093" s="2"/>
      <c r="J1093" s="17"/>
      <c r="K1093" s="17"/>
      <c r="L1093" s="17"/>
    </row>
    <row r="1094" spans="1:12">
      <c r="A1094" s="45"/>
      <c r="B1094" s="43">
        <v>10</v>
      </c>
      <c r="C1094" s="19" t="s">
        <v>351</v>
      </c>
      <c r="D1094" s="20">
        <v>0</v>
      </c>
      <c r="E1094" s="21">
        <v>0.58199999999999996</v>
      </c>
      <c r="F1094" s="20">
        <f t="shared" si="108"/>
        <v>0</v>
      </c>
      <c r="G1094" s="21">
        <v>264.61538461538458</v>
      </c>
      <c r="H1094" s="20">
        <f t="shared" si="109"/>
        <v>0</v>
      </c>
      <c r="I1094" s="2"/>
      <c r="J1094" s="17"/>
      <c r="K1094" s="17"/>
      <c r="L1094" s="17"/>
    </row>
    <row r="1095" spans="1:12">
      <c r="A1095" s="45"/>
      <c r="B1095" s="43">
        <v>11</v>
      </c>
      <c r="C1095" s="19" t="s">
        <v>629</v>
      </c>
      <c r="D1095" s="20">
        <v>10</v>
      </c>
      <c r="E1095" s="21">
        <v>1</v>
      </c>
      <c r="F1095" s="20">
        <f t="shared" si="108"/>
        <v>10</v>
      </c>
      <c r="G1095" s="69">
        <v>12000</v>
      </c>
      <c r="H1095" s="20">
        <f t="shared" si="109"/>
        <v>120000</v>
      </c>
      <c r="I1095" s="2"/>
      <c r="J1095" s="17"/>
      <c r="K1095" s="17"/>
      <c r="L1095" s="17"/>
    </row>
    <row r="1096" spans="1:12">
      <c r="A1096" s="45"/>
      <c r="B1096" s="43">
        <v>12</v>
      </c>
      <c r="C1096" s="19" t="s">
        <v>630</v>
      </c>
      <c r="D1096" s="20">
        <v>21</v>
      </c>
      <c r="E1096" s="21">
        <v>0.01</v>
      </c>
      <c r="F1096" s="20">
        <f t="shared" si="108"/>
        <v>0.21</v>
      </c>
      <c r="G1096" s="69">
        <v>91000</v>
      </c>
      <c r="H1096" s="20">
        <f t="shared" si="109"/>
        <v>19110</v>
      </c>
      <c r="I1096" s="2"/>
      <c r="J1096" s="17"/>
      <c r="K1096" s="17"/>
      <c r="L1096" s="17"/>
    </row>
    <row r="1097" spans="1:12">
      <c r="A1097" s="45"/>
      <c r="B1097" s="43">
        <v>13</v>
      </c>
      <c r="C1097" s="19"/>
      <c r="D1097" s="20">
        <v>0</v>
      </c>
      <c r="E1097" s="21">
        <v>0</v>
      </c>
      <c r="F1097" s="20">
        <f t="shared" si="108"/>
        <v>0</v>
      </c>
      <c r="G1097" s="21">
        <v>113</v>
      </c>
      <c r="H1097" s="20">
        <f t="shared" si="109"/>
        <v>0</v>
      </c>
      <c r="I1097" s="2"/>
      <c r="J1097" s="17"/>
      <c r="K1097" s="17"/>
      <c r="L1097" s="17"/>
    </row>
    <row r="1098" spans="1:12">
      <c r="A1098" s="45"/>
      <c r="B1098" s="43">
        <v>14</v>
      </c>
      <c r="C1098" s="19"/>
      <c r="D1098" s="20">
        <v>0</v>
      </c>
      <c r="E1098" s="21">
        <v>0</v>
      </c>
      <c r="F1098" s="20">
        <f t="shared" si="108"/>
        <v>0</v>
      </c>
      <c r="G1098" s="21">
        <v>114</v>
      </c>
      <c r="H1098" s="20">
        <f t="shared" si="109"/>
        <v>0</v>
      </c>
      <c r="I1098" s="2"/>
      <c r="J1098" s="17"/>
      <c r="K1098" s="17"/>
      <c r="L1098" s="17"/>
    </row>
    <row r="1099" spans="1:12">
      <c r="A1099" s="45"/>
      <c r="B1099" s="43">
        <v>15</v>
      </c>
      <c r="C1099" s="19"/>
      <c r="D1099" s="20">
        <v>0</v>
      </c>
      <c r="E1099" s="21">
        <v>0</v>
      </c>
      <c r="F1099" s="20">
        <f t="shared" si="108"/>
        <v>0</v>
      </c>
      <c r="G1099" s="21">
        <v>115</v>
      </c>
      <c r="H1099" s="20">
        <f t="shared" si="109"/>
        <v>0</v>
      </c>
      <c r="I1099" s="2"/>
      <c r="J1099" s="17"/>
      <c r="K1099" s="17"/>
      <c r="L1099" s="17"/>
    </row>
    <row r="1100" spans="1:12">
      <c r="A1100" s="45"/>
      <c r="B1100" s="43">
        <v>16</v>
      </c>
      <c r="C1100" s="19"/>
      <c r="D1100" s="20">
        <v>0</v>
      </c>
      <c r="E1100" s="21">
        <v>0</v>
      </c>
      <c r="F1100" s="20">
        <f>D1100*E1100</f>
        <v>0</v>
      </c>
      <c r="G1100" s="21">
        <v>102</v>
      </c>
      <c r="H1100" s="20">
        <f>F1100*G1100</f>
        <v>0</v>
      </c>
      <c r="I1100" s="2"/>
      <c r="J1100" s="17"/>
      <c r="K1100" s="17"/>
      <c r="L1100" s="17"/>
    </row>
    <row r="1101" spans="1:12">
      <c r="A1101" s="45"/>
      <c r="B1101" s="43"/>
      <c r="C1101" s="14" t="s">
        <v>631</v>
      </c>
      <c r="D1101" s="20"/>
      <c r="F1101" s="20"/>
      <c r="H1101" s="25">
        <f>SUM(H1085:H1100)</f>
        <v>139110</v>
      </c>
      <c r="I1101" s="2"/>
      <c r="J1101" s="17"/>
      <c r="K1101" s="17"/>
      <c r="L1101" s="17"/>
    </row>
    <row r="1102" spans="1:12">
      <c r="A1102" s="45"/>
      <c r="B1102" s="46"/>
      <c r="C1102" s="14"/>
      <c r="D1102" s="20"/>
      <c r="F1102" s="20"/>
      <c r="H1102" s="20"/>
      <c r="I1102" s="2"/>
      <c r="J1102" s="17"/>
      <c r="K1102" s="17"/>
      <c r="L1102" s="17"/>
    </row>
    <row r="1103" spans="1:12">
      <c r="A1103" s="45"/>
      <c r="B1103" s="46"/>
      <c r="C1103" s="14" t="s">
        <v>632</v>
      </c>
      <c r="D1103" s="20"/>
      <c r="F1103" s="20"/>
      <c r="H1103" s="20"/>
      <c r="I1103" s="2"/>
      <c r="J1103" s="17"/>
      <c r="K1103" s="17"/>
      <c r="L1103" s="17"/>
    </row>
    <row r="1104" spans="1:12">
      <c r="A1104" s="45"/>
      <c r="B1104" s="43">
        <v>1</v>
      </c>
      <c r="C1104" s="19" t="s">
        <v>633</v>
      </c>
      <c r="D1104" s="20">
        <v>1</v>
      </c>
      <c r="E1104" s="21">
        <v>1</v>
      </c>
      <c r="F1104" s="20">
        <f>D1104*E1104</f>
        <v>1</v>
      </c>
      <c r="G1104" s="21">
        <v>40000</v>
      </c>
      <c r="H1104" s="20">
        <f>F1104*G1104</f>
        <v>40000</v>
      </c>
      <c r="I1104" s="2"/>
      <c r="J1104" s="17"/>
      <c r="K1104" s="17"/>
      <c r="L1104" s="17"/>
    </row>
    <row r="1105" spans="1:12">
      <c r="A1105" s="45"/>
      <c r="B1105" s="43">
        <v>2</v>
      </c>
      <c r="C1105" s="19"/>
      <c r="D1105" s="20">
        <v>0</v>
      </c>
      <c r="E1105" s="21">
        <v>1</v>
      </c>
      <c r="F1105" s="20">
        <f t="shared" ref="F1105:F1107" si="110">D1105*E1105</f>
        <v>0</v>
      </c>
      <c r="G1105" s="21">
        <v>102</v>
      </c>
      <c r="H1105" s="20">
        <f t="shared" ref="H1105:H1107" si="111">F1105*G1105</f>
        <v>0</v>
      </c>
      <c r="I1105" s="2"/>
      <c r="J1105" s="17"/>
      <c r="K1105" s="17"/>
      <c r="L1105" s="17"/>
    </row>
    <row r="1106" spans="1:12">
      <c r="A1106" s="45"/>
      <c r="B1106" s="43">
        <v>3</v>
      </c>
      <c r="C1106" s="19"/>
      <c r="D1106" s="20">
        <v>0</v>
      </c>
      <c r="E1106" s="21">
        <v>1</v>
      </c>
      <c r="F1106" s="20">
        <f t="shared" si="110"/>
        <v>0</v>
      </c>
      <c r="G1106" s="21">
        <v>103</v>
      </c>
      <c r="H1106" s="20">
        <f t="shared" si="111"/>
        <v>0</v>
      </c>
      <c r="I1106" s="2"/>
      <c r="J1106" s="17"/>
      <c r="K1106" s="17"/>
      <c r="L1106" s="17"/>
    </row>
    <row r="1107" spans="1:12">
      <c r="A1107" s="45"/>
      <c r="B1107" s="43">
        <v>4</v>
      </c>
      <c r="C1107" s="19"/>
      <c r="D1107" s="20">
        <v>0</v>
      </c>
      <c r="E1107" s="21">
        <v>1</v>
      </c>
      <c r="F1107" s="20">
        <f t="shared" si="110"/>
        <v>0</v>
      </c>
      <c r="G1107" s="21">
        <v>104</v>
      </c>
      <c r="H1107" s="20">
        <f t="shared" si="111"/>
        <v>0</v>
      </c>
      <c r="I1107" s="2"/>
      <c r="J1107" s="17"/>
      <c r="K1107" s="17"/>
      <c r="L1107" s="17"/>
    </row>
    <row r="1108" spans="1:12">
      <c r="A1108" s="45"/>
      <c r="B1108" s="43">
        <v>5</v>
      </c>
      <c r="C1108" s="19"/>
      <c r="D1108" s="20">
        <v>0</v>
      </c>
      <c r="E1108" s="21">
        <v>1</v>
      </c>
      <c r="F1108" s="20">
        <f>D1108*E1108</f>
        <v>0</v>
      </c>
      <c r="G1108" s="21">
        <v>102</v>
      </c>
      <c r="H1108" s="20">
        <f>F1108*G1108</f>
        <v>0</v>
      </c>
      <c r="I1108" s="2"/>
      <c r="J1108" s="17"/>
      <c r="K1108" s="17"/>
      <c r="L1108" s="17"/>
    </row>
    <row r="1109" spans="1:12">
      <c r="A1109" s="45"/>
      <c r="B1109" s="43"/>
      <c r="C1109" s="14" t="s">
        <v>634</v>
      </c>
      <c r="D1109" s="20"/>
      <c r="F1109" s="20"/>
      <c r="H1109" s="25">
        <f>SUM(H1104:H1108)</f>
        <v>40000</v>
      </c>
      <c r="I1109" s="2"/>
      <c r="J1109" s="17"/>
      <c r="K1109" s="17"/>
      <c r="L1109" s="17"/>
    </row>
    <row r="1110" spans="1:12">
      <c r="A1110" s="45"/>
      <c r="B1110" s="46"/>
      <c r="C1110" s="14"/>
      <c r="D1110" s="20"/>
      <c r="F1110" s="20"/>
      <c r="H1110" s="20"/>
      <c r="I1110" s="2"/>
      <c r="J1110" s="17"/>
      <c r="K1110" s="17"/>
      <c r="L1110" s="17"/>
    </row>
    <row r="1111" spans="1:12">
      <c r="A1111" s="45"/>
      <c r="B1111" s="46"/>
      <c r="C1111" s="14" t="s">
        <v>635</v>
      </c>
      <c r="D1111" s="20"/>
      <c r="F1111" s="20"/>
      <c r="H1111" s="20"/>
      <c r="I1111" s="2"/>
      <c r="J1111" s="17"/>
      <c r="K1111" s="17"/>
      <c r="L1111" s="17"/>
    </row>
    <row r="1112" spans="1:12">
      <c r="A1112" s="45"/>
      <c r="B1112" s="43">
        <v>1</v>
      </c>
      <c r="C1112" s="19" t="s">
        <v>219</v>
      </c>
      <c r="D1112" s="20">
        <v>2</v>
      </c>
      <c r="E1112" s="21">
        <v>1</v>
      </c>
      <c r="F1112" s="20">
        <f>D1112*E1112</f>
        <v>2</v>
      </c>
      <c r="G1112" s="69">
        <v>12507</v>
      </c>
      <c r="H1112" s="20">
        <f>F1112*G1112</f>
        <v>25014</v>
      </c>
      <c r="I1112" s="2"/>
      <c r="J1112" s="17"/>
      <c r="K1112" s="17"/>
      <c r="L1112" s="17"/>
    </row>
    <row r="1113" spans="1:12">
      <c r="A1113" s="45"/>
      <c r="B1113" s="43">
        <v>2</v>
      </c>
      <c r="C1113" s="19" t="s">
        <v>64</v>
      </c>
      <c r="D1113" s="20">
        <v>3</v>
      </c>
      <c r="E1113" s="21">
        <v>1</v>
      </c>
      <c r="F1113" s="20">
        <f t="shared" ref="F1113:F1118" si="112">D1113*E1113</f>
        <v>3</v>
      </c>
      <c r="G1113" s="69">
        <v>12507</v>
      </c>
      <c r="H1113" s="20">
        <f t="shared" ref="H1113:H1118" si="113">F1113*G1113</f>
        <v>37521</v>
      </c>
      <c r="I1113" s="2"/>
      <c r="J1113" s="17"/>
      <c r="K1113" s="17"/>
      <c r="L1113" s="17"/>
    </row>
    <row r="1114" spans="1:12">
      <c r="A1114" s="45"/>
      <c r="B1114" s="43">
        <v>3</v>
      </c>
      <c r="C1114" s="19" t="s">
        <v>65</v>
      </c>
      <c r="D1114" s="20">
        <v>3</v>
      </c>
      <c r="E1114" s="21">
        <v>1</v>
      </c>
      <c r="F1114" s="20">
        <f t="shared" si="112"/>
        <v>3</v>
      </c>
      <c r="G1114" s="69">
        <v>12507</v>
      </c>
      <c r="H1114" s="20">
        <f t="shared" si="113"/>
        <v>37521</v>
      </c>
      <c r="I1114" s="2"/>
      <c r="J1114" s="17"/>
      <c r="K1114" s="17"/>
      <c r="L1114" s="17"/>
    </row>
    <row r="1115" spans="1:12">
      <c r="A1115" s="45"/>
      <c r="B1115" s="43">
        <v>4</v>
      </c>
      <c r="C1115" s="19" t="s">
        <v>358</v>
      </c>
      <c r="D1115" s="20">
        <v>3</v>
      </c>
      <c r="E1115" s="21">
        <v>1</v>
      </c>
      <c r="F1115" s="20">
        <f t="shared" si="112"/>
        <v>3</v>
      </c>
      <c r="G1115" s="69">
        <v>12507</v>
      </c>
      <c r="H1115" s="20">
        <f t="shared" si="113"/>
        <v>37521</v>
      </c>
      <c r="I1115" s="2"/>
      <c r="J1115" s="17"/>
      <c r="K1115" s="17"/>
      <c r="L1115" s="17"/>
    </row>
    <row r="1116" spans="1:12">
      <c r="A1116" s="45"/>
      <c r="B1116" s="43">
        <v>5</v>
      </c>
      <c r="C1116" s="19" t="s">
        <v>222</v>
      </c>
      <c r="D1116" s="20">
        <v>9</v>
      </c>
      <c r="E1116" s="21">
        <v>0.36</v>
      </c>
      <c r="F1116" s="20">
        <f t="shared" si="112"/>
        <v>3.2399999999999998</v>
      </c>
      <c r="G1116" s="69">
        <v>12507</v>
      </c>
      <c r="H1116" s="20">
        <f t="shared" si="113"/>
        <v>40522.68</v>
      </c>
      <c r="I1116" s="2"/>
      <c r="J1116" s="17"/>
      <c r="K1116" s="17"/>
      <c r="L1116" s="17"/>
    </row>
    <row r="1117" spans="1:12">
      <c r="A1117" s="45"/>
      <c r="B1117" s="43">
        <v>6</v>
      </c>
      <c r="C1117" s="19" t="s">
        <v>360</v>
      </c>
      <c r="D1117" s="20">
        <v>2</v>
      </c>
      <c r="E1117" s="21">
        <v>1</v>
      </c>
      <c r="F1117" s="20">
        <f t="shared" si="112"/>
        <v>2</v>
      </c>
      <c r="G1117" s="69">
        <v>31769</v>
      </c>
      <c r="H1117" s="20">
        <f t="shared" si="113"/>
        <v>63538</v>
      </c>
      <c r="I1117" s="2"/>
      <c r="J1117" s="17"/>
      <c r="K1117" s="17"/>
      <c r="L1117" s="17"/>
    </row>
    <row r="1118" spans="1:12">
      <c r="A1118" s="45"/>
      <c r="B1118" s="43">
        <v>7</v>
      </c>
      <c r="C1118" s="19"/>
      <c r="D1118" s="20"/>
      <c r="E1118" s="21">
        <v>1</v>
      </c>
      <c r="F1118" s="20">
        <f t="shared" si="112"/>
        <v>0</v>
      </c>
      <c r="G1118" s="21">
        <v>107</v>
      </c>
      <c r="H1118" s="20">
        <f t="shared" si="113"/>
        <v>0</v>
      </c>
      <c r="I1118" s="2"/>
      <c r="J1118" s="17"/>
      <c r="K1118" s="17"/>
      <c r="L1118" s="17"/>
    </row>
    <row r="1119" spans="1:12">
      <c r="A1119" s="45"/>
      <c r="B1119" s="43">
        <v>8</v>
      </c>
      <c r="C1119" s="19"/>
      <c r="D1119" s="20">
        <v>0</v>
      </c>
      <c r="E1119" s="21">
        <v>1</v>
      </c>
      <c r="F1119" s="20">
        <f>D1119*E1119</f>
        <v>0</v>
      </c>
      <c r="G1119" s="21">
        <v>102</v>
      </c>
      <c r="H1119" s="20">
        <f>F1119*G1119</f>
        <v>0</v>
      </c>
      <c r="I1119" s="2"/>
      <c r="J1119" s="17"/>
      <c r="K1119" s="17"/>
      <c r="L1119" s="17"/>
    </row>
    <row r="1120" spans="1:12">
      <c r="A1120" s="45"/>
      <c r="B1120" s="43"/>
      <c r="C1120" s="14" t="s">
        <v>636</v>
      </c>
      <c r="D1120" s="20"/>
      <c r="F1120" s="20"/>
      <c r="H1120" s="25">
        <f>SUM(H1112:H1119)</f>
        <v>241637.68</v>
      </c>
      <c r="I1120" s="2"/>
      <c r="J1120" s="17"/>
      <c r="K1120" s="17"/>
      <c r="L1120" s="17"/>
    </row>
    <row r="1121" spans="1:12">
      <c r="A1121" s="45"/>
      <c r="B1121" s="43"/>
      <c r="C1121" s="14"/>
      <c r="D1121" s="20"/>
      <c r="F1121" s="20"/>
      <c r="H1121" s="25"/>
      <c r="I1121" s="2"/>
      <c r="J1121" s="17"/>
      <c r="K1121" s="17"/>
      <c r="L1121" s="17"/>
    </row>
    <row r="1122" spans="1:12">
      <c r="A1122" s="45"/>
      <c r="B1122" s="46"/>
      <c r="C1122" s="14" t="s">
        <v>637</v>
      </c>
      <c r="D1122" s="20"/>
      <c r="F1122" s="20"/>
      <c r="H1122" s="20"/>
      <c r="I1122" s="2"/>
      <c r="J1122" s="17"/>
      <c r="K1122" s="17"/>
      <c r="L1122" s="17"/>
    </row>
    <row r="1123" spans="1:12">
      <c r="A1123" s="45"/>
      <c r="B1123" s="43">
        <v>1</v>
      </c>
      <c r="C1123" s="19" t="s">
        <v>638</v>
      </c>
      <c r="D1123" s="20">
        <v>5</v>
      </c>
      <c r="E1123" s="21">
        <v>1</v>
      </c>
      <c r="F1123" s="20">
        <f>D1123*E1123</f>
        <v>5</v>
      </c>
      <c r="G1123" s="21">
        <v>140000</v>
      </c>
      <c r="H1123" s="20">
        <f>F1123*G1123</f>
        <v>700000</v>
      </c>
      <c r="I1123" s="2"/>
      <c r="J1123" s="17"/>
      <c r="K1123" s="17"/>
      <c r="L1123" s="17"/>
    </row>
    <row r="1124" spans="1:12">
      <c r="A1124" s="45"/>
      <c r="B1124" s="43">
        <v>2</v>
      </c>
      <c r="C1124" s="19" t="s">
        <v>76</v>
      </c>
      <c r="D1124" s="20">
        <v>5</v>
      </c>
      <c r="E1124" s="21">
        <v>1</v>
      </c>
      <c r="F1124" s="20">
        <f t="shared" ref="F1124:F1132" si="114">D1124*E1124</f>
        <v>5</v>
      </c>
      <c r="G1124" s="21">
        <v>30770</v>
      </c>
      <c r="H1124" s="20">
        <f t="shared" ref="H1124:H1132" si="115">F1124*G1124</f>
        <v>153850</v>
      </c>
      <c r="I1124" s="2"/>
      <c r="J1124" s="17"/>
      <c r="K1124" s="17"/>
      <c r="L1124" s="17"/>
    </row>
    <row r="1125" spans="1:12">
      <c r="A1125" s="45"/>
      <c r="B1125" s="43">
        <v>3</v>
      </c>
      <c r="C1125" s="19" t="s">
        <v>639</v>
      </c>
      <c r="D1125" s="20">
        <v>5</v>
      </c>
      <c r="E1125" s="21">
        <v>1</v>
      </c>
      <c r="F1125" s="20">
        <f t="shared" si="114"/>
        <v>5</v>
      </c>
      <c r="G1125" s="21">
        <v>30770</v>
      </c>
      <c r="H1125" s="20">
        <f t="shared" si="115"/>
        <v>153850</v>
      </c>
      <c r="I1125" s="2"/>
      <c r="J1125" s="17"/>
      <c r="K1125" s="17"/>
      <c r="L1125" s="17"/>
    </row>
    <row r="1126" spans="1:12">
      <c r="A1126" s="45"/>
      <c r="B1126" s="43">
        <v>4</v>
      </c>
      <c r="C1126" s="19"/>
      <c r="D1126" s="20">
        <v>0</v>
      </c>
      <c r="E1126" s="21">
        <v>1</v>
      </c>
      <c r="F1126" s="20">
        <f t="shared" si="114"/>
        <v>0</v>
      </c>
      <c r="G1126" s="21">
        <v>104</v>
      </c>
      <c r="H1126" s="20">
        <f t="shared" si="115"/>
        <v>0</v>
      </c>
      <c r="I1126" s="2"/>
      <c r="J1126" s="17"/>
      <c r="K1126" s="17"/>
      <c r="L1126" s="17"/>
    </row>
    <row r="1127" spans="1:12">
      <c r="A1127" s="45"/>
      <c r="B1127" s="43">
        <v>5</v>
      </c>
      <c r="C1127" s="19"/>
      <c r="D1127" s="20">
        <v>0</v>
      </c>
      <c r="E1127" s="21">
        <v>1</v>
      </c>
      <c r="F1127" s="20">
        <f t="shared" si="114"/>
        <v>0</v>
      </c>
      <c r="G1127" s="21">
        <v>105</v>
      </c>
      <c r="H1127" s="20">
        <f t="shared" si="115"/>
        <v>0</v>
      </c>
      <c r="I1127" s="2"/>
      <c r="J1127" s="17"/>
      <c r="K1127" s="17"/>
      <c r="L1127" s="17"/>
    </row>
    <row r="1128" spans="1:12">
      <c r="A1128" s="45"/>
      <c r="B1128" s="43">
        <v>6</v>
      </c>
      <c r="C1128" s="19"/>
      <c r="D1128" s="20">
        <v>0</v>
      </c>
      <c r="E1128" s="21">
        <v>1</v>
      </c>
      <c r="F1128" s="20">
        <f t="shared" si="114"/>
        <v>0</v>
      </c>
      <c r="G1128" s="21">
        <v>106</v>
      </c>
      <c r="H1128" s="20">
        <f t="shared" si="115"/>
        <v>0</v>
      </c>
      <c r="I1128" s="2"/>
      <c r="J1128" s="17"/>
      <c r="K1128" s="17"/>
      <c r="L1128" s="17"/>
    </row>
    <row r="1129" spans="1:12">
      <c r="A1129" s="45"/>
      <c r="B1129" s="43">
        <v>7</v>
      </c>
      <c r="C1129" s="19"/>
      <c r="D1129" s="20">
        <v>0</v>
      </c>
      <c r="E1129" s="21">
        <v>1</v>
      </c>
      <c r="F1129" s="20">
        <f t="shared" si="114"/>
        <v>0</v>
      </c>
      <c r="G1129" s="21">
        <v>107</v>
      </c>
      <c r="H1129" s="20">
        <f t="shared" si="115"/>
        <v>0</v>
      </c>
      <c r="I1129" s="2"/>
      <c r="J1129" s="17"/>
      <c r="K1129" s="17"/>
      <c r="L1129" s="17"/>
    </row>
    <row r="1130" spans="1:12">
      <c r="A1130" s="45"/>
      <c r="B1130" s="43">
        <v>8</v>
      </c>
      <c r="C1130" s="19"/>
      <c r="D1130" s="20">
        <v>0</v>
      </c>
      <c r="E1130" s="21">
        <v>1</v>
      </c>
      <c r="F1130" s="20">
        <f t="shared" si="114"/>
        <v>0</v>
      </c>
      <c r="G1130" s="21">
        <v>108</v>
      </c>
      <c r="H1130" s="20">
        <f t="shared" si="115"/>
        <v>0</v>
      </c>
      <c r="I1130" s="2"/>
      <c r="J1130" s="17"/>
      <c r="K1130" s="17"/>
      <c r="L1130" s="17"/>
    </row>
    <row r="1131" spans="1:12">
      <c r="A1131" s="45"/>
      <c r="B1131" s="43">
        <v>9</v>
      </c>
      <c r="C1131" s="19"/>
      <c r="D1131" s="20">
        <v>0</v>
      </c>
      <c r="E1131" s="21">
        <v>1</v>
      </c>
      <c r="F1131" s="20">
        <f t="shared" si="114"/>
        <v>0</v>
      </c>
      <c r="G1131" s="21">
        <v>109</v>
      </c>
      <c r="H1131" s="20">
        <f t="shared" si="115"/>
        <v>0</v>
      </c>
      <c r="I1131" s="2"/>
      <c r="J1131" s="17"/>
      <c r="K1131" s="17"/>
      <c r="L1131" s="17"/>
    </row>
    <row r="1132" spans="1:12">
      <c r="A1132" s="45"/>
      <c r="B1132" s="43">
        <v>10</v>
      </c>
      <c r="C1132" s="19"/>
      <c r="D1132" s="20">
        <v>0</v>
      </c>
      <c r="E1132" s="21">
        <v>1</v>
      </c>
      <c r="F1132" s="20">
        <f t="shared" si="114"/>
        <v>0</v>
      </c>
      <c r="G1132" s="21">
        <v>110</v>
      </c>
      <c r="H1132" s="20">
        <f t="shared" si="115"/>
        <v>0</v>
      </c>
      <c r="I1132" s="2"/>
      <c r="J1132" s="17"/>
      <c r="K1132" s="17"/>
      <c r="L1132" s="17"/>
    </row>
    <row r="1133" spans="1:12">
      <c r="A1133" s="45"/>
      <c r="B1133" s="43">
        <v>11</v>
      </c>
      <c r="C1133" s="19"/>
      <c r="D1133" s="20">
        <v>0</v>
      </c>
      <c r="E1133" s="21">
        <v>1</v>
      </c>
      <c r="F1133" s="20">
        <f>D1133*E1133</f>
        <v>0</v>
      </c>
      <c r="G1133" s="21">
        <v>102</v>
      </c>
      <c r="H1133" s="20">
        <f>F1133*G1133</f>
        <v>0</v>
      </c>
      <c r="I1133" s="2"/>
      <c r="J1133" s="17"/>
      <c r="K1133" s="17"/>
      <c r="L1133" s="17"/>
    </row>
    <row r="1134" spans="1:12">
      <c r="A1134" s="45"/>
      <c r="B1134" s="43"/>
      <c r="C1134" s="14" t="s">
        <v>640</v>
      </c>
      <c r="D1134" s="20"/>
      <c r="F1134" s="20"/>
      <c r="H1134" s="25">
        <f>SUM(H1123:H1133)</f>
        <v>1007700</v>
      </c>
      <c r="I1134" s="2"/>
      <c r="J1134" s="17"/>
      <c r="K1134" s="17"/>
      <c r="L1134" s="17"/>
    </row>
    <row r="1135" spans="1:12">
      <c r="A1135" s="45"/>
      <c r="B1135" s="43"/>
      <c r="C1135" s="14"/>
      <c r="D1135" s="20"/>
      <c r="F1135" s="20"/>
      <c r="H1135" s="25"/>
      <c r="I1135" s="2"/>
      <c r="J1135" s="17"/>
      <c r="K1135" s="17"/>
      <c r="L1135" s="17"/>
    </row>
    <row r="1136" spans="1:12">
      <c r="A1136" s="45"/>
      <c r="B1136" s="43"/>
      <c r="C1136" s="14" t="s">
        <v>641</v>
      </c>
      <c r="D1136" s="20"/>
      <c r="F1136" s="20"/>
      <c r="H1136" s="25">
        <f>H1058+H1066+H1074+H1082+H1101+H1109+H1120+H1134</f>
        <v>1428447.68</v>
      </c>
      <c r="I1136" s="2"/>
      <c r="J1136" s="17"/>
      <c r="K1136" s="17"/>
      <c r="L1136" s="17"/>
    </row>
    <row r="1137" spans="1:12">
      <c r="A1137" s="45"/>
      <c r="B1137" s="46"/>
      <c r="C1137" s="14"/>
      <c r="D1137" s="20"/>
      <c r="F1137" s="20"/>
      <c r="H1137" s="20"/>
      <c r="I1137" s="2"/>
      <c r="J1137" s="17"/>
      <c r="K1137" s="17"/>
      <c r="L1137" s="17"/>
    </row>
    <row r="1138" spans="1:12" ht="26">
      <c r="A1138" s="45"/>
      <c r="B1138" s="42" t="s">
        <v>642</v>
      </c>
      <c r="C1138" s="14" t="s">
        <v>643</v>
      </c>
      <c r="D1138" s="20"/>
      <c r="F1138" s="20"/>
      <c r="H1138" s="20"/>
      <c r="I1138" s="2"/>
      <c r="J1138" s="17"/>
      <c r="K1138" s="17"/>
      <c r="L1138" s="17"/>
    </row>
    <row r="1139" spans="1:12">
      <c r="A1139" s="45"/>
      <c r="B1139" s="43">
        <v>1</v>
      </c>
      <c r="C1139" s="19"/>
      <c r="D1139" s="20">
        <v>0</v>
      </c>
      <c r="E1139" s="21">
        <v>1</v>
      </c>
      <c r="F1139" s="20">
        <f>D1139*E1139</f>
        <v>0</v>
      </c>
      <c r="G1139" s="21">
        <v>101</v>
      </c>
      <c r="H1139" s="20">
        <f>F1139*G1139</f>
        <v>0</v>
      </c>
      <c r="I1139" s="2"/>
      <c r="J1139" s="17"/>
      <c r="K1139" s="17"/>
      <c r="L1139" s="17"/>
    </row>
    <row r="1140" spans="1:12">
      <c r="A1140" s="45"/>
      <c r="B1140" s="43">
        <v>2</v>
      </c>
      <c r="C1140" s="19"/>
      <c r="D1140" s="20">
        <v>0</v>
      </c>
      <c r="E1140" s="21">
        <v>1</v>
      </c>
      <c r="F1140" s="20">
        <f t="shared" ref="F1140:F1142" si="116">D1140*E1140</f>
        <v>0</v>
      </c>
      <c r="G1140" s="21">
        <v>102</v>
      </c>
      <c r="H1140" s="20">
        <f t="shared" ref="H1140:H1142" si="117">F1140*G1140</f>
        <v>0</v>
      </c>
      <c r="I1140" s="2"/>
      <c r="J1140" s="17"/>
      <c r="K1140" s="17"/>
      <c r="L1140" s="17"/>
    </row>
    <row r="1141" spans="1:12">
      <c r="A1141" s="45"/>
      <c r="B1141" s="43">
        <v>3</v>
      </c>
      <c r="C1141" s="19"/>
      <c r="D1141" s="20">
        <v>0</v>
      </c>
      <c r="E1141" s="21">
        <v>1</v>
      </c>
      <c r="F1141" s="20">
        <f t="shared" si="116"/>
        <v>0</v>
      </c>
      <c r="G1141" s="21">
        <v>103</v>
      </c>
      <c r="H1141" s="20">
        <f t="shared" si="117"/>
        <v>0</v>
      </c>
      <c r="I1141" s="2"/>
      <c r="J1141" s="17"/>
      <c r="K1141" s="17"/>
      <c r="L1141" s="17"/>
    </row>
    <row r="1142" spans="1:12">
      <c r="A1142" s="45"/>
      <c r="B1142" s="43">
        <v>4</v>
      </c>
      <c r="C1142" s="19"/>
      <c r="D1142" s="20">
        <v>0</v>
      </c>
      <c r="E1142" s="21">
        <v>1</v>
      </c>
      <c r="F1142" s="20">
        <f t="shared" si="116"/>
        <v>0</v>
      </c>
      <c r="G1142" s="21">
        <v>104</v>
      </c>
      <c r="H1142" s="20">
        <f t="shared" si="117"/>
        <v>0</v>
      </c>
      <c r="I1142" s="2"/>
      <c r="J1142" s="17"/>
      <c r="K1142" s="17"/>
      <c r="L1142" s="17"/>
    </row>
    <row r="1143" spans="1:12">
      <c r="A1143" s="45"/>
      <c r="B1143" s="43">
        <v>5</v>
      </c>
      <c r="C1143" s="19"/>
      <c r="D1143" s="20">
        <v>0</v>
      </c>
      <c r="E1143" s="21">
        <v>1</v>
      </c>
      <c r="F1143" s="20">
        <f>D1143*E1143</f>
        <v>0</v>
      </c>
      <c r="G1143" s="21">
        <v>102</v>
      </c>
      <c r="H1143" s="20">
        <f>F1143*G1143</f>
        <v>0</v>
      </c>
      <c r="I1143" s="2"/>
      <c r="J1143" s="17"/>
      <c r="K1143" s="17"/>
      <c r="L1143" s="17"/>
    </row>
    <row r="1144" spans="1:12">
      <c r="A1144" s="45"/>
      <c r="B1144" s="43"/>
      <c r="C1144" s="14" t="s">
        <v>644</v>
      </c>
      <c r="D1144" s="20"/>
      <c r="F1144" s="20"/>
      <c r="H1144" s="25">
        <f>SUM(H1139:H1143)</f>
        <v>0</v>
      </c>
      <c r="I1144" s="2"/>
      <c r="J1144" s="17"/>
      <c r="K1144" s="17"/>
      <c r="L1144" s="17"/>
    </row>
    <row r="1145" spans="1:12">
      <c r="A1145" s="45"/>
      <c r="B1145" s="42"/>
      <c r="C1145" s="14"/>
      <c r="D1145" s="20"/>
      <c r="F1145" s="20"/>
      <c r="H1145" s="20"/>
      <c r="I1145" s="2"/>
      <c r="J1145" s="17"/>
      <c r="K1145" s="17"/>
      <c r="L1145" s="17"/>
    </row>
    <row r="1146" spans="1:12">
      <c r="A1146" s="45"/>
      <c r="B1146" s="46"/>
      <c r="C1146" s="14" t="s">
        <v>645</v>
      </c>
      <c r="D1146" s="20"/>
      <c r="F1146" s="20"/>
      <c r="H1146" s="20"/>
      <c r="I1146" s="2"/>
      <c r="J1146" s="17"/>
      <c r="K1146" s="17"/>
      <c r="L1146" s="17"/>
    </row>
    <row r="1147" spans="1:12">
      <c r="A1147" s="45"/>
      <c r="B1147" s="43">
        <v>1</v>
      </c>
      <c r="C1147" s="19"/>
      <c r="D1147" s="20">
        <v>0</v>
      </c>
      <c r="E1147" s="21">
        <v>1</v>
      </c>
      <c r="F1147" s="20">
        <f>D1147*E1147</f>
        <v>0</v>
      </c>
      <c r="G1147" s="21">
        <v>101</v>
      </c>
      <c r="H1147" s="20">
        <f>F1147*G1147</f>
        <v>0</v>
      </c>
      <c r="I1147" s="2"/>
      <c r="J1147" s="17"/>
      <c r="K1147" s="17"/>
      <c r="L1147" s="17"/>
    </row>
    <row r="1148" spans="1:12">
      <c r="A1148" s="45"/>
      <c r="B1148" s="43">
        <v>2</v>
      </c>
      <c r="C1148" s="19"/>
      <c r="D1148" s="20">
        <v>0</v>
      </c>
      <c r="E1148" s="21">
        <v>1</v>
      </c>
      <c r="F1148" s="20">
        <f t="shared" ref="F1148:F1150" si="118">D1148*E1148</f>
        <v>0</v>
      </c>
      <c r="G1148" s="21">
        <v>102</v>
      </c>
      <c r="H1148" s="20">
        <f t="shared" ref="H1148:H1150" si="119">F1148*G1148</f>
        <v>0</v>
      </c>
      <c r="I1148" s="2"/>
      <c r="J1148" s="17"/>
      <c r="K1148" s="17"/>
      <c r="L1148" s="17"/>
    </row>
    <row r="1149" spans="1:12">
      <c r="A1149" s="45"/>
      <c r="B1149" s="43">
        <v>3</v>
      </c>
      <c r="C1149" s="19"/>
      <c r="D1149" s="20">
        <v>0</v>
      </c>
      <c r="E1149" s="21">
        <v>1</v>
      </c>
      <c r="F1149" s="20">
        <f t="shared" si="118"/>
        <v>0</v>
      </c>
      <c r="G1149" s="21">
        <v>103</v>
      </c>
      <c r="H1149" s="20">
        <f t="shared" si="119"/>
        <v>0</v>
      </c>
      <c r="I1149" s="2"/>
      <c r="J1149" s="17"/>
      <c r="K1149" s="17"/>
      <c r="L1149" s="17"/>
    </row>
    <row r="1150" spans="1:12">
      <c r="A1150" s="45"/>
      <c r="B1150" s="43">
        <v>4</v>
      </c>
      <c r="C1150" s="19"/>
      <c r="D1150" s="20">
        <v>0</v>
      </c>
      <c r="E1150" s="21">
        <v>1</v>
      </c>
      <c r="F1150" s="20">
        <f t="shared" si="118"/>
        <v>0</v>
      </c>
      <c r="G1150" s="21">
        <v>104</v>
      </c>
      <c r="H1150" s="20">
        <f t="shared" si="119"/>
        <v>0</v>
      </c>
      <c r="I1150" s="2"/>
      <c r="J1150" s="17"/>
      <c r="K1150" s="17"/>
      <c r="L1150" s="17"/>
    </row>
    <row r="1151" spans="1:12">
      <c r="A1151" s="45"/>
      <c r="B1151" s="43">
        <v>5</v>
      </c>
      <c r="C1151" s="19"/>
      <c r="D1151" s="20">
        <v>0</v>
      </c>
      <c r="E1151" s="21">
        <v>1</v>
      </c>
      <c r="F1151" s="20">
        <f>D1151*E1151</f>
        <v>0</v>
      </c>
      <c r="G1151" s="21">
        <v>102</v>
      </c>
      <c r="H1151" s="20">
        <f>F1151*G1151</f>
        <v>0</v>
      </c>
      <c r="I1151" s="2"/>
      <c r="J1151" s="17"/>
      <c r="K1151" s="17"/>
      <c r="L1151" s="17"/>
    </row>
    <row r="1152" spans="1:12">
      <c r="A1152" s="45"/>
      <c r="B1152" s="43"/>
      <c r="C1152" s="14" t="s">
        <v>646</v>
      </c>
      <c r="D1152" s="20"/>
      <c r="F1152" s="20"/>
      <c r="H1152" s="25">
        <f>SUM(H1147:H1151)</f>
        <v>0</v>
      </c>
      <c r="I1152" s="2"/>
      <c r="J1152" s="17"/>
      <c r="K1152" s="17"/>
      <c r="L1152" s="17"/>
    </row>
    <row r="1153" spans="1:12">
      <c r="A1153" s="45"/>
      <c r="B1153" s="46"/>
      <c r="C1153" s="14"/>
      <c r="D1153" s="20"/>
      <c r="F1153" s="20"/>
      <c r="H1153" s="20"/>
      <c r="I1153" s="2"/>
      <c r="J1153" s="17"/>
      <c r="K1153" s="17"/>
      <c r="L1153" s="17"/>
    </row>
    <row r="1154" spans="1:12">
      <c r="A1154" s="45"/>
      <c r="B1154" s="46"/>
      <c r="C1154" s="14" t="s">
        <v>647</v>
      </c>
      <c r="D1154" s="20"/>
      <c r="F1154" s="20"/>
      <c r="H1154" s="20"/>
      <c r="I1154" s="2"/>
      <c r="J1154" s="17"/>
      <c r="K1154" s="17"/>
      <c r="L1154" s="17"/>
    </row>
    <row r="1155" spans="1:12">
      <c r="A1155" s="45"/>
      <c r="B1155" s="43">
        <v>1</v>
      </c>
      <c r="C1155" s="19"/>
      <c r="D1155" s="20">
        <v>0</v>
      </c>
      <c r="E1155" s="21">
        <v>1</v>
      </c>
      <c r="F1155" s="20">
        <f>D1155*E1155</f>
        <v>0</v>
      </c>
      <c r="G1155" s="21">
        <v>101</v>
      </c>
      <c r="H1155" s="20">
        <f>F1155*G1155</f>
        <v>0</v>
      </c>
      <c r="I1155" s="2"/>
      <c r="J1155" s="17"/>
      <c r="K1155" s="17"/>
      <c r="L1155" s="17"/>
    </row>
    <row r="1156" spans="1:12">
      <c r="A1156" s="45"/>
      <c r="B1156" s="43">
        <v>2</v>
      </c>
      <c r="C1156" s="19"/>
      <c r="D1156" s="20">
        <v>0</v>
      </c>
      <c r="E1156" s="21">
        <v>1</v>
      </c>
      <c r="F1156" s="20">
        <f t="shared" ref="F1156:F1158" si="120">D1156*E1156</f>
        <v>0</v>
      </c>
      <c r="G1156" s="21">
        <v>102</v>
      </c>
      <c r="H1156" s="20">
        <f t="shared" ref="H1156:H1158" si="121">F1156*G1156</f>
        <v>0</v>
      </c>
      <c r="I1156" s="2"/>
      <c r="J1156" s="17"/>
      <c r="K1156" s="17"/>
      <c r="L1156" s="17"/>
    </row>
    <row r="1157" spans="1:12">
      <c r="A1157" s="45"/>
      <c r="B1157" s="43">
        <v>3</v>
      </c>
      <c r="C1157" s="19"/>
      <c r="D1157" s="20">
        <v>0</v>
      </c>
      <c r="E1157" s="21">
        <v>1</v>
      </c>
      <c r="F1157" s="20">
        <f t="shared" si="120"/>
        <v>0</v>
      </c>
      <c r="G1157" s="21">
        <v>103</v>
      </c>
      <c r="H1157" s="20">
        <f t="shared" si="121"/>
        <v>0</v>
      </c>
      <c r="I1157" s="2"/>
      <c r="J1157" s="17"/>
      <c r="K1157" s="17"/>
      <c r="L1157" s="17"/>
    </row>
    <row r="1158" spans="1:12">
      <c r="A1158" s="45"/>
      <c r="B1158" s="43">
        <v>4</v>
      </c>
      <c r="C1158" s="19"/>
      <c r="D1158" s="20">
        <v>0</v>
      </c>
      <c r="E1158" s="21">
        <v>1</v>
      </c>
      <c r="F1158" s="20">
        <f t="shared" si="120"/>
        <v>0</v>
      </c>
      <c r="G1158" s="21">
        <v>104</v>
      </c>
      <c r="H1158" s="20">
        <f t="shared" si="121"/>
        <v>0</v>
      </c>
      <c r="I1158" s="2"/>
      <c r="J1158" s="17"/>
      <c r="K1158" s="17"/>
      <c r="L1158" s="17"/>
    </row>
    <row r="1159" spans="1:12">
      <c r="A1159" s="45"/>
      <c r="B1159" s="43">
        <v>5</v>
      </c>
      <c r="C1159" s="19"/>
      <c r="D1159" s="20">
        <v>0</v>
      </c>
      <c r="E1159" s="21">
        <v>1</v>
      </c>
      <c r="F1159" s="20">
        <f>D1159*E1159</f>
        <v>0</v>
      </c>
      <c r="G1159" s="21">
        <v>102</v>
      </c>
      <c r="H1159" s="20">
        <f>F1159*G1159</f>
        <v>0</v>
      </c>
      <c r="I1159" s="2"/>
      <c r="J1159" s="17"/>
      <c r="K1159" s="17"/>
      <c r="L1159" s="17"/>
    </row>
    <row r="1160" spans="1:12">
      <c r="A1160" s="45"/>
      <c r="B1160" s="43"/>
      <c r="C1160" s="14" t="s">
        <v>648</v>
      </c>
      <c r="D1160" s="20"/>
      <c r="F1160" s="20"/>
      <c r="H1160" s="25">
        <f>SUM(H1155:H1159)</f>
        <v>0</v>
      </c>
      <c r="I1160" s="2"/>
      <c r="J1160" s="17"/>
      <c r="K1160" s="17"/>
      <c r="L1160" s="17"/>
    </row>
    <row r="1161" spans="1:12">
      <c r="A1161" s="45"/>
      <c r="B1161" s="46"/>
      <c r="C1161" s="14"/>
      <c r="D1161" s="20"/>
      <c r="F1161" s="20"/>
      <c r="H1161" s="20"/>
      <c r="I1161" s="2"/>
      <c r="J1161" s="17"/>
      <c r="K1161" s="17"/>
      <c r="L1161" s="17"/>
    </row>
    <row r="1162" spans="1:12">
      <c r="A1162" s="45"/>
      <c r="B1162" s="46"/>
      <c r="C1162" s="14" t="s">
        <v>649</v>
      </c>
      <c r="D1162" s="20"/>
      <c r="F1162" s="20"/>
      <c r="H1162" s="20"/>
      <c r="I1162" s="2"/>
      <c r="J1162" s="17"/>
      <c r="K1162" s="17"/>
      <c r="L1162" s="17"/>
    </row>
    <row r="1163" spans="1:12">
      <c r="A1163" s="45"/>
      <c r="B1163" s="43">
        <v>1</v>
      </c>
      <c r="C1163" s="19"/>
      <c r="D1163" s="20">
        <v>0</v>
      </c>
      <c r="E1163" s="21">
        <v>1</v>
      </c>
      <c r="F1163" s="20">
        <f>D1163*E1163</f>
        <v>0</v>
      </c>
      <c r="G1163" s="21">
        <v>101</v>
      </c>
      <c r="H1163" s="20">
        <f>F1163*G1163</f>
        <v>0</v>
      </c>
      <c r="I1163" s="2"/>
      <c r="J1163" s="17"/>
      <c r="K1163" s="17"/>
      <c r="L1163" s="17"/>
    </row>
    <row r="1164" spans="1:12">
      <c r="A1164" s="45"/>
      <c r="B1164" s="43">
        <v>2</v>
      </c>
      <c r="C1164" s="19"/>
      <c r="D1164" s="20">
        <v>0</v>
      </c>
      <c r="E1164" s="21">
        <v>1</v>
      </c>
      <c r="F1164" s="20">
        <f t="shared" ref="F1164:F1167" si="122">D1164*E1164</f>
        <v>0</v>
      </c>
      <c r="G1164" s="21">
        <v>102</v>
      </c>
      <c r="H1164" s="20">
        <f t="shared" ref="H1164:H1167" si="123">F1164*G1164</f>
        <v>0</v>
      </c>
      <c r="I1164" s="2"/>
      <c r="J1164" s="17"/>
      <c r="K1164" s="17"/>
      <c r="L1164" s="17"/>
    </row>
    <row r="1165" spans="1:12">
      <c r="A1165" s="45"/>
      <c r="B1165" s="43">
        <v>3</v>
      </c>
      <c r="C1165" s="19"/>
      <c r="D1165" s="20">
        <v>0</v>
      </c>
      <c r="E1165" s="21">
        <v>1</v>
      </c>
      <c r="F1165" s="20">
        <f t="shared" si="122"/>
        <v>0</v>
      </c>
      <c r="G1165" s="21">
        <v>103</v>
      </c>
      <c r="H1165" s="20">
        <f t="shared" si="123"/>
        <v>0</v>
      </c>
      <c r="I1165" s="2"/>
      <c r="J1165" s="17"/>
      <c r="K1165" s="17"/>
      <c r="L1165" s="17"/>
    </row>
    <row r="1166" spans="1:12">
      <c r="A1166" s="45"/>
      <c r="B1166" s="43">
        <v>4</v>
      </c>
      <c r="C1166" s="19"/>
      <c r="D1166" s="20">
        <v>0</v>
      </c>
      <c r="E1166" s="21">
        <v>1</v>
      </c>
      <c r="F1166" s="20">
        <f t="shared" si="122"/>
        <v>0</v>
      </c>
      <c r="G1166" s="21">
        <v>104</v>
      </c>
      <c r="H1166" s="20">
        <f t="shared" si="123"/>
        <v>0</v>
      </c>
      <c r="I1166" s="2"/>
      <c r="J1166" s="17"/>
      <c r="K1166" s="17"/>
      <c r="L1166" s="17"/>
    </row>
    <row r="1167" spans="1:12">
      <c r="A1167" s="45"/>
      <c r="B1167" s="43">
        <v>5</v>
      </c>
      <c r="C1167" s="19"/>
      <c r="D1167" s="20">
        <v>0</v>
      </c>
      <c r="E1167" s="21">
        <v>1</v>
      </c>
      <c r="F1167" s="20">
        <f t="shared" si="122"/>
        <v>0</v>
      </c>
      <c r="G1167" s="21">
        <v>105</v>
      </c>
      <c r="H1167" s="20">
        <f t="shared" si="123"/>
        <v>0</v>
      </c>
      <c r="I1167" s="2"/>
      <c r="J1167" s="17"/>
      <c r="K1167" s="17"/>
      <c r="L1167" s="17"/>
    </row>
    <row r="1168" spans="1:12">
      <c r="A1168" s="45"/>
      <c r="B1168" s="43">
        <v>6</v>
      </c>
      <c r="C1168" s="19"/>
      <c r="D1168" s="20">
        <v>0</v>
      </c>
      <c r="E1168" s="21">
        <v>1</v>
      </c>
      <c r="F1168" s="20">
        <f>D1168*E1168</f>
        <v>0</v>
      </c>
      <c r="G1168" s="21">
        <v>102</v>
      </c>
      <c r="H1168" s="20">
        <f>F1168*G1168</f>
        <v>0</v>
      </c>
      <c r="I1168" s="2"/>
      <c r="J1168" s="17"/>
      <c r="K1168" s="17"/>
      <c r="L1168" s="17"/>
    </row>
    <row r="1169" spans="1:12">
      <c r="A1169" s="45"/>
      <c r="B1169" s="43"/>
      <c r="C1169" s="14" t="s">
        <v>650</v>
      </c>
      <c r="D1169" s="20"/>
      <c r="F1169" s="20"/>
      <c r="H1169" s="25">
        <f>SUM(H1163:H1168)</f>
        <v>0</v>
      </c>
      <c r="I1169" s="2"/>
      <c r="J1169" s="17"/>
      <c r="K1169" s="17"/>
      <c r="L1169" s="17"/>
    </row>
    <row r="1170" spans="1:12">
      <c r="A1170" s="45"/>
      <c r="B1170" s="46"/>
      <c r="C1170" s="14"/>
      <c r="D1170" s="20"/>
      <c r="F1170" s="20"/>
      <c r="H1170" s="20"/>
      <c r="I1170" s="2"/>
      <c r="J1170" s="17"/>
      <c r="K1170" s="17"/>
      <c r="L1170" s="17"/>
    </row>
    <row r="1171" spans="1:12">
      <c r="A1171" s="45"/>
      <c r="B1171" s="46"/>
      <c r="C1171" s="14" t="s">
        <v>651</v>
      </c>
      <c r="D1171" s="20"/>
      <c r="F1171" s="20"/>
      <c r="H1171" s="20"/>
      <c r="I1171" s="2"/>
      <c r="J1171" s="17"/>
      <c r="K1171" s="17"/>
      <c r="L1171" s="17"/>
    </row>
    <row r="1172" spans="1:12">
      <c r="A1172" s="45"/>
      <c r="B1172" s="43">
        <v>1</v>
      </c>
      <c r="C1172" s="19" t="s">
        <v>652</v>
      </c>
      <c r="D1172" s="20">
        <v>3</v>
      </c>
      <c r="E1172" s="21">
        <v>1</v>
      </c>
      <c r="F1172" s="20">
        <f>D1172*E1172</f>
        <v>3</v>
      </c>
      <c r="G1172" s="21">
        <v>43076.923076923078</v>
      </c>
      <c r="H1172" s="20">
        <f>F1172*G1172</f>
        <v>129230.76923076923</v>
      </c>
      <c r="I1172" s="2"/>
      <c r="J1172" s="17"/>
      <c r="K1172" s="17"/>
      <c r="L1172" s="17"/>
    </row>
    <row r="1173" spans="1:12">
      <c r="A1173" s="45"/>
      <c r="B1173" s="43">
        <v>2</v>
      </c>
      <c r="C1173" s="19" t="s">
        <v>653</v>
      </c>
      <c r="D1173" s="20">
        <v>3</v>
      </c>
      <c r="E1173" s="21">
        <v>0.2</v>
      </c>
      <c r="F1173" s="20">
        <f t="shared" ref="F1173:F1185" si="124">D1173*E1173</f>
        <v>0.60000000000000009</v>
      </c>
      <c r="G1173" s="69">
        <v>1200000</v>
      </c>
      <c r="H1173" s="20">
        <f t="shared" ref="H1173:H1185" si="125">F1173*G1173</f>
        <v>720000.00000000012</v>
      </c>
      <c r="I1173" s="2"/>
      <c r="J1173" s="17"/>
      <c r="K1173" s="17"/>
      <c r="L1173" s="17"/>
    </row>
    <row r="1174" spans="1:12">
      <c r="A1174" s="45"/>
      <c r="B1174" s="43">
        <v>3</v>
      </c>
      <c r="C1174" s="19" t="s">
        <v>496</v>
      </c>
      <c r="D1174" s="20">
        <v>0</v>
      </c>
      <c r="E1174" s="21">
        <v>1</v>
      </c>
      <c r="F1174" s="20">
        <f t="shared" si="124"/>
        <v>0</v>
      </c>
      <c r="G1174" s="21">
        <f>K43</f>
        <v>5384.6153846153802</v>
      </c>
      <c r="H1174" s="20">
        <f t="shared" si="125"/>
        <v>0</v>
      </c>
      <c r="I1174" s="2"/>
      <c r="J1174" s="17"/>
      <c r="K1174" s="17"/>
      <c r="L1174" s="17"/>
    </row>
    <row r="1175" spans="1:12">
      <c r="A1175" s="45"/>
      <c r="B1175" s="43">
        <v>4</v>
      </c>
      <c r="C1175" s="19" t="s">
        <v>497</v>
      </c>
      <c r="D1175" s="20">
        <v>0</v>
      </c>
      <c r="E1175" s="21">
        <v>1</v>
      </c>
      <c r="F1175" s="20">
        <f t="shared" si="124"/>
        <v>0</v>
      </c>
      <c r="G1175" s="21">
        <f>K44</f>
        <v>8307.6923076923104</v>
      </c>
      <c r="H1175" s="20">
        <f t="shared" si="125"/>
        <v>0</v>
      </c>
      <c r="I1175" s="2"/>
      <c r="J1175" s="17"/>
      <c r="K1175" s="17"/>
      <c r="L1175" s="17"/>
    </row>
    <row r="1176" spans="1:12">
      <c r="A1176" s="45"/>
      <c r="B1176" s="43">
        <v>5</v>
      </c>
      <c r="C1176" s="19" t="s">
        <v>606</v>
      </c>
      <c r="D1176" s="20">
        <v>0</v>
      </c>
      <c r="E1176" s="21">
        <v>1</v>
      </c>
      <c r="F1176" s="20">
        <f t="shared" si="124"/>
        <v>0</v>
      </c>
      <c r="G1176" s="21">
        <v>60.769230769230766</v>
      </c>
      <c r="H1176" s="20">
        <f t="shared" si="125"/>
        <v>0</v>
      </c>
      <c r="I1176" s="2"/>
      <c r="J1176" s="17"/>
      <c r="K1176" s="17"/>
      <c r="L1176" s="17"/>
    </row>
    <row r="1177" spans="1:12">
      <c r="A1177" s="45"/>
      <c r="B1177" s="43">
        <v>6</v>
      </c>
      <c r="C1177" s="19" t="s">
        <v>503</v>
      </c>
      <c r="D1177" s="20">
        <v>0</v>
      </c>
      <c r="E1177" s="21">
        <v>0</v>
      </c>
      <c r="F1177" s="20">
        <f t="shared" si="124"/>
        <v>0</v>
      </c>
      <c r="G1177" s="21">
        <v>40</v>
      </c>
      <c r="H1177" s="20">
        <f t="shared" si="125"/>
        <v>0</v>
      </c>
      <c r="I1177" s="2"/>
      <c r="J1177" s="17"/>
      <c r="K1177" s="17"/>
      <c r="L1177" s="17"/>
    </row>
    <row r="1178" spans="1:12">
      <c r="A1178" s="45"/>
      <c r="B1178" s="43">
        <v>7</v>
      </c>
      <c r="C1178" s="19" t="s">
        <v>504</v>
      </c>
      <c r="D1178" s="20">
        <v>0</v>
      </c>
      <c r="E1178" s="21">
        <v>0</v>
      </c>
      <c r="F1178" s="20">
        <f t="shared" si="124"/>
        <v>0</v>
      </c>
      <c r="G1178" s="21">
        <v>49000</v>
      </c>
      <c r="H1178" s="20">
        <f t="shared" si="125"/>
        <v>0</v>
      </c>
      <c r="I1178" s="2"/>
      <c r="J1178" s="17"/>
      <c r="K1178" s="17"/>
      <c r="L1178" s="17"/>
    </row>
    <row r="1179" spans="1:12">
      <c r="A1179" s="45"/>
      <c r="B1179" s="43">
        <v>8</v>
      </c>
      <c r="C1179" s="19" t="s">
        <v>507</v>
      </c>
      <c r="D1179" s="20">
        <v>0</v>
      </c>
      <c r="E1179" s="21">
        <v>0</v>
      </c>
      <c r="F1179" s="20">
        <f t="shared" si="124"/>
        <v>0</v>
      </c>
      <c r="G1179" s="21">
        <v>230.76923076923077</v>
      </c>
      <c r="H1179" s="20">
        <f t="shared" si="125"/>
        <v>0</v>
      </c>
      <c r="I1179" s="2"/>
      <c r="J1179" s="17"/>
      <c r="K1179" s="17"/>
      <c r="L1179" s="17"/>
    </row>
    <row r="1180" spans="1:12">
      <c r="A1180" s="45"/>
      <c r="B1180" s="43">
        <v>9</v>
      </c>
      <c r="C1180" s="19" t="s">
        <v>508</v>
      </c>
      <c r="D1180" s="20">
        <v>0</v>
      </c>
      <c r="E1180" s="21">
        <v>0.14399999999999999</v>
      </c>
      <c r="F1180" s="20">
        <f t="shared" si="124"/>
        <v>0</v>
      </c>
      <c r="G1180" s="21">
        <v>9000</v>
      </c>
      <c r="H1180" s="20">
        <f t="shared" si="125"/>
        <v>0</v>
      </c>
      <c r="I1180" s="2"/>
      <c r="J1180" s="17"/>
      <c r="K1180" s="17"/>
      <c r="L1180" s="17"/>
    </row>
    <row r="1181" spans="1:12">
      <c r="A1181" s="45"/>
      <c r="B1181" s="43">
        <v>10</v>
      </c>
      <c r="C1181" s="19" t="s">
        <v>352</v>
      </c>
      <c r="D1181" s="20">
        <v>0</v>
      </c>
      <c r="E1181" s="21">
        <v>0.58199999999999996</v>
      </c>
      <c r="F1181" s="20">
        <f t="shared" si="124"/>
        <v>0</v>
      </c>
      <c r="G1181" s="21">
        <v>177.69230769230768</v>
      </c>
      <c r="H1181" s="20">
        <f t="shared" si="125"/>
        <v>0</v>
      </c>
      <c r="I1181" s="2"/>
      <c r="J1181" s="17"/>
      <c r="K1181" s="17"/>
      <c r="L1181" s="17"/>
    </row>
    <row r="1182" spans="1:12">
      <c r="A1182" s="45"/>
      <c r="B1182" s="43">
        <v>11</v>
      </c>
      <c r="C1182" s="19" t="s">
        <v>45</v>
      </c>
      <c r="D1182" s="20">
        <v>0</v>
      </c>
      <c r="E1182" s="21">
        <v>0.58199999999999996</v>
      </c>
      <c r="F1182" s="20">
        <f t="shared" si="124"/>
        <v>0</v>
      </c>
      <c r="G1182" s="21">
        <v>77.692307692307693</v>
      </c>
      <c r="H1182" s="20">
        <f t="shared" si="125"/>
        <v>0</v>
      </c>
      <c r="I1182" s="2"/>
      <c r="J1182" s="17"/>
      <c r="K1182" s="17"/>
      <c r="L1182" s="17"/>
    </row>
    <row r="1183" spans="1:12">
      <c r="A1183" s="45"/>
      <c r="B1183" s="43">
        <v>12</v>
      </c>
      <c r="C1183" s="19" t="s">
        <v>351</v>
      </c>
      <c r="D1183" s="20">
        <v>0</v>
      </c>
      <c r="E1183" s="21">
        <v>0.58199999999999996</v>
      </c>
      <c r="F1183" s="20">
        <f t="shared" si="124"/>
        <v>0</v>
      </c>
      <c r="G1183" s="21">
        <v>264.61538461538458</v>
      </c>
      <c r="H1183" s="20">
        <f t="shared" si="125"/>
        <v>0</v>
      </c>
      <c r="I1183" s="2"/>
      <c r="J1183" s="17"/>
      <c r="K1183" s="17"/>
      <c r="L1183" s="17"/>
    </row>
    <row r="1184" spans="1:12">
      <c r="A1184" s="45"/>
      <c r="B1184" s="43">
        <v>13</v>
      </c>
      <c r="C1184" s="19"/>
      <c r="D1184" s="20">
        <v>0</v>
      </c>
      <c r="E1184" s="21">
        <v>0</v>
      </c>
      <c r="F1184" s="20">
        <f t="shared" si="124"/>
        <v>0</v>
      </c>
      <c r="G1184" s="21">
        <v>110</v>
      </c>
      <c r="H1184" s="20">
        <f t="shared" si="125"/>
        <v>0</v>
      </c>
      <c r="I1184" s="2"/>
      <c r="J1184" s="17"/>
      <c r="K1184" s="17"/>
      <c r="L1184" s="17"/>
    </row>
    <row r="1185" spans="1:12">
      <c r="A1185" s="45"/>
      <c r="B1185" s="43">
        <v>14</v>
      </c>
      <c r="C1185" s="19"/>
      <c r="D1185" s="20">
        <v>0</v>
      </c>
      <c r="E1185" s="21">
        <v>0</v>
      </c>
      <c r="F1185" s="20">
        <f t="shared" si="124"/>
        <v>0</v>
      </c>
      <c r="G1185" s="21">
        <v>111</v>
      </c>
      <c r="H1185" s="20">
        <f t="shared" si="125"/>
        <v>0</v>
      </c>
      <c r="I1185" s="2"/>
      <c r="J1185" s="17"/>
      <c r="K1185" s="17"/>
      <c r="L1185" s="17"/>
    </row>
    <row r="1186" spans="1:12">
      <c r="A1186" s="45"/>
      <c r="B1186" s="43">
        <v>15</v>
      </c>
      <c r="C1186" s="19"/>
      <c r="D1186" s="20">
        <v>0</v>
      </c>
      <c r="E1186" s="21">
        <v>0</v>
      </c>
      <c r="F1186" s="20">
        <f>D1186*E1186</f>
        <v>0</v>
      </c>
      <c r="G1186" s="21">
        <v>102</v>
      </c>
      <c r="H1186" s="20">
        <f>F1186*G1186</f>
        <v>0</v>
      </c>
      <c r="I1186" s="2"/>
      <c r="J1186" s="17"/>
      <c r="K1186" s="17"/>
      <c r="L1186" s="17"/>
    </row>
    <row r="1187" spans="1:12">
      <c r="A1187" s="45"/>
      <c r="B1187" s="43"/>
      <c r="C1187" s="14" t="s">
        <v>654</v>
      </c>
      <c r="D1187" s="20"/>
      <c r="F1187" s="20"/>
      <c r="H1187" s="25">
        <f>SUM(H1172:H1186)</f>
        <v>849230.76923076937</v>
      </c>
      <c r="I1187" s="2"/>
      <c r="J1187" s="17"/>
      <c r="K1187" s="17"/>
      <c r="L1187" s="17"/>
    </row>
    <row r="1188" spans="1:12">
      <c r="A1188" s="45"/>
      <c r="B1188" s="46"/>
      <c r="C1188" s="14"/>
      <c r="D1188" s="20"/>
      <c r="F1188" s="20"/>
      <c r="H1188" s="20"/>
      <c r="I1188" s="2"/>
      <c r="J1188" s="17"/>
      <c r="K1188" s="17"/>
      <c r="L1188" s="17"/>
    </row>
    <row r="1189" spans="1:12">
      <c r="A1189" s="45"/>
      <c r="B1189" s="46"/>
      <c r="C1189" s="14" t="s">
        <v>655</v>
      </c>
      <c r="D1189" s="20"/>
      <c r="F1189" s="20"/>
      <c r="H1189" s="20"/>
      <c r="I1189" s="2"/>
      <c r="J1189" s="17"/>
      <c r="K1189" s="17"/>
      <c r="L1189" s="17"/>
    </row>
    <row r="1190" spans="1:12">
      <c r="A1190" s="45"/>
      <c r="B1190" s="43">
        <v>1</v>
      </c>
      <c r="C1190" s="19" t="s">
        <v>284</v>
      </c>
      <c r="D1190" s="20">
        <v>1</v>
      </c>
      <c r="E1190" s="21">
        <v>1</v>
      </c>
      <c r="F1190" s="20">
        <f>D1190*E1190</f>
        <v>1</v>
      </c>
      <c r="G1190" s="21">
        <v>40000</v>
      </c>
      <c r="H1190" s="20">
        <f>F1190*G1190</f>
        <v>40000</v>
      </c>
      <c r="I1190" s="2"/>
      <c r="J1190" s="17"/>
      <c r="K1190" s="17"/>
      <c r="L1190" s="17"/>
    </row>
    <row r="1191" spans="1:12">
      <c r="A1191" s="45"/>
      <c r="B1191" s="43">
        <v>2</v>
      </c>
      <c r="C1191" s="19" t="s">
        <v>656</v>
      </c>
      <c r="D1191" s="20">
        <v>1</v>
      </c>
      <c r="E1191" s="21">
        <v>1</v>
      </c>
      <c r="F1191" s="20">
        <f t="shared" ref="F1191:F1193" si="126">D1191*E1191</f>
        <v>1</v>
      </c>
      <c r="G1191" s="21">
        <v>200000</v>
      </c>
      <c r="H1191" s="20">
        <f t="shared" ref="H1191:H1193" si="127">F1191*G1191</f>
        <v>200000</v>
      </c>
      <c r="I1191" s="2"/>
      <c r="J1191" s="17"/>
      <c r="K1191" s="17"/>
      <c r="L1191" s="17"/>
    </row>
    <row r="1192" spans="1:12">
      <c r="A1192" s="45"/>
      <c r="B1192" s="43">
        <v>3</v>
      </c>
      <c r="C1192" s="19"/>
      <c r="D1192" s="20">
        <v>0</v>
      </c>
      <c r="E1192" s="21">
        <v>1</v>
      </c>
      <c r="F1192" s="20">
        <f t="shared" si="126"/>
        <v>0</v>
      </c>
      <c r="G1192" s="21">
        <v>103</v>
      </c>
      <c r="H1192" s="20">
        <f t="shared" si="127"/>
        <v>0</v>
      </c>
      <c r="I1192" s="2"/>
      <c r="J1192" s="17"/>
      <c r="K1192" s="17"/>
      <c r="L1192" s="17"/>
    </row>
    <row r="1193" spans="1:12">
      <c r="A1193" s="45"/>
      <c r="B1193" s="43">
        <v>4</v>
      </c>
      <c r="C1193" s="19"/>
      <c r="D1193" s="20">
        <v>0</v>
      </c>
      <c r="E1193" s="21">
        <v>1</v>
      </c>
      <c r="F1193" s="20">
        <f t="shared" si="126"/>
        <v>0</v>
      </c>
      <c r="G1193" s="21">
        <v>104</v>
      </c>
      <c r="H1193" s="20">
        <f t="shared" si="127"/>
        <v>0</v>
      </c>
      <c r="I1193" s="2"/>
      <c r="J1193" s="17"/>
      <c r="K1193" s="17"/>
      <c r="L1193" s="17"/>
    </row>
    <row r="1194" spans="1:12">
      <c r="A1194" s="45"/>
      <c r="B1194" s="43">
        <v>5</v>
      </c>
      <c r="C1194" s="19"/>
      <c r="D1194" s="20">
        <v>0</v>
      </c>
      <c r="E1194" s="21">
        <v>1</v>
      </c>
      <c r="F1194" s="20">
        <f>D1194*E1194</f>
        <v>0</v>
      </c>
      <c r="G1194" s="21">
        <v>102</v>
      </c>
      <c r="H1194" s="20">
        <f>F1194*G1194</f>
        <v>0</v>
      </c>
      <c r="I1194" s="2"/>
      <c r="J1194" s="17"/>
      <c r="K1194" s="17"/>
      <c r="L1194" s="17"/>
    </row>
    <row r="1195" spans="1:12">
      <c r="A1195" s="45"/>
      <c r="B1195" s="43"/>
      <c r="C1195" s="14" t="s">
        <v>657</v>
      </c>
      <c r="D1195" s="20"/>
      <c r="F1195" s="20"/>
      <c r="H1195" s="25">
        <f>SUM(H1190:H1194)</f>
        <v>240000</v>
      </c>
      <c r="I1195" s="2"/>
      <c r="J1195" s="17"/>
      <c r="K1195" s="17"/>
      <c r="L1195" s="17"/>
    </row>
    <row r="1196" spans="1:12">
      <c r="A1196" s="45"/>
      <c r="B1196" s="46"/>
      <c r="C1196" s="14"/>
      <c r="D1196" s="20"/>
      <c r="F1196" s="20"/>
      <c r="H1196" s="20"/>
      <c r="I1196" s="2"/>
      <c r="J1196" s="17"/>
      <c r="K1196" s="17"/>
      <c r="L1196" s="17"/>
    </row>
    <row r="1197" spans="1:12">
      <c r="A1197" s="45"/>
      <c r="B1197" s="46"/>
      <c r="C1197" s="14" t="s">
        <v>658</v>
      </c>
      <c r="D1197" s="20"/>
      <c r="F1197" s="20"/>
      <c r="H1197" s="20"/>
      <c r="I1197" s="2"/>
      <c r="J1197" s="17"/>
      <c r="K1197" s="17"/>
      <c r="L1197" s="17"/>
    </row>
    <row r="1198" spans="1:12">
      <c r="A1198" s="45"/>
      <c r="B1198" s="43">
        <v>1</v>
      </c>
      <c r="C1198" s="19" t="s">
        <v>219</v>
      </c>
      <c r="D1198" s="20">
        <v>7</v>
      </c>
      <c r="E1198" s="21">
        <v>1</v>
      </c>
      <c r="F1198" s="20">
        <f>D1198*E1198</f>
        <v>7</v>
      </c>
      <c r="G1198" s="69">
        <v>12507</v>
      </c>
      <c r="H1198" s="20">
        <f>F1198*G1198</f>
        <v>87549</v>
      </c>
      <c r="I1198" s="2"/>
      <c r="J1198" s="17"/>
      <c r="K1198" s="17"/>
      <c r="L1198" s="17"/>
    </row>
    <row r="1199" spans="1:12">
      <c r="A1199" s="45"/>
      <c r="B1199" s="43">
        <v>2</v>
      </c>
      <c r="C1199" s="19" t="s">
        <v>64</v>
      </c>
      <c r="D1199" s="20">
        <v>7</v>
      </c>
      <c r="E1199" s="21">
        <v>1</v>
      </c>
      <c r="F1199" s="20">
        <f t="shared" ref="F1199:F1204" si="128">D1199*E1199</f>
        <v>7</v>
      </c>
      <c r="G1199" s="69">
        <v>12507</v>
      </c>
      <c r="H1199" s="20">
        <f t="shared" ref="H1199:H1204" si="129">F1199*G1199</f>
        <v>87549</v>
      </c>
      <c r="I1199" s="2"/>
      <c r="J1199" s="17"/>
      <c r="K1199" s="17"/>
      <c r="L1199" s="17"/>
    </row>
    <row r="1200" spans="1:12">
      <c r="A1200" s="45"/>
      <c r="B1200" s="43">
        <v>3</v>
      </c>
      <c r="C1200" s="19" t="s">
        <v>65</v>
      </c>
      <c r="D1200" s="20">
        <v>7</v>
      </c>
      <c r="E1200" s="21">
        <v>1</v>
      </c>
      <c r="F1200" s="20">
        <f t="shared" si="128"/>
        <v>7</v>
      </c>
      <c r="G1200" s="69">
        <v>12507</v>
      </c>
      <c r="H1200" s="20">
        <f t="shared" si="129"/>
        <v>87549</v>
      </c>
      <c r="I1200" s="2"/>
      <c r="J1200" s="17"/>
      <c r="K1200" s="17"/>
      <c r="L1200" s="17"/>
    </row>
    <row r="1201" spans="1:12">
      <c r="A1201" s="45"/>
      <c r="B1201" s="43">
        <v>4</v>
      </c>
      <c r="C1201" s="19" t="s">
        <v>358</v>
      </c>
      <c r="D1201" s="20">
        <v>7</v>
      </c>
      <c r="E1201" s="21">
        <v>1</v>
      </c>
      <c r="F1201" s="20">
        <f t="shared" si="128"/>
        <v>7</v>
      </c>
      <c r="G1201" s="69">
        <v>12507</v>
      </c>
      <c r="H1201" s="20">
        <f t="shared" si="129"/>
        <v>87549</v>
      </c>
      <c r="I1201" s="2"/>
      <c r="J1201" s="17"/>
      <c r="K1201" s="17"/>
      <c r="L1201" s="17"/>
    </row>
    <row r="1202" spans="1:12">
      <c r="A1202" s="45"/>
      <c r="B1202" s="43">
        <v>5</v>
      </c>
      <c r="C1202" s="19" t="s">
        <v>222</v>
      </c>
      <c r="D1202" s="20">
        <v>12.6</v>
      </c>
      <c r="E1202" s="21">
        <v>1</v>
      </c>
      <c r="F1202" s="20">
        <f t="shared" si="128"/>
        <v>12.6</v>
      </c>
      <c r="G1202" s="69">
        <v>12507</v>
      </c>
      <c r="H1202" s="20">
        <f t="shared" si="129"/>
        <v>157588.19999999998</v>
      </c>
      <c r="I1202" s="2"/>
      <c r="J1202" s="17"/>
      <c r="K1202" s="17"/>
      <c r="L1202" s="17"/>
    </row>
    <row r="1203" spans="1:12">
      <c r="A1203" s="45"/>
      <c r="B1203" s="43">
        <v>6</v>
      </c>
      <c r="C1203" s="19" t="s">
        <v>360</v>
      </c>
      <c r="D1203" s="20">
        <v>2</v>
      </c>
      <c r="E1203" s="21">
        <v>1</v>
      </c>
      <c r="F1203" s="20">
        <f t="shared" si="128"/>
        <v>2</v>
      </c>
      <c r="G1203" s="69">
        <v>31769</v>
      </c>
      <c r="H1203" s="20">
        <f t="shared" si="129"/>
        <v>63538</v>
      </c>
      <c r="I1203" s="2"/>
      <c r="J1203" s="17"/>
      <c r="K1203" s="17"/>
      <c r="L1203" s="17"/>
    </row>
    <row r="1204" spans="1:12">
      <c r="A1204" s="45"/>
      <c r="B1204" s="43">
        <v>7</v>
      </c>
      <c r="C1204" s="19" t="s">
        <v>321</v>
      </c>
      <c r="D1204" s="20">
        <v>1</v>
      </c>
      <c r="E1204" s="21">
        <v>1</v>
      </c>
      <c r="F1204" s="20">
        <f t="shared" si="128"/>
        <v>1</v>
      </c>
      <c r="G1204" s="69">
        <v>192307</v>
      </c>
      <c r="H1204" s="20">
        <f t="shared" si="129"/>
        <v>192307</v>
      </c>
      <c r="I1204" s="2"/>
      <c r="J1204" s="17"/>
      <c r="K1204" s="17"/>
      <c r="L1204" s="17"/>
    </row>
    <row r="1205" spans="1:12">
      <c r="A1205" s="45"/>
      <c r="B1205" s="43">
        <v>8</v>
      </c>
      <c r="C1205" s="19"/>
      <c r="D1205" s="20">
        <v>0</v>
      </c>
      <c r="E1205" s="21">
        <v>0</v>
      </c>
      <c r="F1205" s="20">
        <f>D1205*E1205</f>
        <v>0</v>
      </c>
      <c r="G1205" s="21">
        <v>102</v>
      </c>
      <c r="H1205" s="20">
        <f>F1205*G1205</f>
        <v>0</v>
      </c>
      <c r="I1205" s="2"/>
      <c r="J1205" s="17"/>
      <c r="K1205" s="17"/>
      <c r="L1205" s="17"/>
    </row>
    <row r="1206" spans="1:12">
      <c r="A1206" s="45"/>
      <c r="B1206" s="43"/>
      <c r="C1206" s="14" t="s">
        <v>659</v>
      </c>
      <c r="D1206" s="20"/>
      <c r="F1206" s="20"/>
      <c r="H1206" s="25">
        <f>SUM(H1198:H1205)</f>
        <v>763629.2</v>
      </c>
      <c r="I1206" s="2"/>
      <c r="J1206" s="17"/>
      <c r="K1206" s="17"/>
      <c r="L1206" s="17"/>
    </row>
    <row r="1207" spans="1:12">
      <c r="A1207" s="45"/>
      <c r="B1207" s="43"/>
      <c r="C1207" s="14"/>
      <c r="D1207" s="20"/>
      <c r="F1207" s="20"/>
      <c r="H1207" s="25"/>
      <c r="I1207" s="2"/>
      <c r="J1207" s="17"/>
      <c r="K1207" s="17"/>
      <c r="L1207" s="17"/>
    </row>
    <row r="1208" spans="1:12">
      <c r="A1208" s="45"/>
      <c r="B1208" s="46"/>
      <c r="C1208" s="14" t="s">
        <v>660</v>
      </c>
      <c r="D1208" s="20"/>
      <c r="F1208" s="20"/>
      <c r="H1208" s="20"/>
      <c r="I1208" s="2"/>
      <c r="J1208" s="17"/>
      <c r="K1208" s="17"/>
      <c r="L1208" s="17"/>
    </row>
    <row r="1209" spans="1:12">
      <c r="A1209" s="45"/>
      <c r="B1209" s="43">
        <v>1</v>
      </c>
      <c r="C1209" s="19" t="s">
        <v>638</v>
      </c>
      <c r="D1209" s="20">
        <v>7</v>
      </c>
      <c r="E1209" s="21">
        <v>1</v>
      </c>
      <c r="F1209" s="20">
        <f>D1209*E1209</f>
        <v>7</v>
      </c>
      <c r="G1209" s="21">
        <v>140000</v>
      </c>
      <c r="H1209" s="20">
        <f>F1209*G1209</f>
        <v>980000</v>
      </c>
      <c r="I1209" s="2"/>
      <c r="J1209" s="17"/>
      <c r="K1209" s="17"/>
      <c r="L1209" s="17"/>
    </row>
    <row r="1210" spans="1:12">
      <c r="A1210" s="45"/>
      <c r="B1210" s="43">
        <v>2</v>
      </c>
      <c r="C1210" s="19" t="s">
        <v>76</v>
      </c>
      <c r="D1210" s="20">
        <v>7</v>
      </c>
      <c r="E1210" s="21">
        <v>1</v>
      </c>
      <c r="F1210" s="20">
        <f t="shared" ref="F1210:F1214" si="130">D1210*E1210</f>
        <v>7</v>
      </c>
      <c r="G1210" s="21">
        <v>30770</v>
      </c>
      <c r="H1210" s="20">
        <f t="shared" ref="H1210:H1214" si="131">F1210*G1210</f>
        <v>215390</v>
      </c>
      <c r="I1210" s="2"/>
      <c r="J1210" s="17"/>
      <c r="K1210" s="17"/>
      <c r="L1210" s="17"/>
    </row>
    <row r="1211" spans="1:12">
      <c r="A1211" s="45"/>
      <c r="B1211" s="43">
        <v>3</v>
      </c>
      <c r="C1211" s="19" t="s">
        <v>364</v>
      </c>
      <c r="D1211" s="20">
        <v>7</v>
      </c>
      <c r="E1211" s="21">
        <v>1</v>
      </c>
      <c r="F1211" s="20">
        <f t="shared" si="130"/>
        <v>7</v>
      </c>
      <c r="G1211" s="21">
        <v>30770</v>
      </c>
      <c r="H1211" s="20">
        <f t="shared" si="131"/>
        <v>215390</v>
      </c>
      <c r="I1211" s="2"/>
      <c r="J1211" s="17"/>
      <c r="K1211" s="17"/>
      <c r="L1211" s="17"/>
    </row>
    <row r="1212" spans="1:12">
      <c r="A1212" s="45"/>
      <c r="B1212" s="43">
        <v>4</v>
      </c>
      <c r="C1212" s="19"/>
      <c r="D1212" s="20"/>
      <c r="E1212" s="21">
        <v>1</v>
      </c>
      <c r="F1212" s="20">
        <f t="shared" si="130"/>
        <v>0</v>
      </c>
      <c r="G1212" s="21">
        <v>104</v>
      </c>
      <c r="H1212" s="20">
        <f t="shared" si="131"/>
        <v>0</v>
      </c>
      <c r="I1212" s="2"/>
      <c r="J1212" s="17"/>
      <c r="K1212" s="17"/>
      <c r="L1212" s="17"/>
    </row>
    <row r="1213" spans="1:12">
      <c r="A1213" s="45"/>
      <c r="B1213" s="43">
        <v>5</v>
      </c>
      <c r="C1213" s="19"/>
      <c r="D1213" s="20"/>
      <c r="E1213" s="21">
        <v>1</v>
      </c>
      <c r="F1213" s="20">
        <f t="shared" si="130"/>
        <v>0</v>
      </c>
      <c r="G1213" s="21">
        <v>105</v>
      </c>
      <c r="H1213" s="20">
        <f t="shared" si="131"/>
        <v>0</v>
      </c>
      <c r="I1213" s="2"/>
      <c r="J1213" s="17"/>
      <c r="K1213" s="17"/>
      <c r="L1213" s="17"/>
    </row>
    <row r="1214" spans="1:12">
      <c r="A1214" s="45"/>
      <c r="B1214" s="43">
        <v>6</v>
      </c>
      <c r="C1214" s="19"/>
      <c r="D1214" s="20"/>
      <c r="E1214" s="21">
        <v>1</v>
      </c>
      <c r="F1214" s="20">
        <f t="shared" si="130"/>
        <v>0</v>
      </c>
      <c r="G1214" s="21">
        <v>106</v>
      </c>
      <c r="H1214" s="20">
        <f t="shared" si="131"/>
        <v>0</v>
      </c>
      <c r="I1214" s="2"/>
      <c r="J1214" s="17"/>
      <c r="K1214" s="17"/>
      <c r="L1214" s="17"/>
    </row>
    <row r="1215" spans="1:12">
      <c r="A1215" s="45"/>
      <c r="B1215" s="43">
        <v>7</v>
      </c>
      <c r="C1215" s="19"/>
      <c r="D1215" s="20">
        <v>0</v>
      </c>
      <c r="E1215" s="21">
        <v>1</v>
      </c>
      <c r="F1215" s="20">
        <f>D1215*E1215</f>
        <v>0</v>
      </c>
      <c r="G1215" s="21">
        <v>102</v>
      </c>
      <c r="H1215" s="20">
        <f>F1215*G1215</f>
        <v>0</v>
      </c>
      <c r="I1215" s="2"/>
      <c r="J1215" s="17"/>
      <c r="K1215" s="17"/>
      <c r="L1215" s="17"/>
    </row>
    <row r="1216" spans="1:12">
      <c r="A1216" s="45"/>
      <c r="B1216" s="43"/>
      <c r="C1216" s="14" t="s">
        <v>661</v>
      </c>
      <c r="D1216" s="20"/>
      <c r="F1216" s="20"/>
      <c r="H1216" s="25">
        <f>SUM(H1209:H1215)</f>
        <v>1410780</v>
      </c>
      <c r="I1216" s="2"/>
      <c r="J1216" s="17"/>
      <c r="K1216" s="17"/>
      <c r="L1216" s="17"/>
    </row>
    <row r="1217" spans="1:12">
      <c r="A1217" s="45"/>
      <c r="B1217" s="43"/>
      <c r="C1217" s="14"/>
      <c r="D1217" s="20"/>
      <c r="F1217" s="20"/>
      <c r="H1217" s="25"/>
      <c r="I1217" s="2"/>
      <c r="J1217" s="17"/>
      <c r="K1217" s="17"/>
      <c r="L1217" s="17"/>
    </row>
    <row r="1218" spans="1:12">
      <c r="A1218" s="45"/>
      <c r="B1218" s="46"/>
      <c r="C1218" s="14" t="s">
        <v>662</v>
      </c>
      <c r="D1218" s="20"/>
      <c r="F1218" s="20"/>
      <c r="H1218" s="25">
        <f>H1144+H1152+H1160+H1169+H1187+H1195+H1206+H1216</f>
        <v>3263639.9692307692</v>
      </c>
      <c r="I1218" s="2"/>
      <c r="J1218" s="17"/>
      <c r="K1218" s="17"/>
      <c r="L1218" s="17"/>
    </row>
    <row r="1219" spans="1:12">
      <c r="A1219" s="45"/>
      <c r="B1219" s="46"/>
      <c r="C1219" s="14"/>
      <c r="D1219" s="20"/>
      <c r="F1219" s="20"/>
      <c r="H1219" s="25"/>
      <c r="I1219" s="2"/>
      <c r="J1219" s="17"/>
      <c r="K1219" s="17"/>
      <c r="L1219" s="17"/>
    </row>
    <row r="1220" spans="1:12" s="2" customFormat="1">
      <c r="A1220" s="32"/>
      <c r="B1220" s="33"/>
      <c r="C1220" s="14"/>
      <c r="D1220" s="20"/>
      <c r="E1220" s="21"/>
      <c r="F1220" s="20"/>
      <c r="G1220" s="21"/>
      <c r="H1220" s="20"/>
      <c r="J1220" s="17"/>
      <c r="K1220" s="17"/>
      <c r="L1220" s="17"/>
    </row>
    <row r="1221" spans="1:12" ht="36">
      <c r="A1221" s="47" t="s">
        <v>663</v>
      </c>
      <c r="B1221" s="48" t="s">
        <v>664</v>
      </c>
      <c r="C1221" s="14" t="s">
        <v>665</v>
      </c>
      <c r="D1221" s="20"/>
      <c r="F1221" s="20"/>
      <c r="H1221" s="20"/>
      <c r="I1221" s="2"/>
      <c r="J1221" s="17"/>
      <c r="K1221" s="17"/>
      <c r="L1221" s="17"/>
    </row>
    <row r="1222" spans="1:12">
      <c r="A1222" s="47"/>
      <c r="B1222" s="49">
        <v>1</v>
      </c>
      <c r="C1222" s="19"/>
      <c r="D1222" s="20">
        <v>0</v>
      </c>
      <c r="E1222" s="21">
        <v>1</v>
      </c>
      <c r="F1222" s="20">
        <f>D1222*E1222</f>
        <v>0</v>
      </c>
      <c r="G1222" s="21">
        <v>101</v>
      </c>
      <c r="H1222" s="20">
        <f>F1222*G1222</f>
        <v>0</v>
      </c>
      <c r="I1222" s="2"/>
      <c r="J1222" s="17"/>
      <c r="K1222" s="17"/>
      <c r="L1222" s="17"/>
    </row>
    <row r="1223" spans="1:12">
      <c r="A1223" s="47"/>
      <c r="B1223" s="49">
        <v>2</v>
      </c>
      <c r="C1223" s="19"/>
      <c r="D1223" s="20">
        <v>0</v>
      </c>
      <c r="E1223" s="21">
        <v>1</v>
      </c>
      <c r="F1223" s="20">
        <f>D1223*E1223</f>
        <v>0</v>
      </c>
      <c r="G1223" s="21">
        <v>102</v>
      </c>
      <c r="H1223" s="20">
        <f>F1223*G1223</f>
        <v>0</v>
      </c>
      <c r="I1223" s="2"/>
      <c r="J1223" s="17"/>
      <c r="K1223" s="17"/>
      <c r="L1223" s="17"/>
    </row>
    <row r="1224" spans="1:12">
      <c r="A1224" s="47"/>
      <c r="B1224" s="49"/>
      <c r="C1224" s="14" t="s">
        <v>666</v>
      </c>
      <c r="D1224" s="20"/>
      <c r="F1224" s="20"/>
      <c r="H1224" s="25">
        <f>SUM(H1222:H1223)</f>
        <v>0</v>
      </c>
      <c r="I1224" s="2"/>
      <c r="J1224" s="17"/>
      <c r="K1224" s="17"/>
      <c r="L1224" s="17"/>
    </row>
    <row r="1225" spans="1:12">
      <c r="A1225" s="47"/>
      <c r="B1225" s="48"/>
      <c r="C1225" s="14"/>
      <c r="D1225" s="20"/>
      <c r="F1225" s="20"/>
      <c r="H1225" s="20"/>
      <c r="I1225" s="2"/>
      <c r="J1225" s="17"/>
      <c r="K1225" s="17"/>
      <c r="L1225" s="17"/>
    </row>
    <row r="1226" spans="1:12">
      <c r="A1226" s="50"/>
      <c r="B1226" s="51"/>
      <c r="C1226" s="14" t="s">
        <v>667</v>
      </c>
      <c r="D1226" s="20"/>
      <c r="F1226" s="20"/>
      <c r="H1226" s="20"/>
      <c r="I1226" s="2"/>
      <c r="J1226" s="17"/>
      <c r="K1226" s="17"/>
      <c r="L1226" s="17"/>
    </row>
    <row r="1227" spans="1:12">
      <c r="A1227" s="50"/>
      <c r="B1227" s="49">
        <v>1</v>
      </c>
      <c r="C1227" s="19"/>
      <c r="D1227" s="20">
        <v>0</v>
      </c>
      <c r="E1227" s="21">
        <v>1</v>
      </c>
      <c r="F1227" s="20">
        <f>D1227*E1227</f>
        <v>0</v>
      </c>
      <c r="G1227" s="21">
        <v>101</v>
      </c>
      <c r="H1227" s="20">
        <f>F1227*G1227</f>
        <v>0</v>
      </c>
      <c r="I1227" s="2"/>
      <c r="J1227" s="17"/>
      <c r="K1227" s="17"/>
      <c r="L1227" s="17"/>
    </row>
    <row r="1228" spans="1:12">
      <c r="A1228" s="50"/>
      <c r="B1228" s="49">
        <v>2</v>
      </c>
      <c r="C1228" s="19"/>
      <c r="D1228" s="20">
        <v>0</v>
      </c>
      <c r="E1228" s="21">
        <v>1</v>
      </c>
      <c r="F1228" s="20">
        <f>D1228*E1228</f>
        <v>0</v>
      </c>
      <c r="G1228" s="21">
        <v>102</v>
      </c>
      <c r="H1228" s="20">
        <f>F1228*G1228</f>
        <v>0</v>
      </c>
      <c r="I1228" s="2"/>
      <c r="J1228" s="17"/>
      <c r="K1228" s="17"/>
      <c r="L1228" s="17"/>
    </row>
    <row r="1229" spans="1:12">
      <c r="A1229" s="50"/>
      <c r="B1229" s="49"/>
      <c r="C1229" s="14" t="s">
        <v>668</v>
      </c>
      <c r="D1229" s="20"/>
      <c r="F1229" s="20"/>
      <c r="H1229" s="25">
        <f>SUM(H1227:H1228)</f>
        <v>0</v>
      </c>
      <c r="I1229" s="2"/>
      <c r="J1229" s="17"/>
      <c r="K1229" s="17"/>
      <c r="L1229" s="17"/>
    </row>
    <row r="1230" spans="1:12">
      <c r="A1230" s="50"/>
      <c r="B1230" s="51"/>
      <c r="C1230" s="14"/>
      <c r="D1230" s="20"/>
      <c r="F1230" s="20"/>
      <c r="H1230" s="20"/>
      <c r="I1230" s="2"/>
      <c r="J1230" s="17"/>
      <c r="K1230" s="17"/>
      <c r="L1230" s="17"/>
    </row>
    <row r="1231" spans="1:12">
      <c r="A1231" s="50"/>
      <c r="B1231" s="51"/>
      <c r="C1231" s="14" t="s">
        <v>669</v>
      </c>
      <c r="D1231" s="20"/>
      <c r="F1231" s="20"/>
      <c r="H1231" s="20"/>
      <c r="I1231" s="2"/>
      <c r="J1231" s="17"/>
      <c r="K1231" s="17"/>
      <c r="L1231" s="17"/>
    </row>
    <row r="1232" spans="1:12">
      <c r="A1232" s="50"/>
      <c r="B1232" s="49">
        <v>1</v>
      </c>
      <c r="C1232" s="19"/>
      <c r="D1232" s="20">
        <v>0</v>
      </c>
      <c r="E1232" s="21">
        <v>1</v>
      </c>
      <c r="F1232" s="20">
        <f>D1232*E1232</f>
        <v>0</v>
      </c>
      <c r="G1232" s="21">
        <v>101</v>
      </c>
      <c r="H1232" s="20">
        <f>F1232*G1232</f>
        <v>0</v>
      </c>
      <c r="I1232" s="2"/>
      <c r="J1232" s="17"/>
      <c r="K1232" s="17"/>
      <c r="L1232" s="17"/>
    </row>
    <row r="1233" spans="1:12">
      <c r="A1233" s="50"/>
      <c r="B1233" s="49">
        <v>2</v>
      </c>
      <c r="C1233" s="19"/>
      <c r="D1233" s="20">
        <v>0</v>
      </c>
      <c r="E1233" s="21">
        <v>1</v>
      </c>
      <c r="F1233" s="20">
        <f>D1233*E1233</f>
        <v>0</v>
      </c>
      <c r="G1233" s="21">
        <v>102</v>
      </c>
      <c r="H1233" s="20">
        <f>F1233*G1233</f>
        <v>0</v>
      </c>
      <c r="I1233" s="2"/>
      <c r="J1233" s="17"/>
      <c r="K1233" s="17"/>
      <c r="L1233" s="17"/>
    </row>
    <row r="1234" spans="1:12">
      <c r="A1234" s="50"/>
      <c r="B1234" s="49"/>
      <c r="C1234" s="14" t="s">
        <v>670</v>
      </c>
      <c r="D1234" s="20"/>
      <c r="F1234" s="20"/>
      <c r="H1234" s="25">
        <f>SUM(H1232:H1233)</f>
        <v>0</v>
      </c>
      <c r="I1234" s="2"/>
      <c r="J1234" s="17"/>
      <c r="K1234" s="17"/>
      <c r="L1234" s="17"/>
    </row>
    <row r="1235" spans="1:12">
      <c r="A1235" s="50"/>
      <c r="B1235" s="51"/>
      <c r="C1235" s="14"/>
      <c r="D1235" s="20"/>
      <c r="F1235" s="20"/>
      <c r="H1235" s="20"/>
      <c r="I1235" s="2"/>
      <c r="J1235" s="17"/>
      <c r="K1235" s="17"/>
      <c r="L1235" s="17"/>
    </row>
    <row r="1236" spans="1:12">
      <c r="A1236" s="50"/>
      <c r="B1236" s="51"/>
      <c r="C1236" s="14" t="s">
        <v>671</v>
      </c>
      <c r="D1236" s="20"/>
      <c r="F1236" s="20"/>
      <c r="H1236" s="20"/>
      <c r="I1236" s="2"/>
      <c r="J1236" s="17"/>
      <c r="K1236" s="17"/>
      <c r="L1236" s="17"/>
    </row>
    <row r="1237" spans="1:12">
      <c r="A1237" s="50"/>
      <c r="B1237" s="49">
        <v>1</v>
      </c>
      <c r="C1237" s="19"/>
      <c r="D1237" s="20">
        <v>0</v>
      </c>
      <c r="E1237" s="21">
        <v>1</v>
      </c>
      <c r="F1237" s="20">
        <f>D1237*E1237</f>
        <v>0</v>
      </c>
      <c r="G1237" s="21">
        <v>101</v>
      </c>
      <c r="H1237" s="20">
        <f>F1237*G1237</f>
        <v>0</v>
      </c>
      <c r="I1237" s="2"/>
      <c r="J1237" s="17"/>
      <c r="K1237" s="17"/>
      <c r="L1237" s="17"/>
    </row>
    <row r="1238" spans="1:12">
      <c r="A1238" s="50"/>
      <c r="B1238" s="49">
        <v>2</v>
      </c>
      <c r="C1238" s="19"/>
      <c r="D1238" s="20">
        <v>0</v>
      </c>
      <c r="E1238" s="21">
        <v>1</v>
      </c>
      <c r="F1238" s="20">
        <f>D1238*E1238</f>
        <v>0</v>
      </c>
      <c r="G1238" s="21">
        <v>102</v>
      </c>
      <c r="H1238" s="20">
        <f>F1238*G1238</f>
        <v>0</v>
      </c>
      <c r="I1238" s="2"/>
      <c r="J1238" s="17"/>
      <c r="K1238" s="17"/>
      <c r="L1238" s="17"/>
    </row>
    <row r="1239" spans="1:12">
      <c r="A1239" s="50"/>
      <c r="B1239" s="49"/>
      <c r="C1239" s="14" t="s">
        <v>672</v>
      </c>
      <c r="D1239" s="20"/>
      <c r="F1239" s="20"/>
      <c r="H1239" s="25">
        <f>SUM(H1237:H1238)</f>
        <v>0</v>
      </c>
      <c r="I1239" s="2"/>
      <c r="J1239" s="17"/>
      <c r="K1239" s="17"/>
      <c r="L1239" s="17"/>
    </row>
    <row r="1240" spans="1:12">
      <c r="A1240" s="50"/>
      <c r="B1240" s="51"/>
      <c r="C1240" s="14"/>
      <c r="D1240" s="20"/>
      <c r="F1240" s="20"/>
      <c r="H1240" s="20"/>
      <c r="I1240" s="2"/>
      <c r="J1240" s="17"/>
      <c r="K1240" s="17"/>
      <c r="L1240" s="17"/>
    </row>
    <row r="1241" spans="1:12">
      <c r="A1241" s="50"/>
      <c r="B1241" s="51"/>
      <c r="C1241" s="14" t="s">
        <v>673</v>
      </c>
      <c r="D1241" s="20"/>
      <c r="F1241" s="20"/>
      <c r="H1241" s="20"/>
      <c r="I1241" s="2"/>
      <c r="J1241" s="17"/>
      <c r="K1241" s="17"/>
      <c r="L1241" s="17"/>
    </row>
    <row r="1242" spans="1:12">
      <c r="A1242" s="50"/>
      <c r="B1242" s="49">
        <v>1</v>
      </c>
      <c r="C1242" s="19"/>
      <c r="D1242" s="20">
        <v>0</v>
      </c>
      <c r="E1242" s="21">
        <v>1</v>
      </c>
      <c r="F1242" s="20">
        <f>D1242*E1242</f>
        <v>0</v>
      </c>
      <c r="G1242" s="21">
        <v>101</v>
      </c>
      <c r="H1242" s="20">
        <f>F1242*G1242</f>
        <v>0</v>
      </c>
      <c r="I1242" s="2"/>
      <c r="J1242" s="17"/>
      <c r="K1242" s="17"/>
      <c r="L1242" s="17"/>
    </row>
    <row r="1243" spans="1:12">
      <c r="A1243" s="50"/>
      <c r="B1243" s="49">
        <v>2</v>
      </c>
      <c r="C1243" s="19"/>
      <c r="D1243" s="20">
        <v>0</v>
      </c>
      <c r="E1243" s="21">
        <v>1</v>
      </c>
      <c r="F1243" s="20">
        <f>D1243*E1243</f>
        <v>0</v>
      </c>
      <c r="G1243" s="21">
        <v>102</v>
      </c>
      <c r="H1243" s="20">
        <f>F1243*G1243</f>
        <v>0</v>
      </c>
      <c r="I1243" s="2"/>
      <c r="J1243" s="17"/>
      <c r="K1243" s="17"/>
      <c r="L1243" s="17"/>
    </row>
    <row r="1244" spans="1:12">
      <c r="A1244" s="50"/>
      <c r="B1244" s="49"/>
      <c r="C1244" s="14" t="s">
        <v>674</v>
      </c>
      <c r="D1244" s="20"/>
      <c r="F1244" s="20"/>
      <c r="H1244" s="25">
        <f>SUM(H1242:H1243)</f>
        <v>0</v>
      </c>
      <c r="I1244" s="2"/>
      <c r="J1244" s="17"/>
      <c r="K1244" s="17"/>
      <c r="L1244" s="17"/>
    </row>
    <row r="1245" spans="1:12">
      <c r="A1245" s="50"/>
      <c r="B1245" s="51"/>
      <c r="C1245" s="14"/>
      <c r="D1245" s="20"/>
      <c r="F1245" s="20"/>
      <c r="H1245" s="20"/>
      <c r="I1245" s="2"/>
      <c r="J1245" s="17"/>
      <c r="K1245" s="17"/>
      <c r="L1245" s="17"/>
    </row>
    <row r="1246" spans="1:12">
      <c r="A1246" s="50"/>
      <c r="B1246" s="51"/>
      <c r="C1246" s="14" t="s">
        <v>675</v>
      </c>
      <c r="D1246" s="20"/>
      <c r="F1246" s="20"/>
      <c r="H1246" s="20"/>
      <c r="I1246" s="2"/>
      <c r="J1246" s="17"/>
      <c r="K1246" s="17"/>
      <c r="L1246" s="17"/>
    </row>
    <row r="1247" spans="1:12">
      <c r="A1247" s="50"/>
      <c r="B1247" s="49">
        <v>1</v>
      </c>
      <c r="C1247" s="19"/>
      <c r="D1247" s="20">
        <v>0</v>
      </c>
      <c r="E1247" s="21">
        <v>1</v>
      </c>
      <c r="F1247" s="20">
        <f>D1247*E1247</f>
        <v>0</v>
      </c>
      <c r="G1247" s="21">
        <v>101</v>
      </c>
      <c r="H1247" s="20">
        <f>F1247*G1247</f>
        <v>0</v>
      </c>
      <c r="I1247" s="2"/>
      <c r="J1247" s="17"/>
      <c r="K1247" s="17"/>
      <c r="L1247" s="17"/>
    </row>
    <row r="1248" spans="1:12">
      <c r="A1248" s="50"/>
      <c r="B1248" s="49">
        <v>2</v>
      </c>
      <c r="C1248" s="19"/>
      <c r="D1248" s="20">
        <v>0</v>
      </c>
      <c r="E1248" s="21">
        <v>1</v>
      </c>
      <c r="F1248" s="20">
        <f>D1248*E1248</f>
        <v>0</v>
      </c>
      <c r="G1248" s="21">
        <v>102</v>
      </c>
      <c r="H1248" s="20">
        <f>F1248*G1248</f>
        <v>0</v>
      </c>
      <c r="I1248" s="2"/>
      <c r="J1248" s="17"/>
      <c r="K1248" s="17"/>
      <c r="L1248" s="17"/>
    </row>
    <row r="1249" spans="1:12">
      <c r="A1249" s="50"/>
      <c r="B1249" s="49"/>
      <c r="C1249" s="14" t="s">
        <v>676</v>
      </c>
      <c r="D1249" s="20"/>
      <c r="F1249" s="20"/>
      <c r="H1249" s="25">
        <f>SUM(H1247:H1248)</f>
        <v>0</v>
      </c>
      <c r="I1249" s="2"/>
      <c r="J1249" s="17"/>
      <c r="K1249" s="17"/>
      <c r="L1249" s="17"/>
    </row>
    <row r="1250" spans="1:12">
      <c r="A1250" s="50"/>
      <c r="B1250" s="51"/>
      <c r="C1250" s="14"/>
      <c r="D1250" s="20"/>
      <c r="F1250" s="20"/>
      <c r="H1250" s="20"/>
      <c r="I1250" s="2"/>
      <c r="J1250" s="17"/>
      <c r="K1250" s="17"/>
      <c r="L1250" s="17"/>
    </row>
    <row r="1251" spans="1:12">
      <c r="A1251" s="50"/>
      <c r="B1251" s="51"/>
      <c r="C1251" s="14" t="s">
        <v>677</v>
      </c>
      <c r="D1251" s="20"/>
      <c r="F1251" s="20"/>
      <c r="H1251" s="20"/>
      <c r="I1251" s="2"/>
      <c r="J1251" s="17"/>
      <c r="K1251" s="17"/>
      <c r="L1251" s="17"/>
    </row>
    <row r="1252" spans="1:12">
      <c r="A1252" s="50"/>
      <c r="B1252" s="49">
        <v>1</v>
      </c>
      <c r="C1252" s="19"/>
      <c r="D1252" s="20">
        <v>0</v>
      </c>
      <c r="E1252" s="21">
        <v>1</v>
      </c>
      <c r="F1252" s="20">
        <f>D1252*E1252</f>
        <v>0</v>
      </c>
      <c r="G1252" s="21">
        <v>101</v>
      </c>
      <c r="H1252" s="20">
        <f>F1252*G1252</f>
        <v>0</v>
      </c>
      <c r="I1252" s="2"/>
      <c r="J1252" s="17"/>
      <c r="K1252" s="17"/>
      <c r="L1252" s="17"/>
    </row>
    <row r="1253" spans="1:12">
      <c r="A1253" s="50"/>
      <c r="B1253" s="49">
        <v>2</v>
      </c>
      <c r="C1253" s="19"/>
      <c r="D1253" s="20">
        <v>0</v>
      </c>
      <c r="E1253" s="21">
        <v>1</v>
      </c>
      <c r="F1253" s="20">
        <f>D1253*E1253</f>
        <v>0</v>
      </c>
      <c r="G1253" s="21">
        <v>102</v>
      </c>
      <c r="H1253" s="20">
        <f>F1253*G1253</f>
        <v>0</v>
      </c>
      <c r="I1253" s="2"/>
      <c r="J1253" s="17"/>
      <c r="K1253" s="17"/>
      <c r="L1253" s="17"/>
    </row>
    <row r="1254" spans="1:12">
      <c r="A1254" s="50"/>
      <c r="B1254" s="49"/>
      <c r="C1254" s="14" t="s">
        <v>678</v>
      </c>
      <c r="D1254" s="20"/>
      <c r="F1254" s="20"/>
      <c r="H1254" s="25">
        <f>SUM(H1252:H1253)</f>
        <v>0</v>
      </c>
      <c r="I1254" s="2"/>
      <c r="J1254" s="17"/>
      <c r="K1254" s="17"/>
      <c r="L1254" s="17"/>
    </row>
    <row r="1255" spans="1:12">
      <c r="A1255" s="50"/>
      <c r="B1255" s="49"/>
      <c r="C1255" s="14"/>
      <c r="D1255" s="20"/>
      <c r="F1255" s="20"/>
      <c r="H1255" s="25"/>
      <c r="I1255" s="2"/>
      <c r="J1255" s="17"/>
      <c r="K1255" s="17"/>
      <c r="L1255" s="17"/>
    </row>
    <row r="1256" spans="1:12">
      <c r="A1256" s="50"/>
      <c r="B1256" s="51"/>
      <c r="C1256" s="14" t="s">
        <v>679</v>
      </c>
      <c r="D1256" s="20"/>
      <c r="F1256" s="20"/>
      <c r="H1256" s="20"/>
      <c r="I1256" s="2"/>
      <c r="J1256" s="17"/>
      <c r="K1256" s="17"/>
      <c r="L1256" s="17"/>
    </row>
    <row r="1257" spans="1:12">
      <c r="A1257" s="50"/>
      <c r="B1257" s="49">
        <v>1</v>
      </c>
      <c r="C1257" s="19" t="s">
        <v>76</v>
      </c>
      <c r="D1257" s="20">
        <v>4</v>
      </c>
      <c r="E1257" s="21">
        <v>1</v>
      </c>
      <c r="F1257" s="20">
        <f>D1257*E1257</f>
        <v>4</v>
      </c>
      <c r="G1257" s="21">
        <v>23079</v>
      </c>
      <c r="H1257" s="20">
        <f>F1257*G1257</f>
        <v>92316</v>
      </c>
      <c r="I1257" s="2"/>
      <c r="J1257" s="17"/>
      <c r="K1257" s="17"/>
      <c r="L1257" s="17"/>
    </row>
    <row r="1258" spans="1:12">
      <c r="A1258" s="50"/>
      <c r="B1258" s="49">
        <v>2</v>
      </c>
      <c r="C1258" s="19" t="s">
        <v>77</v>
      </c>
      <c r="D1258" s="20">
        <v>4</v>
      </c>
      <c r="E1258" s="21">
        <v>1</v>
      </c>
      <c r="F1258" s="20">
        <f>D1258*E1258</f>
        <v>4</v>
      </c>
      <c r="G1258" s="21">
        <v>23079</v>
      </c>
      <c r="H1258" s="20">
        <f>F1258*G1258</f>
        <v>92316</v>
      </c>
      <c r="I1258" s="2"/>
      <c r="J1258" s="17"/>
      <c r="K1258" s="17"/>
      <c r="L1258" s="17"/>
    </row>
    <row r="1259" spans="1:12">
      <c r="A1259" s="50"/>
      <c r="B1259" s="49">
        <v>3</v>
      </c>
      <c r="C1259" s="19"/>
      <c r="D1259" s="20">
        <v>0</v>
      </c>
      <c r="E1259" s="21">
        <v>1</v>
      </c>
      <c r="F1259" s="20">
        <f t="shared" ref="F1259:F1265" si="132">D1259*E1259</f>
        <v>0</v>
      </c>
      <c r="G1259" s="21">
        <v>103</v>
      </c>
      <c r="H1259" s="20">
        <f t="shared" ref="H1259:H1265" si="133">F1259*G1259</f>
        <v>0</v>
      </c>
      <c r="I1259" s="2"/>
      <c r="J1259" s="17"/>
      <c r="K1259" s="17"/>
      <c r="L1259" s="17"/>
    </row>
    <row r="1260" spans="1:12">
      <c r="A1260" s="50"/>
      <c r="B1260" s="49">
        <v>4</v>
      </c>
      <c r="C1260" s="19"/>
      <c r="D1260" s="20">
        <v>0</v>
      </c>
      <c r="E1260" s="21">
        <v>1</v>
      </c>
      <c r="F1260" s="20">
        <f t="shared" si="132"/>
        <v>0</v>
      </c>
      <c r="G1260" s="21">
        <v>104</v>
      </c>
      <c r="H1260" s="20">
        <f t="shared" si="133"/>
        <v>0</v>
      </c>
      <c r="I1260" s="2"/>
      <c r="J1260" s="17"/>
      <c r="K1260" s="17"/>
      <c r="L1260" s="17"/>
    </row>
    <row r="1261" spans="1:12">
      <c r="A1261" s="50"/>
      <c r="B1261" s="49">
        <v>5</v>
      </c>
      <c r="C1261" s="19"/>
      <c r="D1261" s="20">
        <v>0</v>
      </c>
      <c r="E1261" s="21">
        <v>1</v>
      </c>
      <c r="F1261" s="20">
        <f t="shared" si="132"/>
        <v>0</v>
      </c>
      <c r="G1261" s="21">
        <v>105</v>
      </c>
      <c r="H1261" s="20">
        <f t="shared" si="133"/>
        <v>0</v>
      </c>
      <c r="I1261" s="2"/>
      <c r="J1261" s="17"/>
      <c r="K1261" s="17"/>
      <c r="L1261" s="17"/>
    </row>
    <row r="1262" spans="1:12">
      <c r="A1262" s="50"/>
      <c r="B1262" s="49">
        <v>6</v>
      </c>
      <c r="C1262" s="19"/>
      <c r="D1262" s="20">
        <v>0</v>
      </c>
      <c r="E1262" s="21">
        <v>1</v>
      </c>
      <c r="F1262" s="20">
        <f t="shared" si="132"/>
        <v>0</v>
      </c>
      <c r="G1262" s="21">
        <v>106</v>
      </c>
      <c r="H1262" s="20">
        <f t="shared" si="133"/>
        <v>0</v>
      </c>
      <c r="I1262" s="2"/>
      <c r="J1262" s="17"/>
      <c r="K1262" s="17"/>
      <c r="L1262" s="17"/>
    </row>
    <row r="1263" spans="1:12">
      <c r="A1263" s="50"/>
      <c r="B1263" s="49">
        <v>7</v>
      </c>
      <c r="C1263" s="19"/>
      <c r="D1263" s="20">
        <v>0</v>
      </c>
      <c r="E1263" s="21">
        <v>1</v>
      </c>
      <c r="F1263" s="20">
        <f t="shared" si="132"/>
        <v>0</v>
      </c>
      <c r="G1263" s="21">
        <v>107</v>
      </c>
      <c r="H1263" s="20">
        <f t="shared" si="133"/>
        <v>0</v>
      </c>
      <c r="I1263" s="2"/>
      <c r="J1263" s="17"/>
      <c r="K1263" s="17"/>
      <c r="L1263" s="17"/>
    </row>
    <row r="1264" spans="1:12">
      <c r="A1264" s="50"/>
      <c r="B1264" s="49">
        <v>8</v>
      </c>
      <c r="C1264" s="19"/>
      <c r="D1264" s="20">
        <v>0</v>
      </c>
      <c r="E1264" s="21">
        <v>1</v>
      </c>
      <c r="F1264" s="20">
        <f t="shared" si="132"/>
        <v>0</v>
      </c>
      <c r="G1264" s="21">
        <v>108</v>
      </c>
      <c r="H1264" s="20">
        <f t="shared" si="133"/>
        <v>0</v>
      </c>
      <c r="I1264" s="2"/>
      <c r="J1264" s="17"/>
      <c r="K1264" s="17"/>
      <c r="L1264" s="17"/>
    </row>
    <row r="1265" spans="1:12">
      <c r="A1265" s="50"/>
      <c r="B1265" s="49">
        <v>9</v>
      </c>
      <c r="C1265" s="19"/>
      <c r="D1265" s="20">
        <v>0</v>
      </c>
      <c r="E1265" s="21">
        <v>1</v>
      </c>
      <c r="F1265" s="20">
        <f t="shared" si="132"/>
        <v>0</v>
      </c>
      <c r="G1265" s="21">
        <v>109</v>
      </c>
      <c r="H1265" s="20">
        <f t="shared" si="133"/>
        <v>0</v>
      </c>
      <c r="I1265" s="2"/>
      <c r="J1265" s="17"/>
      <c r="K1265" s="17"/>
      <c r="L1265" s="17"/>
    </row>
    <row r="1266" spans="1:12">
      <c r="A1266" s="50"/>
      <c r="B1266" s="49">
        <v>10</v>
      </c>
      <c r="C1266" s="19"/>
      <c r="D1266" s="20">
        <v>0</v>
      </c>
      <c r="E1266" s="21">
        <v>1</v>
      </c>
      <c r="F1266" s="20">
        <f>D1266*E1266</f>
        <v>0</v>
      </c>
      <c r="G1266" s="21">
        <v>102</v>
      </c>
      <c r="H1266" s="20">
        <f>F1266*G1266</f>
        <v>0</v>
      </c>
      <c r="I1266" s="2"/>
      <c r="J1266" s="17"/>
      <c r="K1266" s="17"/>
      <c r="L1266" s="17"/>
    </row>
    <row r="1267" spans="1:12">
      <c r="A1267" s="50"/>
      <c r="B1267" s="49"/>
      <c r="C1267" s="14" t="s">
        <v>680</v>
      </c>
      <c r="D1267" s="20"/>
      <c r="F1267" s="20"/>
      <c r="H1267" s="25">
        <f>SUM(H1257:H1266)</f>
        <v>184632</v>
      </c>
      <c r="I1267" s="2"/>
      <c r="J1267" s="17"/>
      <c r="K1267" s="17"/>
      <c r="L1267" s="17"/>
    </row>
    <row r="1268" spans="1:12">
      <c r="A1268" s="50"/>
      <c r="B1268" s="49"/>
      <c r="C1268" s="14"/>
      <c r="D1268" s="20"/>
      <c r="F1268" s="20"/>
      <c r="H1268" s="25"/>
      <c r="I1268" s="2"/>
      <c r="J1268" s="17"/>
      <c r="K1268" s="17"/>
      <c r="L1268" s="17"/>
    </row>
    <row r="1269" spans="1:12">
      <c r="A1269" s="50"/>
      <c r="B1269" s="51"/>
      <c r="C1269" s="14" t="s">
        <v>681</v>
      </c>
      <c r="D1269" s="20"/>
      <c r="F1269" s="20"/>
      <c r="H1269" s="25">
        <f>H1224+H1229+H1234+H1239+H1244+H1249+H1254+H1267</f>
        <v>184632</v>
      </c>
      <c r="I1269" s="2"/>
      <c r="J1269" s="17"/>
      <c r="K1269" s="17"/>
      <c r="L1269" s="17"/>
    </row>
    <row r="1270" spans="1:12">
      <c r="A1270" s="50"/>
      <c r="B1270" s="51"/>
      <c r="C1270" s="14"/>
      <c r="D1270" s="20"/>
      <c r="F1270" s="20"/>
      <c r="H1270" s="20"/>
      <c r="I1270" s="2"/>
      <c r="J1270" s="17"/>
      <c r="K1270" s="17"/>
      <c r="L1270" s="17"/>
    </row>
    <row r="1271" spans="1:12">
      <c r="A1271" s="50"/>
      <c r="B1271" s="48" t="s">
        <v>682</v>
      </c>
      <c r="C1271" s="14" t="s">
        <v>683</v>
      </c>
      <c r="D1271" s="20"/>
      <c r="F1271" s="20"/>
      <c r="H1271" s="20"/>
      <c r="I1271" s="2"/>
      <c r="J1271" s="17"/>
      <c r="K1271" s="17"/>
      <c r="L1271" s="17"/>
    </row>
    <row r="1272" spans="1:12">
      <c r="A1272" s="50"/>
      <c r="B1272" s="49">
        <v>1</v>
      </c>
      <c r="C1272" s="19"/>
      <c r="D1272" s="20">
        <v>0</v>
      </c>
      <c r="E1272" s="21">
        <v>1</v>
      </c>
      <c r="F1272" s="20">
        <f>D1272*E1272</f>
        <v>0</v>
      </c>
      <c r="G1272" s="21">
        <v>101</v>
      </c>
      <c r="H1272" s="20">
        <f>F1272*G1272</f>
        <v>0</v>
      </c>
      <c r="I1272" s="2"/>
      <c r="J1272" s="17"/>
      <c r="K1272" s="17"/>
      <c r="L1272" s="17"/>
    </row>
    <row r="1273" spans="1:12">
      <c r="A1273" s="50"/>
      <c r="B1273" s="49">
        <v>2</v>
      </c>
      <c r="C1273" s="19"/>
      <c r="D1273" s="20">
        <v>0</v>
      </c>
      <c r="E1273" s="21">
        <v>1</v>
      </c>
      <c r="F1273" s="20">
        <f>D1273*E1273</f>
        <v>0</v>
      </c>
      <c r="G1273" s="21">
        <v>102</v>
      </c>
      <c r="H1273" s="20">
        <f>F1273*G1273</f>
        <v>0</v>
      </c>
      <c r="I1273" s="2"/>
      <c r="J1273" s="17"/>
      <c r="K1273" s="17"/>
      <c r="L1273" s="17"/>
    </row>
    <row r="1274" spans="1:12">
      <c r="A1274" s="50"/>
      <c r="B1274" s="49"/>
      <c r="C1274" s="14" t="s">
        <v>684</v>
      </c>
      <c r="D1274" s="20"/>
      <c r="F1274" s="20"/>
      <c r="H1274" s="25">
        <f>SUM(H1272:H1273)</f>
        <v>0</v>
      </c>
      <c r="I1274" s="2"/>
      <c r="J1274" s="17"/>
      <c r="K1274" s="17"/>
      <c r="L1274" s="17"/>
    </row>
    <row r="1275" spans="1:12">
      <c r="A1275" s="50"/>
      <c r="B1275" s="48"/>
      <c r="C1275" s="14"/>
      <c r="D1275" s="20"/>
      <c r="F1275" s="20"/>
      <c r="H1275" s="20"/>
      <c r="I1275" s="2"/>
      <c r="J1275" s="17"/>
      <c r="K1275" s="17"/>
      <c r="L1275" s="17"/>
    </row>
    <row r="1276" spans="1:12">
      <c r="A1276" s="50"/>
      <c r="B1276" s="51"/>
      <c r="C1276" s="14" t="s">
        <v>685</v>
      </c>
      <c r="D1276" s="20"/>
      <c r="F1276" s="20"/>
      <c r="H1276" s="20"/>
      <c r="I1276" s="2"/>
      <c r="J1276" s="17"/>
      <c r="K1276" s="17"/>
      <c r="L1276" s="17"/>
    </row>
    <row r="1277" spans="1:12">
      <c r="A1277" s="50"/>
      <c r="B1277" s="49">
        <v>1</v>
      </c>
      <c r="C1277" s="19"/>
      <c r="D1277" s="20">
        <v>0</v>
      </c>
      <c r="E1277" s="21">
        <v>1</v>
      </c>
      <c r="F1277" s="20">
        <f>D1277*E1277</f>
        <v>0</v>
      </c>
      <c r="G1277" s="21">
        <v>101</v>
      </c>
      <c r="H1277" s="20">
        <f>F1277*G1277</f>
        <v>0</v>
      </c>
      <c r="I1277" s="2"/>
      <c r="J1277" s="17"/>
      <c r="K1277" s="17"/>
      <c r="L1277" s="17"/>
    </row>
    <row r="1278" spans="1:12">
      <c r="A1278" s="50"/>
      <c r="B1278" s="49">
        <v>2</v>
      </c>
      <c r="C1278" s="19"/>
      <c r="D1278" s="20">
        <v>0</v>
      </c>
      <c r="E1278" s="21">
        <v>1</v>
      </c>
      <c r="F1278" s="20">
        <f>D1278*E1278</f>
        <v>0</v>
      </c>
      <c r="G1278" s="21">
        <v>102</v>
      </c>
      <c r="H1278" s="20">
        <f>F1278*G1278</f>
        <v>0</v>
      </c>
      <c r="I1278" s="2"/>
      <c r="J1278" s="17"/>
      <c r="K1278" s="17"/>
      <c r="L1278" s="17"/>
    </row>
    <row r="1279" spans="1:12">
      <c r="A1279" s="50"/>
      <c r="B1279" s="49"/>
      <c r="C1279" s="14" t="s">
        <v>686</v>
      </c>
      <c r="D1279" s="20"/>
      <c r="F1279" s="20"/>
      <c r="H1279" s="25">
        <f>SUM(H1277:H1278)</f>
        <v>0</v>
      </c>
      <c r="I1279" s="2"/>
      <c r="J1279" s="17"/>
      <c r="K1279" s="17"/>
      <c r="L1279" s="17"/>
    </row>
    <row r="1280" spans="1:12">
      <c r="A1280" s="50"/>
      <c r="B1280" s="51"/>
      <c r="C1280" s="14"/>
      <c r="D1280" s="20"/>
      <c r="F1280" s="20"/>
      <c r="H1280" s="20"/>
      <c r="I1280" s="2"/>
      <c r="J1280" s="17"/>
      <c r="K1280" s="17"/>
      <c r="L1280" s="17"/>
    </row>
    <row r="1281" spans="1:12">
      <c r="A1281" s="50"/>
      <c r="B1281" s="51"/>
      <c r="C1281" s="14" t="s">
        <v>687</v>
      </c>
      <c r="D1281" s="20"/>
      <c r="F1281" s="20"/>
      <c r="H1281" s="20"/>
      <c r="I1281" s="2"/>
      <c r="J1281" s="17"/>
      <c r="K1281" s="17"/>
      <c r="L1281" s="17"/>
    </row>
    <row r="1282" spans="1:12">
      <c r="A1282" s="50"/>
      <c r="B1282" s="49">
        <v>1</v>
      </c>
      <c r="C1282" s="19"/>
      <c r="D1282" s="20">
        <v>0</v>
      </c>
      <c r="E1282" s="21">
        <v>1</v>
      </c>
      <c r="F1282" s="20">
        <f>D1282*E1282</f>
        <v>0</v>
      </c>
      <c r="G1282" s="21">
        <v>101</v>
      </c>
      <c r="H1282" s="20">
        <f>F1282*G1282</f>
        <v>0</v>
      </c>
      <c r="I1282" s="2"/>
      <c r="J1282" s="17"/>
      <c r="K1282" s="17"/>
      <c r="L1282" s="17"/>
    </row>
    <row r="1283" spans="1:12">
      <c r="A1283" s="50"/>
      <c r="B1283" s="49">
        <v>2</v>
      </c>
      <c r="C1283" s="19"/>
      <c r="D1283" s="20">
        <v>0</v>
      </c>
      <c r="E1283" s="21">
        <v>1</v>
      </c>
      <c r="F1283" s="20">
        <f>D1283*E1283</f>
        <v>0</v>
      </c>
      <c r="G1283" s="21">
        <v>102</v>
      </c>
      <c r="H1283" s="20">
        <f>F1283*G1283</f>
        <v>0</v>
      </c>
      <c r="I1283" s="2"/>
      <c r="J1283" s="17"/>
      <c r="K1283" s="17"/>
      <c r="L1283" s="17"/>
    </row>
    <row r="1284" spans="1:12">
      <c r="A1284" s="50"/>
      <c r="B1284" s="49"/>
      <c r="C1284" s="14" t="s">
        <v>688</v>
      </c>
      <c r="D1284" s="20"/>
      <c r="F1284" s="20"/>
      <c r="H1284" s="25">
        <f>SUM(H1282:H1283)</f>
        <v>0</v>
      </c>
      <c r="I1284" s="2"/>
      <c r="J1284" s="17"/>
      <c r="K1284" s="17"/>
      <c r="L1284" s="17"/>
    </row>
    <row r="1285" spans="1:12">
      <c r="A1285" s="50"/>
      <c r="B1285" s="51"/>
      <c r="C1285" s="14"/>
      <c r="D1285" s="20"/>
      <c r="F1285" s="20"/>
      <c r="H1285" s="20"/>
      <c r="I1285" s="2"/>
      <c r="J1285" s="17"/>
      <c r="K1285" s="17"/>
      <c r="L1285" s="17"/>
    </row>
    <row r="1286" spans="1:12">
      <c r="A1286" s="50"/>
      <c r="B1286" s="51"/>
      <c r="C1286" s="14" t="s">
        <v>689</v>
      </c>
      <c r="D1286" s="20"/>
      <c r="F1286" s="20"/>
      <c r="H1286" s="20"/>
      <c r="I1286" s="2"/>
      <c r="J1286" s="17"/>
      <c r="K1286" s="17"/>
      <c r="L1286" s="17"/>
    </row>
    <row r="1287" spans="1:12">
      <c r="A1287" s="50"/>
      <c r="B1287" s="49">
        <v>1</v>
      </c>
      <c r="C1287" s="19"/>
      <c r="D1287" s="20">
        <v>0</v>
      </c>
      <c r="E1287" s="21">
        <v>1</v>
      </c>
      <c r="F1287" s="20">
        <f>D1287*E1287</f>
        <v>0</v>
      </c>
      <c r="G1287" s="21">
        <v>101</v>
      </c>
      <c r="H1287" s="20">
        <f>F1287*G1287</f>
        <v>0</v>
      </c>
      <c r="I1287" s="2"/>
      <c r="J1287" s="17"/>
      <c r="K1287" s="17"/>
      <c r="L1287" s="17"/>
    </row>
    <row r="1288" spans="1:12">
      <c r="A1288" s="50"/>
      <c r="B1288" s="49">
        <v>2</v>
      </c>
      <c r="C1288" s="19"/>
      <c r="D1288" s="20">
        <v>0</v>
      </c>
      <c r="E1288" s="21">
        <v>1</v>
      </c>
      <c r="F1288" s="20">
        <f>D1288*E1288</f>
        <v>0</v>
      </c>
      <c r="G1288" s="21">
        <v>102</v>
      </c>
      <c r="H1288" s="20">
        <f>F1288*G1288</f>
        <v>0</v>
      </c>
      <c r="I1288" s="2"/>
      <c r="J1288" s="17"/>
      <c r="K1288" s="17"/>
      <c r="L1288" s="17"/>
    </row>
    <row r="1289" spans="1:12">
      <c r="A1289" s="50"/>
      <c r="B1289" s="49"/>
      <c r="C1289" s="14" t="s">
        <v>690</v>
      </c>
      <c r="D1289" s="20"/>
      <c r="F1289" s="20"/>
      <c r="H1289" s="25">
        <f>SUM(H1287:H1288)</f>
        <v>0</v>
      </c>
      <c r="I1289" s="2"/>
      <c r="J1289" s="17"/>
      <c r="K1289" s="17"/>
      <c r="L1289" s="17"/>
    </row>
    <row r="1290" spans="1:12">
      <c r="A1290" s="50"/>
      <c r="B1290" s="51"/>
      <c r="C1290" s="14"/>
      <c r="D1290" s="20"/>
      <c r="F1290" s="20"/>
      <c r="H1290" s="20"/>
      <c r="I1290" s="2"/>
      <c r="J1290" s="17"/>
      <c r="K1290" s="17"/>
      <c r="L1290" s="17"/>
    </row>
    <row r="1291" spans="1:12">
      <c r="A1291" s="50"/>
      <c r="B1291" s="51"/>
      <c r="C1291" s="14" t="s">
        <v>691</v>
      </c>
      <c r="D1291" s="20"/>
      <c r="F1291" s="20"/>
      <c r="H1291" s="20"/>
      <c r="I1291" s="2"/>
      <c r="J1291" s="17"/>
      <c r="K1291" s="17"/>
      <c r="L1291" s="17"/>
    </row>
    <row r="1292" spans="1:12">
      <c r="A1292" s="50"/>
      <c r="B1292" s="49">
        <v>1</v>
      </c>
      <c r="C1292" s="19"/>
      <c r="D1292" s="20">
        <v>0</v>
      </c>
      <c r="E1292" s="21">
        <v>1</v>
      </c>
      <c r="F1292" s="20">
        <f>D1292*E1292</f>
        <v>0</v>
      </c>
      <c r="G1292" s="21">
        <v>101</v>
      </c>
      <c r="H1292" s="20">
        <f>F1292*G1292</f>
        <v>0</v>
      </c>
      <c r="I1292" s="2"/>
      <c r="J1292" s="17"/>
      <c r="K1292" s="17"/>
      <c r="L1292" s="17"/>
    </row>
    <row r="1293" spans="1:12">
      <c r="A1293" s="50"/>
      <c r="B1293" s="49">
        <v>2</v>
      </c>
      <c r="C1293" s="19"/>
      <c r="D1293" s="20">
        <v>0</v>
      </c>
      <c r="E1293" s="21">
        <v>1</v>
      </c>
      <c r="F1293" s="20">
        <f>D1293*E1293</f>
        <v>0</v>
      </c>
      <c r="G1293" s="21">
        <v>102</v>
      </c>
      <c r="H1293" s="20">
        <f>F1293*G1293</f>
        <v>0</v>
      </c>
      <c r="I1293" s="2"/>
      <c r="J1293" s="17"/>
      <c r="K1293" s="17"/>
      <c r="L1293" s="17"/>
    </row>
    <row r="1294" spans="1:12">
      <c r="A1294" s="50"/>
      <c r="B1294" s="49"/>
      <c r="C1294" s="14" t="s">
        <v>692</v>
      </c>
      <c r="D1294" s="20"/>
      <c r="F1294" s="20"/>
      <c r="H1294" s="25">
        <f>SUM(H1292:H1293)</f>
        <v>0</v>
      </c>
      <c r="I1294" s="2"/>
      <c r="J1294" s="17"/>
      <c r="K1294" s="17"/>
      <c r="L1294" s="17"/>
    </row>
    <row r="1295" spans="1:12">
      <c r="A1295" s="50"/>
      <c r="B1295" s="51"/>
      <c r="C1295" s="14"/>
      <c r="D1295" s="20"/>
      <c r="F1295" s="20"/>
      <c r="H1295" s="20"/>
      <c r="I1295" s="2"/>
      <c r="J1295" s="17"/>
      <c r="K1295" s="17"/>
      <c r="L1295" s="17"/>
    </row>
    <row r="1296" spans="1:12">
      <c r="A1296" s="50"/>
      <c r="B1296" s="51"/>
      <c r="C1296" s="14" t="s">
        <v>693</v>
      </c>
      <c r="D1296" s="20"/>
      <c r="F1296" s="20"/>
      <c r="H1296" s="20"/>
      <c r="I1296" s="2"/>
      <c r="J1296" s="17"/>
      <c r="K1296" s="17"/>
      <c r="L1296" s="17"/>
    </row>
    <row r="1297" spans="1:12">
      <c r="A1297" s="50"/>
      <c r="B1297" s="49">
        <v>1</v>
      </c>
      <c r="C1297" s="19" t="s">
        <v>281</v>
      </c>
      <c r="D1297" s="20">
        <v>0</v>
      </c>
      <c r="E1297" s="21">
        <v>1</v>
      </c>
      <c r="F1297" s="20">
        <f>D1297*E1297</f>
        <v>0</v>
      </c>
      <c r="G1297" s="21">
        <v>25000</v>
      </c>
      <c r="H1297" s="20">
        <f>F1297*G1297</f>
        <v>0</v>
      </c>
      <c r="I1297" s="2"/>
      <c r="J1297" s="17"/>
      <c r="K1297" s="17"/>
      <c r="L1297" s="17"/>
    </row>
    <row r="1298" spans="1:12">
      <c r="A1298" s="50"/>
      <c r="B1298" s="49">
        <v>2</v>
      </c>
      <c r="C1298" s="19" t="s">
        <v>282</v>
      </c>
      <c r="D1298" s="20">
        <v>0</v>
      </c>
      <c r="E1298" s="21">
        <v>1</v>
      </c>
      <c r="F1298" s="20">
        <f t="shared" ref="F1298:F1306" si="134">D1298*E1298</f>
        <v>0</v>
      </c>
      <c r="G1298" s="21">
        <v>25000</v>
      </c>
      <c r="H1298" s="20">
        <f t="shared" ref="H1298:H1306" si="135">F1298*G1298</f>
        <v>0</v>
      </c>
      <c r="I1298" s="2"/>
      <c r="J1298" s="17"/>
      <c r="K1298" s="17"/>
      <c r="L1298" s="17"/>
    </row>
    <row r="1299" spans="1:12">
      <c r="A1299" s="50"/>
      <c r="B1299" s="49">
        <v>3</v>
      </c>
      <c r="C1299" s="19" t="s">
        <v>283</v>
      </c>
      <c r="D1299" s="20">
        <v>0</v>
      </c>
      <c r="E1299" s="21">
        <v>1</v>
      </c>
      <c r="F1299" s="20">
        <f t="shared" si="134"/>
        <v>0</v>
      </c>
      <c r="G1299" s="21">
        <v>50000</v>
      </c>
      <c r="H1299" s="20">
        <f t="shared" si="135"/>
        <v>0</v>
      </c>
      <c r="I1299" s="2"/>
      <c r="J1299" s="17"/>
      <c r="K1299" s="17"/>
      <c r="L1299" s="17"/>
    </row>
    <row r="1300" spans="1:12">
      <c r="A1300" s="50"/>
      <c r="B1300" s="49">
        <v>4</v>
      </c>
      <c r="C1300" s="19" t="s">
        <v>284</v>
      </c>
      <c r="D1300" s="20">
        <v>0</v>
      </c>
      <c r="E1300" s="21">
        <v>1</v>
      </c>
      <c r="F1300" s="20">
        <f t="shared" si="134"/>
        <v>0</v>
      </c>
      <c r="G1300" s="21">
        <v>40000</v>
      </c>
      <c r="H1300" s="20">
        <f t="shared" si="135"/>
        <v>0</v>
      </c>
      <c r="I1300" s="2"/>
      <c r="J1300" s="17"/>
      <c r="K1300" s="17"/>
      <c r="L1300" s="17"/>
    </row>
    <row r="1301" spans="1:12">
      <c r="A1301" s="50"/>
      <c r="B1301" s="49">
        <v>5</v>
      </c>
      <c r="C1301" s="19" t="s">
        <v>694</v>
      </c>
      <c r="D1301" s="20">
        <v>0</v>
      </c>
      <c r="E1301" s="21">
        <v>1</v>
      </c>
      <c r="F1301" s="20">
        <f t="shared" si="134"/>
        <v>0</v>
      </c>
      <c r="G1301" s="21">
        <v>200000</v>
      </c>
      <c r="H1301" s="20">
        <f t="shared" si="135"/>
        <v>0</v>
      </c>
      <c r="I1301" s="2"/>
      <c r="J1301" s="17"/>
      <c r="K1301" s="17"/>
      <c r="L1301" s="17"/>
    </row>
    <row r="1302" spans="1:12">
      <c r="A1302" s="50"/>
      <c r="B1302" s="49">
        <v>6</v>
      </c>
      <c r="C1302" s="19" t="s">
        <v>569</v>
      </c>
      <c r="D1302" s="20">
        <v>0</v>
      </c>
      <c r="E1302" s="21">
        <v>1</v>
      </c>
      <c r="F1302" s="20">
        <f t="shared" si="134"/>
        <v>0</v>
      </c>
      <c r="G1302" s="21">
        <v>106</v>
      </c>
      <c r="H1302" s="20">
        <f t="shared" si="135"/>
        <v>0</v>
      </c>
      <c r="I1302" s="2"/>
      <c r="J1302" s="17"/>
      <c r="K1302" s="17"/>
      <c r="L1302" s="17"/>
    </row>
    <row r="1303" spans="1:12">
      <c r="A1303" s="50"/>
      <c r="B1303" s="49">
        <v>7</v>
      </c>
      <c r="C1303" s="19" t="s">
        <v>570</v>
      </c>
      <c r="D1303" s="20">
        <v>0</v>
      </c>
      <c r="E1303" s="21">
        <v>1</v>
      </c>
      <c r="F1303" s="20">
        <f t="shared" si="134"/>
        <v>0</v>
      </c>
      <c r="G1303" s="21">
        <v>107</v>
      </c>
      <c r="H1303" s="20">
        <f t="shared" si="135"/>
        <v>0</v>
      </c>
      <c r="I1303" s="2"/>
      <c r="J1303" s="17"/>
      <c r="K1303" s="17"/>
      <c r="L1303" s="17"/>
    </row>
    <row r="1304" spans="1:12">
      <c r="A1304" s="50"/>
      <c r="B1304" s="49">
        <v>8</v>
      </c>
      <c r="C1304" s="19" t="s">
        <v>285</v>
      </c>
      <c r="D1304" s="20">
        <v>0</v>
      </c>
      <c r="E1304" s="21">
        <v>1</v>
      </c>
      <c r="F1304" s="20">
        <f t="shared" si="134"/>
        <v>0</v>
      </c>
      <c r="G1304" s="21">
        <v>290000</v>
      </c>
      <c r="H1304" s="20">
        <f t="shared" si="135"/>
        <v>0</v>
      </c>
      <c r="I1304" s="2"/>
      <c r="J1304" s="17"/>
      <c r="K1304" s="17"/>
      <c r="L1304" s="17"/>
    </row>
    <row r="1305" spans="1:12">
      <c r="A1305" s="50"/>
      <c r="B1305" s="49">
        <v>9</v>
      </c>
      <c r="C1305" s="19"/>
      <c r="D1305" s="20">
        <v>0</v>
      </c>
      <c r="E1305" s="21">
        <v>1</v>
      </c>
      <c r="F1305" s="20">
        <f t="shared" si="134"/>
        <v>0</v>
      </c>
      <c r="G1305" s="21">
        <v>109</v>
      </c>
      <c r="H1305" s="20">
        <f t="shared" si="135"/>
        <v>0</v>
      </c>
      <c r="I1305" s="2"/>
      <c r="J1305" s="17"/>
      <c r="K1305" s="17"/>
      <c r="L1305" s="17"/>
    </row>
    <row r="1306" spans="1:12">
      <c r="A1306" s="50"/>
      <c r="B1306" s="49">
        <v>10</v>
      </c>
      <c r="C1306" s="19"/>
      <c r="D1306" s="20">
        <v>0</v>
      </c>
      <c r="E1306" s="21">
        <v>1</v>
      </c>
      <c r="F1306" s="20">
        <f t="shared" si="134"/>
        <v>0</v>
      </c>
      <c r="G1306" s="21">
        <v>110</v>
      </c>
      <c r="H1306" s="20">
        <f t="shared" si="135"/>
        <v>0</v>
      </c>
      <c r="I1306" s="2"/>
      <c r="J1306" s="17"/>
      <c r="K1306" s="17"/>
      <c r="L1306" s="17"/>
    </row>
    <row r="1307" spans="1:12">
      <c r="A1307" s="50"/>
      <c r="B1307" s="49">
        <v>11</v>
      </c>
      <c r="C1307" s="19"/>
      <c r="D1307" s="20">
        <v>0</v>
      </c>
      <c r="E1307" s="21">
        <v>1</v>
      </c>
      <c r="F1307" s="20">
        <f>D1307*E1307</f>
        <v>0</v>
      </c>
      <c r="G1307" s="21">
        <v>102</v>
      </c>
      <c r="H1307" s="20">
        <f>F1307*G1307</f>
        <v>0</v>
      </c>
      <c r="I1307" s="2"/>
      <c r="J1307" s="17"/>
      <c r="K1307" s="17"/>
      <c r="L1307" s="17"/>
    </row>
    <row r="1308" spans="1:12">
      <c r="A1308" s="50"/>
      <c r="B1308" s="49"/>
      <c r="C1308" s="14" t="s">
        <v>695</v>
      </c>
      <c r="D1308" s="20"/>
      <c r="F1308" s="20"/>
      <c r="H1308" s="25">
        <f>SUM(H1297:H1307)</f>
        <v>0</v>
      </c>
      <c r="I1308" s="2"/>
      <c r="J1308" s="17"/>
      <c r="K1308" s="17"/>
      <c r="L1308" s="17"/>
    </row>
    <row r="1309" spans="1:12">
      <c r="A1309" s="50"/>
      <c r="B1309" s="51"/>
      <c r="C1309" s="14"/>
      <c r="D1309" s="20"/>
      <c r="F1309" s="20"/>
      <c r="H1309" s="20"/>
      <c r="I1309" s="2"/>
      <c r="J1309" s="17"/>
      <c r="K1309" s="17"/>
      <c r="L1309" s="17"/>
    </row>
    <row r="1310" spans="1:12">
      <c r="A1310" s="50"/>
      <c r="B1310" s="51"/>
      <c r="C1310" s="14" t="s">
        <v>696</v>
      </c>
      <c r="D1310" s="20"/>
      <c r="F1310" s="20"/>
      <c r="H1310" s="20"/>
      <c r="I1310" s="2"/>
      <c r="J1310" s="17"/>
      <c r="K1310" s="17"/>
      <c r="L1310" s="17"/>
    </row>
    <row r="1311" spans="1:12">
      <c r="A1311" s="50"/>
      <c r="B1311" s="49">
        <v>1</v>
      </c>
      <c r="C1311" s="19" t="s">
        <v>287</v>
      </c>
      <c r="D1311" s="20">
        <v>0</v>
      </c>
      <c r="E1311" s="21">
        <v>1</v>
      </c>
      <c r="F1311" s="20">
        <f>D1311*E1311</f>
        <v>0</v>
      </c>
      <c r="G1311" s="69">
        <v>22076</v>
      </c>
      <c r="H1311" s="20">
        <f>F1311*G1311</f>
        <v>0</v>
      </c>
      <c r="I1311" s="2"/>
      <c r="J1311" s="17"/>
      <c r="K1311" s="17"/>
      <c r="L1311" s="17"/>
    </row>
    <row r="1312" spans="1:12">
      <c r="A1312" s="50"/>
      <c r="B1312" s="49">
        <v>2</v>
      </c>
      <c r="C1312" s="19" t="s">
        <v>219</v>
      </c>
      <c r="D1312" s="20">
        <v>4</v>
      </c>
      <c r="E1312" s="21">
        <v>1</v>
      </c>
      <c r="F1312" s="20">
        <f t="shared" ref="F1312:F1353" si="136">D1312*E1312</f>
        <v>4</v>
      </c>
      <c r="G1312" s="69">
        <v>12507</v>
      </c>
      <c r="H1312" s="20">
        <f t="shared" ref="H1312:H1353" si="137">F1312*G1312</f>
        <v>50028</v>
      </c>
      <c r="I1312" s="2"/>
      <c r="J1312" s="17"/>
      <c r="K1312" s="17"/>
      <c r="L1312" s="17"/>
    </row>
    <row r="1313" spans="1:12">
      <c r="A1313" s="50"/>
      <c r="B1313" s="49">
        <v>3</v>
      </c>
      <c r="C1313" s="19" t="s">
        <v>223</v>
      </c>
      <c r="D1313" s="20">
        <v>0</v>
      </c>
      <c r="E1313" s="21">
        <v>1</v>
      </c>
      <c r="F1313" s="20">
        <f t="shared" si="136"/>
        <v>0</v>
      </c>
      <c r="G1313" s="69">
        <v>31769</v>
      </c>
      <c r="H1313" s="20">
        <f t="shared" si="137"/>
        <v>0</v>
      </c>
      <c r="I1313" s="2"/>
      <c r="J1313" s="17"/>
      <c r="K1313" s="17"/>
      <c r="L1313" s="17"/>
    </row>
    <row r="1314" spans="1:12">
      <c r="A1314" s="50"/>
      <c r="B1314" s="49">
        <v>4</v>
      </c>
      <c r="C1314" s="19" t="s">
        <v>288</v>
      </c>
      <c r="D1314" s="20">
        <v>4</v>
      </c>
      <c r="E1314" s="21">
        <v>1</v>
      </c>
      <c r="F1314" s="20">
        <f t="shared" si="136"/>
        <v>4</v>
      </c>
      <c r="G1314" s="69">
        <v>11538</v>
      </c>
      <c r="H1314" s="20">
        <f t="shared" si="137"/>
        <v>46152</v>
      </c>
      <c r="I1314" s="2"/>
      <c r="J1314" s="17"/>
      <c r="K1314" s="17"/>
      <c r="L1314" s="17"/>
    </row>
    <row r="1315" spans="1:12">
      <c r="A1315" s="50"/>
      <c r="B1315" s="49">
        <v>5</v>
      </c>
      <c r="C1315" s="19" t="s">
        <v>220</v>
      </c>
      <c r="D1315" s="20">
        <v>4</v>
      </c>
      <c r="E1315" s="21">
        <v>1</v>
      </c>
      <c r="F1315" s="20">
        <f t="shared" si="136"/>
        <v>4</v>
      </c>
      <c r="G1315" s="69">
        <v>12507</v>
      </c>
      <c r="H1315" s="20">
        <f t="shared" si="137"/>
        <v>50028</v>
      </c>
      <c r="I1315" s="2"/>
      <c r="J1315" s="17"/>
      <c r="K1315" s="17"/>
      <c r="L1315" s="17"/>
    </row>
    <row r="1316" spans="1:12">
      <c r="A1316" s="50"/>
      <c r="B1316" s="49">
        <v>6</v>
      </c>
      <c r="C1316" s="19" t="s">
        <v>221</v>
      </c>
      <c r="D1316" s="20">
        <v>4</v>
      </c>
      <c r="E1316" s="21">
        <v>1</v>
      </c>
      <c r="F1316" s="20">
        <f t="shared" si="136"/>
        <v>4</v>
      </c>
      <c r="G1316" s="69">
        <v>12507</v>
      </c>
      <c r="H1316" s="20">
        <f t="shared" si="137"/>
        <v>50028</v>
      </c>
      <c r="I1316" s="2"/>
      <c r="J1316" s="17"/>
      <c r="K1316" s="17"/>
      <c r="L1316" s="17"/>
    </row>
    <row r="1317" spans="1:12">
      <c r="A1317" s="50"/>
      <c r="B1317" s="49">
        <v>7</v>
      </c>
      <c r="C1317" s="19" t="s">
        <v>289</v>
      </c>
      <c r="D1317" s="20">
        <v>4</v>
      </c>
      <c r="E1317" s="21">
        <v>1</v>
      </c>
      <c r="F1317" s="20">
        <f t="shared" si="136"/>
        <v>4</v>
      </c>
      <c r="G1317" s="69">
        <v>12507</v>
      </c>
      <c r="H1317" s="20">
        <f t="shared" si="137"/>
        <v>50028</v>
      </c>
      <c r="I1317" s="2"/>
      <c r="J1317" s="17"/>
      <c r="K1317" s="17"/>
      <c r="L1317" s="17"/>
    </row>
    <row r="1318" spans="1:12">
      <c r="A1318" s="50"/>
      <c r="B1318" s="49">
        <v>8</v>
      </c>
      <c r="C1318" s="19" t="s">
        <v>290</v>
      </c>
      <c r="D1318" s="20">
        <v>0</v>
      </c>
      <c r="E1318" s="21">
        <v>1</v>
      </c>
      <c r="F1318" s="20">
        <f t="shared" si="136"/>
        <v>0</v>
      </c>
      <c r="G1318" s="69">
        <v>12507</v>
      </c>
      <c r="H1318" s="20">
        <f t="shared" si="137"/>
        <v>0</v>
      </c>
      <c r="I1318" s="2"/>
      <c r="J1318" s="17"/>
      <c r="K1318" s="17"/>
      <c r="L1318" s="17"/>
    </row>
    <row r="1319" spans="1:12">
      <c r="A1319" s="50"/>
      <c r="B1319" s="49">
        <v>9</v>
      </c>
      <c r="C1319" s="19" t="s">
        <v>291</v>
      </c>
      <c r="D1319" s="20">
        <v>4</v>
      </c>
      <c r="E1319" s="21">
        <v>1</v>
      </c>
      <c r="F1319" s="20">
        <f t="shared" si="136"/>
        <v>4</v>
      </c>
      <c r="G1319" s="69">
        <v>12507</v>
      </c>
      <c r="H1319" s="20">
        <f t="shared" si="137"/>
        <v>50028</v>
      </c>
      <c r="I1319" s="2"/>
      <c r="J1319" s="17"/>
      <c r="K1319" s="17"/>
      <c r="L1319" s="17"/>
    </row>
    <row r="1320" spans="1:12">
      <c r="A1320" s="50"/>
      <c r="B1320" s="49">
        <v>10</v>
      </c>
      <c r="C1320" s="19" t="s">
        <v>292</v>
      </c>
      <c r="D1320" s="20">
        <v>4</v>
      </c>
      <c r="E1320" s="21">
        <v>1</v>
      </c>
      <c r="F1320" s="20">
        <f t="shared" si="136"/>
        <v>4</v>
      </c>
      <c r="G1320" s="69">
        <v>12507</v>
      </c>
      <c r="H1320" s="20">
        <f t="shared" si="137"/>
        <v>50028</v>
      </c>
      <c r="I1320" s="2"/>
      <c r="J1320" s="17"/>
      <c r="K1320" s="17"/>
      <c r="L1320" s="17"/>
    </row>
    <row r="1321" spans="1:12">
      <c r="A1321" s="50"/>
      <c r="B1321" s="49">
        <v>11</v>
      </c>
      <c r="C1321" s="19" t="s">
        <v>293</v>
      </c>
      <c r="D1321" s="20">
        <v>4</v>
      </c>
      <c r="E1321" s="21">
        <v>1</v>
      </c>
      <c r="F1321" s="20">
        <f t="shared" si="136"/>
        <v>4</v>
      </c>
      <c r="G1321" s="69">
        <v>12507</v>
      </c>
      <c r="H1321" s="20">
        <f t="shared" si="137"/>
        <v>50028</v>
      </c>
      <c r="I1321" s="2"/>
      <c r="J1321" s="17"/>
      <c r="K1321" s="17"/>
      <c r="L1321" s="17"/>
    </row>
    <row r="1322" spans="1:12">
      <c r="A1322" s="50"/>
      <c r="B1322" s="49">
        <v>12</v>
      </c>
      <c r="C1322" s="19" t="s">
        <v>294</v>
      </c>
      <c r="D1322" s="20">
        <v>4</v>
      </c>
      <c r="E1322" s="21">
        <v>1</v>
      </c>
      <c r="F1322" s="20">
        <f t="shared" si="136"/>
        <v>4</v>
      </c>
      <c r="G1322" s="69">
        <v>12507</v>
      </c>
      <c r="H1322" s="20">
        <f t="shared" si="137"/>
        <v>50028</v>
      </c>
      <c r="I1322" s="2"/>
      <c r="J1322" s="17"/>
      <c r="K1322" s="17"/>
      <c r="L1322" s="17"/>
    </row>
    <row r="1323" spans="1:12">
      <c r="A1323" s="50"/>
      <c r="B1323" s="49">
        <v>13</v>
      </c>
      <c r="C1323" s="19" t="s">
        <v>295</v>
      </c>
      <c r="D1323" s="20">
        <v>4</v>
      </c>
      <c r="E1323" s="21">
        <v>1</v>
      </c>
      <c r="F1323" s="20">
        <f t="shared" si="136"/>
        <v>4</v>
      </c>
      <c r="G1323" s="69">
        <v>12507</v>
      </c>
      <c r="H1323" s="20">
        <f t="shared" si="137"/>
        <v>50028</v>
      </c>
      <c r="I1323" s="2"/>
      <c r="J1323" s="17"/>
      <c r="K1323" s="17"/>
      <c r="L1323" s="17"/>
    </row>
    <row r="1324" spans="1:12">
      <c r="A1324" s="50"/>
      <c r="B1324" s="49">
        <v>14</v>
      </c>
      <c r="C1324" s="19" t="s">
        <v>296</v>
      </c>
      <c r="D1324" s="20">
        <v>0</v>
      </c>
      <c r="E1324" s="21">
        <v>1</v>
      </c>
      <c r="F1324" s="20">
        <f t="shared" si="136"/>
        <v>0</v>
      </c>
      <c r="G1324" s="69">
        <v>12507</v>
      </c>
      <c r="H1324" s="20">
        <f t="shared" si="137"/>
        <v>0</v>
      </c>
      <c r="I1324" s="2"/>
      <c r="J1324" s="17"/>
      <c r="K1324" s="17"/>
      <c r="L1324" s="17"/>
    </row>
    <row r="1325" spans="1:12">
      <c r="A1325" s="50"/>
      <c r="B1325" s="49">
        <v>15</v>
      </c>
      <c r="C1325" s="19" t="s">
        <v>297</v>
      </c>
      <c r="D1325" s="20">
        <v>4</v>
      </c>
      <c r="E1325" s="21">
        <v>1</v>
      </c>
      <c r="F1325" s="20">
        <f t="shared" si="136"/>
        <v>4</v>
      </c>
      <c r="G1325" s="69">
        <v>12507</v>
      </c>
      <c r="H1325" s="20">
        <f t="shared" si="137"/>
        <v>50028</v>
      </c>
      <c r="I1325" s="2"/>
      <c r="J1325" s="17"/>
      <c r="K1325" s="17"/>
      <c r="L1325" s="17"/>
    </row>
    <row r="1326" spans="1:12">
      <c r="A1326" s="50"/>
      <c r="B1326" s="49">
        <v>16</v>
      </c>
      <c r="C1326" s="19" t="s">
        <v>298</v>
      </c>
      <c r="D1326" s="20">
        <v>0</v>
      </c>
      <c r="E1326" s="21">
        <v>1</v>
      </c>
      <c r="F1326" s="20">
        <f t="shared" si="136"/>
        <v>0</v>
      </c>
      <c r="G1326" s="69">
        <v>12507</v>
      </c>
      <c r="H1326" s="20">
        <f t="shared" si="137"/>
        <v>0</v>
      </c>
      <c r="I1326" s="2"/>
      <c r="J1326" s="17"/>
      <c r="K1326" s="17"/>
      <c r="L1326" s="17"/>
    </row>
    <row r="1327" spans="1:12">
      <c r="A1327" s="50"/>
      <c r="B1327" s="49">
        <v>17</v>
      </c>
      <c r="C1327" s="19" t="s">
        <v>299</v>
      </c>
      <c r="D1327" s="20">
        <v>0</v>
      </c>
      <c r="E1327" s="21">
        <v>1</v>
      </c>
      <c r="F1327" s="20">
        <f t="shared" si="136"/>
        <v>0</v>
      </c>
      <c r="G1327" s="69">
        <v>12507</v>
      </c>
      <c r="H1327" s="20">
        <f t="shared" si="137"/>
        <v>0</v>
      </c>
      <c r="I1327" s="2"/>
      <c r="J1327" s="17"/>
      <c r="K1327" s="17"/>
      <c r="L1327" s="17"/>
    </row>
    <row r="1328" spans="1:12">
      <c r="A1328" s="50"/>
      <c r="B1328" s="49">
        <v>18</v>
      </c>
      <c r="C1328" s="19" t="s">
        <v>300</v>
      </c>
      <c r="D1328" s="20">
        <v>0</v>
      </c>
      <c r="E1328" s="21">
        <v>1</v>
      </c>
      <c r="F1328" s="20">
        <f t="shared" si="136"/>
        <v>0</v>
      </c>
      <c r="G1328" s="69">
        <v>12507</v>
      </c>
      <c r="H1328" s="20">
        <f t="shared" si="137"/>
        <v>0</v>
      </c>
      <c r="I1328" s="2"/>
      <c r="J1328" s="17"/>
      <c r="K1328" s="17"/>
      <c r="L1328" s="17"/>
    </row>
    <row r="1329" spans="1:12">
      <c r="A1329" s="50"/>
      <c r="B1329" s="49">
        <v>19</v>
      </c>
      <c r="C1329" s="19" t="s">
        <v>301</v>
      </c>
      <c r="D1329" s="20">
        <v>4</v>
      </c>
      <c r="E1329" s="21">
        <v>1</v>
      </c>
      <c r="F1329" s="20">
        <f t="shared" si="136"/>
        <v>4</v>
      </c>
      <c r="G1329" s="69">
        <v>12507</v>
      </c>
      <c r="H1329" s="20">
        <f t="shared" si="137"/>
        <v>50028</v>
      </c>
      <c r="I1329" s="2"/>
      <c r="J1329" s="17"/>
      <c r="K1329" s="17"/>
      <c r="L1329" s="17"/>
    </row>
    <row r="1330" spans="1:12">
      <c r="A1330" s="50"/>
      <c r="B1330" s="49">
        <v>20</v>
      </c>
      <c r="C1330" s="19" t="s">
        <v>302</v>
      </c>
      <c r="D1330" s="20">
        <v>0</v>
      </c>
      <c r="E1330" s="21">
        <v>1</v>
      </c>
      <c r="F1330" s="20">
        <f t="shared" si="136"/>
        <v>0</v>
      </c>
      <c r="G1330" s="69">
        <v>12507</v>
      </c>
      <c r="H1330" s="20">
        <f t="shared" si="137"/>
        <v>0</v>
      </c>
      <c r="I1330" s="2"/>
      <c r="J1330" s="17"/>
      <c r="K1330" s="17"/>
      <c r="L1330" s="17"/>
    </row>
    <row r="1331" spans="1:12">
      <c r="A1331" s="50"/>
      <c r="B1331" s="49">
        <v>21</v>
      </c>
      <c r="C1331" s="19" t="s">
        <v>303</v>
      </c>
      <c r="D1331" s="20">
        <v>0</v>
      </c>
      <c r="E1331" s="21">
        <v>1</v>
      </c>
      <c r="F1331" s="20">
        <f t="shared" si="136"/>
        <v>0</v>
      </c>
      <c r="G1331" s="69">
        <v>19231</v>
      </c>
      <c r="H1331" s="20">
        <f t="shared" si="137"/>
        <v>0</v>
      </c>
      <c r="I1331" s="2"/>
      <c r="J1331" s="17"/>
      <c r="K1331" s="17"/>
      <c r="L1331" s="17"/>
    </row>
    <row r="1332" spans="1:12">
      <c r="A1332" s="50"/>
      <c r="B1332" s="49">
        <v>22</v>
      </c>
      <c r="C1332" s="19" t="s">
        <v>304</v>
      </c>
      <c r="D1332" s="20">
        <v>4</v>
      </c>
      <c r="E1332" s="21">
        <v>1</v>
      </c>
      <c r="F1332" s="20">
        <f t="shared" si="136"/>
        <v>4</v>
      </c>
      <c r="G1332" s="69">
        <v>12507</v>
      </c>
      <c r="H1332" s="20">
        <f t="shared" si="137"/>
        <v>50028</v>
      </c>
      <c r="I1332" s="2"/>
      <c r="J1332" s="17"/>
      <c r="K1332" s="17"/>
      <c r="L1332" s="17"/>
    </row>
    <row r="1333" spans="1:12">
      <c r="A1333" s="50"/>
      <c r="B1333" s="49">
        <v>23</v>
      </c>
      <c r="C1333" s="19" t="s">
        <v>305</v>
      </c>
      <c r="D1333" s="20">
        <v>4</v>
      </c>
      <c r="E1333" s="21">
        <v>1</v>
      </c>
      <c r="F1333" s="20">
        <f t="shared" si="136"/>
        <v>4</v>
      </c>
      <c r="G1333" s="69">
        <v>12507</v>
      </c>
      <c r="H1333" s="20">
        <f t="shared" si="137"/>
        <v>50028</v>
      </c>
      <c r="I1333" s="2"/>
      <c r="J1333" s="17"/>
      <c r="K1333" s="17"/>
      <c r="L1333" s="17"/>
    </row>
    <row r="1334" spans="1:12">
      <c r="A1334" s="50"/>
      <c r="B1334" s="49">
        <v>24</v>
      </c>
      <c r="C1334" s="19" t="s">
        <v>306</v>
      </c>
      <c r="D1334" s="20">
        <v>4</v>
      </c>
      <c r="E1334" s="21">
        <v>1</v>
      </c>
      <c r="F1334" s="20">
        <f t="shared" si="136"/>
        <v>4</v>
      </c>
      <c r="G1334" s="69">
        <v>12507</v>
      </c>
      <c r="H1334" s="20">
        <f t="shared" si="137"/>
        <v>50028</v>
      </c>
      <c r="I1334" s="2"/>
      <c r="J1334" s="17"/>
      <c r="K1334" s="17"/>
      <c r="L1334" s="17"/>
    </row>
    <row r="1335" spans="1:12">
      <c r="A1335" s="50"/>
      <c r="B1335" s="49">
        <v>25</v>
      </c>
      <c r="C1335" s="19" t="s">
        <v>307</v>
      </c>
      <c r="D1335" s="20">
        <v>4</v>
      </c>
      <c r="E1335" s="21">
        <v>1</v>
      </c>
      <c r="F1335" s="20">
        <f t="shared" si="136"/>
        <v>4</v>
      </c>
      <c r="G1335" s="69">
        <v>12507</v>
      </c>
      <c r="H1335" s="20">
        <f t="shared" si="137"/>
        <v>50028</v>
      </c>
      <c r="I1335" s="2"/>
      <c r="J1335" s="17"/>
      <c r="K1335" s="17"/>
      <c r="L1335" s="17"/>
    </row>
    <row r="1336" spans="1:12">
      <c r="A1336" s="50"/>
      <c r="B1336" s="49">
        <v>26</v>
      </c>
      <c r="C1336" s="19" t="s">
        <v>308</v>
      </c>
      <c r="D1336" s="20">
        <v>4</v>
      </c>
      <c r="E1336" s="21">
        <v>1</v>
      </c>
      <c r="F1336" s="20">
        <f t="shared" si="136"/>
        <v>4</v>
      </c>
      <c r="G1336" s="69">
        <v>12507</v>
      </c>
      <c r="H1336" s="20">
        <f t="shared" si="137"/>
        <v>50028</v>
      </c>
      <c r="I1336" s="2"/>
      <c r="J1336" s="17"/>
      <c r="K1336" s="17"/>
      <c r="L1336" s="17"/>
    </row>
    <row r="1337" spans="1:12">
      <c r="A1337" s="50"/>
      <c r="B1337" s="49">
        <v>27</v>
      </c>
      <c r="C1337" s="19" t="s">
        <v>309</v>
      </c>
      <c r="D1337" s="20">
        <v>0</v>
      </c>
      <c r="E1337" s="21">
        <v>1</v>
      </c>
      <c r="F1337" s="20">
        <f t="shared" si="136"/>
        <v>0</v>
      </c>
      <c r="G1337" s="69">
        <v>53846</v>
      </c>
      <c r="H1337" s="20">
        <f t="shared" si="137"/>
        <v>0</v>
      </c>
      <c r="I1337" s="2"/>
      <c r="J1337" s="17"/>
      <c r="K1337" s="17"/>
      <c r="L1337" s="17"/>
    </row>
    <row r="1338" spans="1:12">
      <c r="A1338" s="50"/>
      <c r="B1338" s="49">
        <v>28</v>
      </c>
      <c r="C1338" s="19" t="s">
        <v>310</v>
      </c>
      <c r="D1338" s="20">
        <v>0</v>
      </c>
      <c r="E1338" s="21">
        <v>1</v>
      </c>
      <c r="F1338" s="20">
        <f t="shared" si="136"/>
        <v>0</v>
      </c>
      <c r="G1338" s="69">
        <v>22076</v>
      </c>
      <c r="H1338" s="20">
        <f t="shared" si="137"/>
        <v>0</v>
      </c>
      <c r="I1338" s="2"/>
      <c r="J1338" s="17"/>
      <c r="K1338" s="17"/>
      <c r="L1338" s="17"/>
    </row>
    <row r="1339" spans="1:12">
      <c r="A1339" s="50"/>
      <c r="B1339" s="49">
        <v>29</v>
      </c>
      <c r="C1339" s="19" t="s">
        <v>72</v>
      </c>
      <c r="D1339" s="20">
        <v>0</v>
      </c>
      <c r="E1339" s="21">
        <v>1</v>
      </c>
      <c r="F1339" s="20">
        <f t="shared" si="136"/>
        <v>0</v>
      </c>
      <c r="G1339" s="69">
        <v>22076</v>
      </c>
      <c r="H1339" s="20">
        <f t="shared" si="137"/>
        <v>0</v>
      </c>
      <c r="I1339" s="2"/>
      <c r="J1339" s="17"/>
      <c r="K1339" s="17"/>
      <c r="L1339" s="17"/>
    </row>
    <row r="1340" spans="1:12">
      <c r="A1340" s="50"/>
      <c r="B1340" s="49">
        <v>30</v>
      </c>
      <c r="C1340" s="19" t="s">
        <v>311</v>
      </c>
      <c r="D1340" s="20">
        <v>0</v>
      </c>
      <c r="E1340" s="21">
        <v>1</v>
      </c>
      <c r="F1340" s="20">
        <f t="shared" si="136"/>
        <v>0</v>
      </c>
      <c r="G1340" s="69">
        <v>12507</v>
      </c>
      <c r="H1340" s="20">
        <f t="shared" si="137"/>
        <v>0</v>
      </c>
      <c r="I1340" s="2"/>
      <c r="J1340" s="17"/>
      <c r="K1340" s="17"/>
      <c r="L1340" s="17"/>
    </row>
    <row r="1341" spans="1:12">
      <c r="A1341" s="50"/>
      <c r="B1341" s="49">
        <v>31</v>
      </c>
      <c r="C1341" s="19" t="s">
        <v>312</v>
      </c>
      <c r="D1341" s="20">
        <v>0</v>
      </c>
      <c r="E1341" s="21">
        <v>1</v>
      </c>
      <c r="F1341" s="20">
        <f t="shared" si="136"/>
        <v>0</v>
      </c>
      <c r="G1341" s="69">
        <v>18461</v>
      </c>
      <c r="H1341" s="20">
        <f t="shared" si="137"/>
        <v>0</v>
      </c>
      <c r="I1341" s="2"/>
      <c r="J1341" s="17"/>
      <c r="K1341" s="17"/>
      <c r="L1341" s="17"/>
    </row>
    <row r="1342" spans="1:12">
      <c r="A1342" s="50"/>
      <c r="B1342" s="49">
        <v>32</v>
      </c>
      <c r="C1342" s="19" t="s">
        <v>73</v>
      </c>
      <c r="D1342" s="20">
        <v>0</v>
      </c>
      <c r="E1342" s="21">
        <v>1</v>
      </c>
      <c r="F1342" s="20">
        <f t="shared" si="136"/>
        <v>0</v>
      </c>
      <c r="G1342" s="69">
        <v>12507</v>
      </c>
      <c r="H1342" s="20">
        <f t="shared" si="137"/>
        <v>0</v>
      </c>
      <c r="I1342" s="2"/>
      <c r="J1342" s="17"/>
      <c r="K1342" s="17"/>
      <c r="L1342" s="17"/>
    </row>
    <row r="1343" spans="1:12">
      <c r="A1343" s="50"/>
      <c r="B1343" s="49">
        <v>33</v>
      </c>
      <c r="C1343" s="19" t="s">
        <v>71</v>
      </c>
      <c r="D1343" s="20">
        <v>0</v>
      </c>
      <c r="E1343" s="21">
        <v>1</v>
      </c>
      <c r="F1343" s="20">
        <f t="shared" si="136"/>
        <v>0</v>
      </c>
      <c r="G1343" s="69">
        <v>22076</v>
      </c>
      <c r="H1343" s="20">
        <f t="shared" si="137"/>
        <v>0</v>
      </c>
      <c r="I1343" s="2"/>
      <c r="J1343" s="17"/>
      <c r="K1343" s="17"/>
      <c r="L1343" s="17"/>
    </row>
    <row r="1344" spans="1:12">
      <c r="A1344" s="50"/>
      <c r="B1344" s="49">
        <v>34</v>
      </c>
      <c r="C1344" s="19" t="s">
        <v>313</v>
      </c>
      <c r="D1344" s="20">
        <v>0</v>
      </c>
      <c r="E1344" s="21">
        <v>1</v>
      </c>
      <c r="F1344" s="20">
        <f t="shared" si="136"/>
        <v>0</v>
      </c>
      <c r="G1344" s="69">
        <v>22076</v>
      </c>
      <c r="H1344" s="20">
        <f t="shared" si="137"/>
        <v>0</v>
      </c>
      <c r="I1344" s="2"/>
      <c r="J1344" s="17"/>
      <c r="K1344" s="17"/>
      <c r="L1344" s="17"/>
    </row>
    <row r="1345" spans="1:12">
      <c r="A1345" s="50"/>
      <c r="B1345" s="49">
        <v>35</v>
      </c>
      <c r="C1345" s="19" t="s">
        <v>314</v>
      </c>
      <c r="D1345" s="20">
        <v>0</v>
      </c>
      <c r="E1345" s="21">
        <v>1</v>
      </c>
      <c r="F1345" s="20">
        <f t="shared" si="136"/>
        <v>0</v>
      </c>
      <c r="G1345" s="69">
        <v>61538</v>
      </c>
      <c r="H1345" s="20">
        <f t="shared" si="137"/>
        <v>0</v>
      </c>
      <c r="I1345" s="2"/>
      <c r="J1345" s="17"/>
      <c r="K1345" s="17"/>
      <c r="L1345" s="17"/>
    </row>
    <row r="1346" spans="1:12">
      <c r="A1346" s="50"/>
      <c r="B1346" s="49">
        <v>36</v>
      </c>
      <c r="C1346" s="19" t="s">
        <v>315</v>
      </c>
      <c r="D1346" s="20">
        <v>0</v>
      </c>
      <c r="E1346" s="21">
        <v>1</v>
      </c>
      <c r="F1346" s="20">
        <f t="shared" si="136"/>
        <v>0</v>
      </c>
      <c r="G1346" s="69">
        <v>3846</v>
      </c>
      <c r="H1346" s="20">
        <f t="shared" si="137"/>
        <v>0</v>
      </c>
      <c r="I1346" s="2"/>
      <c r="J1346" s="17"/>
      <c r="K1346" s="17"/>
      <c r="L1346" s="17"/>
    </row>
    <row r="1347" spans="1:12">
      <c r="A1347" s="50"/>
      <c r="B1347" s="49">
        <v>37</v>
      </c>
      <c r="C1347" s="19" t="s">
        <v>316</v>
      </c>
      <c r="D1347" s="20">
        <v>4</v>
      </c>
      <c r="E1347" s="21">
        <v>1</v>
      </c>
      <c r="F1347" s="20">
        <f t="shared" si="136"/>
        <v>4</v>
      </c>
      <c r="G1347" s="69">
        <v>7692</v>
      </c>
      <c r="H1347" s="20">
        <f t="shared" si="137"/>
        <v>30768</v>
      </c>
      <c r="I1347" s="2"/>
      <c r="J1347" s="17"/>
      <c r="K1347" s="17"/>
      <c r="L1347" s="17"/>
    </row>
    <row r="1348" spans="1:12">
      <c r="A1348" s="50"/>
      <c r="B1348" s="49">
        <v>38</v>
      </c>
      <c r="C1348" s="19" t="s">
        <v>317</v>
      </c>
      <c r="D1348" s="20">
        <v>0</v>
      </c>
      <c r="E1348" s="21">
        <v>1</v>
      </c>
      <c r="F1348" s="20">
        <f t="shared" si="136"/>
        <v>0</v>
      </c>
      <c r="G1348" s="69">
        <v>46153</v>
      </c>
      <c r="H1348" s="20">
        <f t="shared" si="137"/>
        <v>0</v>
      </c>
      <c r="I1348" s="2"/>
      <c r="J1348" s="17"/>
      <c r="K1348" s="17"/>
      <c r="L1348" s="17"/>
    </row>
    <row r="1349" spans="1:12">
      <c r="A1349" s="50"/>
      <c r="B1349" s="49">
        <v>39</v>
      </c>
      <c r="C1349" s="19" t="s">
        <v>318</v>
      </c>
      <c r="D1349" s="20">
        <v>0</v>
      </c>
      <c r="E1349" s="21">
        <v>1</v>
      </c>
      <c r="F1349" s="20">
        <f t="shared" si="136"/>
        <v>0</v>
      </c>
      <c r="G1349" s="69">
        <v>600000</v>
      </c>
      <c r="H1349" s="20">
        <f t="shared" si="137"/>
        <v>0</v>
      </c>
      <c r="I1349" s="2"/>
      <c r="J1349" s="17"/>
      <c r="K1349" s="17"/>
      <c r="L1349" s="17"/>
    </row>
    <row r="1350" spans="1:12">
      <c r="A1350" s="50"/>
      <c r="B1350" s="49">
        <v>40</v>
      </c>
      <c r="C1350" s="19" t="s">
        <v>319</v>
      </c>
      <c r="D1350" s="20">
        <v>0</v>
      </c>
      <c r="E1350" s="21">
        <v>1</v>
      </c>
      <c r="F1350" s="20">
        <f t="shared" si="136"/>
        <v>0</v>
      </c>
      <c r="G1350" s="69">
        <v>157692</v>
      </c>
      <c r="H1350" s="20">
        <f t="shared" si="137"/>
        <v>0</v>
      </c>
      <c r="I1350" s="2"/>
      <c r="J1350" s="17"/>
      <c r="K1350" s="17"/>
      <c r="L1350" s="17"/>
    </row>
    <row r="1351" spans="1:12">
      <c r="A1351" s="50"/>
      <c r="B1351" s="49">
        <v>41</v>
      </c>
      <c r="C1351" s="19" t="s">
        <v>320</v>
      </c>
      <c r="D1351" s="20">
        <v>0</v>
      </c>
      <c r="E1351" s="21">
        <v>1</v>
      </c>
      <c r="F1351" s="20">
        <f t="shared" si="136"/>
        <v>0</v>
      </c>
      <c r="G1351" s="69">
        <v>269230</v>
      </c>
      <c r="H1351" s="20">
        <f t="shared" si="137"/>
        <v>0</v>
      </c>
      <c r="I1351" s="2"/>
      <c r="J1351" s="17"/>
      <c r="K1351" s="17"/>
      <c r="L1351" s="17"/>
    </row>
    <row r="1352" spans="1:12">
      <c r="A1352" s="50"/>
      <c r="B1352" s="49">
        <v>42</v>
      </c>
      <c r="C1352" s="19" t="s">
        <v>321</v>
      </c>
      <c r="D1352" s="20">
        <v>0.03</v>
      </c>
      <c r="E1352" s="21">
        <v>1</v>
      </c>
      <c r="F1352" s="20">
        <f t="shared" si="136"/>
        <v>0.03</v>
      </c>
      <c r="G1352" s="69">
        <v>192307</v>
      </c>
      <c r="H1352" s="20">
        <f t="shared" si="137"/>
        <v>5769.21</v>
      </c>
      <c r="I1352" s="2"/>
      <c r="J1352" s="17"/>
      <c r="K1352" s="17"/>
      <c r="L1352" s="17"/>
    </row>
    <row r="1353" spans="1:12">
      <c r="A1353" s="50"/>
      <c r="B1353" s="49">
        <v>43</v>
      </c>
      <c r="C1353" s="19" t="s">
        <v>322</v>
      </c>
      <c r="D1353" s="20">
        <v>4</v>
      </c>
      <c r="E1353" s="21">
        <v>1</v>
      </c>
      <c r="F1353" s="20">
        <f t="shared" si="136"/>
        <v>4</v>
      </c>
      <c r="G1353" s="69">
        <v>31769</v>
      </c>
      <c r="H1353" s="20">
        <f t="shared" si="137"/>
        <v>127076</v>
      </c>
      <c r="I1353" s="2"/>
      <c r="J1353" s="17"/>
      <c r="K1353" s="17"/>
      <c r="L1353" s="17"/>
    </row>
    <row r="1354" spans="1:12">
      <c r="A1354" s="50"/>
      <c r="B1354" s="49">
        <v>44</v>
      </c>
      <c r="C1354" s="19"/>
      <c r="D1354" s="20">
        <v>0</v>
      </c>
      <c r="E1354" s="21">
        <v>1</v>
      </c>
      <c r="F1354" s="20">
        <f>D1354*E1354</f>
        <v>0</v>
      </c>
      <c r="G1354" s="21">
        <v>102</v>
      </c>
      <c r="H1354" s="20">
        <f>F1354*G1354</f>
        <v>0</v>
      </c>
      <c r="I1354" s="2"/>
      <c r="J1354" s="17"/>
      <c r="K1354" s="17"/>
      <c r="L1354" s="17"/>
    </row>
    <row r="1355" spans="1:12">
      <c r="A1355" s="50"/>
      <c r="B1355" s="49"/>
      <c r="C1355" s="14" t="s">
        <v>697</v>
      </c>
      <c r="D1355" s="20"/>
      <c r="F1355" s="20"/>
      <c r="H1355" s="25">
        <f>SUM(H1311:H1354)</f>
        <v>1010213.21</v>
      </c>
      <c r="I1355" s="2"/>
      <c r="J1355" s="17"/>
      <c r="K1355" s="17"/>
      <c r="L1355" s="17"/>
    </row>
    <row r="1356" spans="1:12">
      <c r="A1356" s="50"/>
      <c r="B1356" s="49"/>
      <c r="C1356" s="14"/>
      <c r="D1356" s="20"/>
      <c r="F1356" s="20"/>
      <c r="H1356" s="25"/>
      <c r="I1356" s="2"/>
      <c r="J1356" s="17"/>
      <c r="K1356" s="17"/>
      <c r="L1356" s="17"/>
    </row>
    <row r="1357" spans="1:12">
      <c r="A1357" s="50"/>
      <c r="B1357" s="51"/>
      <c r="C1357" s="14" t="s">
        <v>698</v>
      </c>
      <c r="D1357" s="20"/>
      <c r="F1357" s="20"/>
      <c r="H1357" s="20"/>
      <c r="I1357" s="2"/>
      <c r="J1357" s="17"/>
      <c r="K1357" s="17"/>
      <c r="L1357" s="17"/>
    </row>
    <row r="1358" spans="1:12">
      <c r="A1358" s="50"/>
      <c r="B1358" s="49">
        <v>1</v>
      </c>
      <c r="C1358" s="19"/>
      <c r="D1358" s="20">
        <v>0</v>
      </c>
      <c r="E1358" s="21">
        <v>1</v>
      </c>
      <c r="F1358" s="20">
        <f>D1358*E1358</f>
        <v>0</v>
      </c>
      <c r="G1358" s="21">
        <v>101</v>
      </c>
      <c r="H1358" s="20">
        <f>F1358*G1358</f>
        <v>0</v>
      </c>
      <c r="I1358" s="2"/>
      <c r="J1358" s="17"/>
      <c r="K1358" s="17"/>
      <c r="L1358" s="17"/>
    </row>
    <row r="1359" spans="1:12">
      <c r="A1359" s="50"/>
      <c r="B1359" s="49">
        <v>2</v>
      </c>
      <c r="C1359" s="19"/>
      <c r="D1359" s="20">
        <v>0</v>
      </c>
      <c r="E1359" s="21">
        <v>1</v>
      </c>
      <c r="F1359" s="20">
        <f>D1359*E1359</f>
        <v>0</v>
      </c>
      <c r="G1359" s="21">
        <v>102</v>
      </c>
      <c r="H1359" s="20">
        <f>F1359*G1359</f>
        <v>0</v>
      </c>
      <c r="I1359" s="2"/>
      <c r="J1359" s="17"/>
      <c r="K1359" s="17"/>
      <c r="L1359" s="17"/>
    </row>
    <row r="1360" spans="1:12">
      <c r="A1360" s="50"/>
      <c r="B1360" s="49"/>
      <c r="C1360" s="14" t="s">
        <v>699</v>
      </c>
      <c r="D1360" s="20"/>
      <c r="F1360" s="20"/>
      <c r="H1360" s="25">
        <f>SUM(H1358:H1359)</f>
        <v>0</v>
      </c>
      <c r="I1360" s="2"/>
      <c r="J1360" s="17"/>
      <c r="K1360" s="17"/>
      <c r="L1360" s="17"/>
    </row>
    <row r="1361" spans="1:12">
      <c r="A1361" s="50"/>
      <c r="B1361" s="49"/>
      <c r="C1361" s="14"/>
      <c r="D1361" s="20"/>
      <c r="F1361" s="20"/>
      <c r="H1361" s="25"/>
      <c r="I1361" s="2"/>
      <c r="J1361" s="17"/>
      <c r="K1361" s="17"/>
      <c r="L1361" s="17"/>
    </row>
    <row r="1362" spans="1:12">
      <c r="A1362" s="50"/>
      <c r="B1362" s="51"/>
      <c r="C1362" s="14" t="s">
        <v>700</v>
      </c>
      <c r="D1362" s="20"/>
      <c r="F1362" s="20"/>
      <c r="H1362" s="25">
        <f>H1274+H1279+H1284+H1289+H1294+H1308+H1355+H1360</f>
        <v>1010213.21</v>
      </c>
      <c r="I1362" s="2"/>
      <c r="J1362" s="17"/>
      <c r="K1362" s="17"/>
      <c r="L1362" s="17"/>
    </row>
    <row r="1363" spans="1:12">
      <c r="A1363" s="50"/>
      <c r="B1363" s="51"/>
      <c r="C1363" s="14"/>
      <c r="D1363" s="20"/>
      <c r="F1363" s="20"/>
      <c r="H1363" s="20"/>
      <c r="I1363" s="2"/>
      <c r="J1363" s="17"/>
      <c r="K1363" s="17"/>
      <c r="L1363" s="17"/>
    </row>
    <row r="1364" spans="1:12">
      <c r="A1364" s="50"/>
      <c r="B1364" s="48" t="s">
        <v>701</v>
      </c>
      <c r="C1364" s="14" t="s">
        <v>702</v>
      </c>
      <c r="D1364" s="20"/>
      <c r="F1364" s="20"/>
      <c r="H1364" s="20"/>
      <c r="I1364" s="2"/>
      <c r="J1364" s="17"/>
      <c r="K1364" s="17"/>
      <c r="L1364" s="17"/>
    </row>
    <row r="1365" spans="1:12">
      <c r="A1365" s="50"/>
      <c r="B1365" s="49">
        <v>1</v>
      </c>
      <c r="C1365" s="19"/>
      <c r="D1365" s="20">
        <v>0</v>
      </c>
      <c r="E1365" s="21">
        <v>1</v>
      </c>
      <c r="F1365" s="20">
        <f>D1365*E1365</f>
        <v>0</v>
      </c>
      <c r="G1365" s="21">
        <v>101</v>
      </c>
      <c r="H1365" s="20">
        <f>F1365*G1365</f>
        <v>0</v>
      </c>
      <c r="I1365" s="2"/>
      <c r="J1365" s="17"/>
      <c r="K1365" s="17"/>
      <c r="L1365" s="17"/>
    </row>
    <row r="1366" spans="1:12">
      <c r="A1366" s="50"/>
      <c r="B1366" s="49">
        <v>2</v>
      </c>
      <c r="C1366" s="19"/>
      <c r="D1366" s="20">
        <v>0</v>
      </c>
      <c r="E1366" s="21">
        <v>1</v>
      </c>
      <c r="F1366" s="20">
        <f>D1366*E1366</f>
        <v>0</v>
      </c>
      <c r="G1366" s="21">
        <v>102</v>
      </c>
      <c r="H1366" s="20">
        <f>F1366*G1366</f>
        <v>0</v>
      </c>
      <c r="I1366" s="2"/>
      <c r="J1366" s="17"/>
      <c r="K1366" s="17"/>
      <c r="L1366" s="17"/>
    </row>
    <row r="1367" spans="1:12">
      <c r="A1367" s="50"/>
      <c r="B1367" s="49"/>
      <c r="C1367" s="14" t="s">
        <v>703</v>
      </c>
      <c r="D1367" s="20"/>
      <c r="F1367" s="20"/>
      <c r="H1367" s="25">
        <f>SUM(H1365:H1366)</f>
        <v>0</v>
      </c>
      <c r="I1367" s="2"/>
      <c r="J1367" s="17"/>
      <c r="K1367" s="17"/>
      <c r="L1367" s="17"/>
    </row>
    <row r="1368" spans="1:12">
      <c r="A1368" s="50"/>
      <c r="B1368" s="48"/>
      <c r="C1368" s="14"/>
      <c r="D1368" s="20"/>
      <c r="F1368" s="20"/>
      <c r="H1368" s="20"/>
      <c r="I1368" s="2"/>
      <c r="J1368" s="17"/>
      <c r="K1368" s="17"/>
      <c r="L1368" s="17"/>
    </row>
    <row r="1369" spans="1:12">
      <c r="A1369" s="50"/>
      <c r="B1369" s="51"/>
      <c r="C1369" s="14" t="s">
        <v>704</v>
      </c>
      <c r="D1369" s="20"/>
      <c r="F1369" s="20"/>
      <c r="H1369" s="20"/>
      <c r="I1369" s="2"/>
      <c r="J1369" s="17"/>
      <c r="K1369" s="17"/>
      <c r="L1369" s="17"/>
    </row>
    <row r="1370" spans="1:12">
      <c r="A1370" s="50"/>
      <c r="B1370" s="49">
        <v>1</v>
      </c>
      <c r="C1370" s="19"/>
      <c r="D1370" s="20">
        <v>0</v>
      </c>
      <c r="E1370" s="21">
        <v>1</v>
      </c>
      <c r="F1370" s="20">
        <f>D1370*E1370</f>
        <v>0</v>
      </c>
      <c r="G1370" s="21">
        <v>101</v>
      </c>
      <c r="H1370" s="20">
        <f>F1370*G1370</f>
        <v>0</v>
      </c>
      <c r="I1370" s="2"/>
      <c r="J1370" s="17"/>
      <c r="K1370" s="17"/>
      <c r="L1370" s="17"/>
    </row>
    <row r="1371" spans="1:12">
      <c r="A1371" s="50"/>
      <c r="B1371" s="49">
        <v>2</v>
      </c>
      <c r="C1371" s="19"/>
      <c r="D1371" s="20">
        <v>0</v>
      </c>
      <c r="E1371" s="21">
        <v>1</v>
      </c>
      <c r="F1371" s="20">
        <f>D1371*E1371</f>
        <v>0</v>
      </c>
      <c r="G1371" s="21">
        <v>102</v>
      </c>
      <c r="H1371" s="20">
        <f>F1371*G1371</f>
        <v>0</v>
      </c>
      <c r="I1371" s="2"/>
      <c r="J1371" s="17"/>
      <c r="K1371" s="17"/>
      <c r="L1371" s="17"/>
    </row>
    <row r="1372" spans="1:12">
      <c r="A1372" s="50"/>
      <c r="B1372" s="49"/>
      <c r="C1372" s="14" t="s">
        <v>705</v>
      </c>
      <c r="D1372" s="20"/>
      <c r="F1372" s="20"/>
      <c r="H1372" s="25">
        <f>SUM(H1370:H1371)</f>
        <v>0</v>
      </c>
      <c r="I1372" s="2"/>
      <c r="J1372" s="17"/>
      <c r="K1372" s="17"/>
      <c r="L1372" s="17"/>
    </row>
    <row r="1373" spans="1:12">
      <c r="A1373" s="50"/>
      <c r="B1373" s="51"/>
      <c r="C1373" s="14"/>
      <c r="D1373" s="20"/>
      <c r="F1373" s="20"/>
      <c r="H1373" s="20"/>
      <c r="I1373" s="2"/>
      <c r="J1373" s="17"/>
      <c r="K1373" s="17"/>
      <c r="L1373" s="17"/>
    </row>
    <row r="1374" spans="1:12">
      <c r="A1374" s="50"/>
      <c r="B1374" s="51"/>
      <c r="C1374" s="14" t="s">
        <v>706</v>
      </c>
      <c r="D1374" s="20"/>
      <c r="F1374" s="20"/>
      <c r="H1374" s="20"/>
      <c r="I1374" s="2"/>
      <c r="J1374" s="17"/>
      <c r="K1374" s="17"/>
      <c r="L1374" s="17"/>
    </row>
    <row r="1375" spans="1:12">
      <c r="A1375" s="50"/>
      <c r="B1375" s="49">
        <v>1</v>
      </c>
      <c r="C1375" s="19"/>
      <c r="D1375" s="20">
        <v>0</v>
      </c>
      <c r="E1375" s="21">
        <v>1</v>
      </c>
      <c r="F1375" s="20">
        <f>D1375*E1375</f>
        <v>0</v>
      </c>
      <c r="G1375" s="21">
        <v>101</v>
      </c>
      <c r="H1375" s="20">
        <f>F1375*G1375</f>
        <v>0</v>
      </c>
      <c r="I1375" s="2"/>
      <c r="J1375" s="17"/>
      <c r="K1375" s="17"/>
      <c r="L1375" s="17"/>
    </row>
    <row r="1376" spans="1:12">
      <c r="A1376" s="50"/>
      <c r="B1376" s="49">
        <v>2</v>
      </c>
      <c r="C1376" s="19"/>
      <c r="D1376" s="20">
        <v>0</v>
      </c>
      <c r="E1376" s="21">
        <v>1</v>
      </c>
      <c r="F1376" s="20">
        <f>D1376*E1376</f>
        <v>0</v>
      </c>
      <c r="G1376" s="21">
        <v>102</v>
      </c>
      <c r="H1376" s="20">
        <f>F1376*G1376</f>
        <v>0</v>
      </c>
      <c r="I1376" s="2"/>
      <c r="J1376" s="17"/>
      <c r="K1376" s="17"/>
      <c r="L1376" s="17"/>
    </row>
    <row r="1377" spans="1:12">
      <c r="A1377" s="50"/>
      <c r="B1377" s="49"/>
      <c r="C1377" s="14" t="s">
        <v>707</v>
      </c>
      <c r="D1377" s="20"/>
      <c r="F1377" s="20"/>
      <c r="H1377" s="25">
        <f>SUM(H1375:H1376)</f>
        <v>0</v>
      </c>
      <c r="I1377" s="2"/>
      <c r="J1377" s="17"/>
      <c r="K1377" s="17"/>
      <c r="L1377" s="17"/>
    </row>
    <row r="1378" spans="1:12">
      <c r="A1378" s="50"/>
      <c r="B1378" s="51"/>
      <c r="C1378" s="14"/>
      <c r="D1378" s="20"/>
      <c r="F1378" s="20"/>
      <c r="H1378" s="20"/>
      <c r="I1378" s="2"/>
      <c r="J1378" s="17"/>
      <c r="K1378" s="17"/>
      <c r="L1378" s="17"/>
    </row>
    <row r="1379" spans="1:12">
      <c r="A1379" s="50"/>
      <c r="B1379" s="51"/>
      <c r="C1379" s="14" t="s">
        <v>708</v>
      </c>
      <c r="D1379" s="20"/>
      <c r="F1379" s="20"/>
      <c r="H1379" s="20"/>
      <c r="I1379" s="2"/>
      <c r="J1379" s="17"/>
      <c r="K1379" s="17"/>
      <c r="L1379" s="17"/>
    </row>
    <row r="1380" spans="1:12">
      <c r="A1380" s="50"/>
      <c r="B1380" s="49">
        <v>1</v>
      </c>
      <c r="C1380" s="19"/>
      <c r="D1380" s="20">
        <v>0</v>
      </c>
      <c r="E1380" s="21">
        <v>1</v>
      </c>
      <c r="F1380" s="20">
        <f>D1380*E1380</f>
        <v>0</v>
      </c>
      <c r="G1380" s="21">
        <v>101</v>
      </c>
      <c r="H1380" s="20">
        <f>F1380*G1380</f>
        <v>0</v>
      </c>
      <c r="I1380" s="2"/>
      <c r="J1380" s="17"/>
      <c r="K1380" s="17"/>
      <c r="L1380" s="17"/>
    </row>
    <row r="1381" spans="1:12">
      <c r="A1381" s="50"/>
      <c r="B1381" s="49">
        <v>2</v>
      </c>
      <c r="C1381" s="19"/>
      <c r="D1381" s="20">
        <v>0</v>
      </c>
      <c r="E1381" s="21">
        <v>1</v>
      </c>
      <c r="F1381" s="20">
        <f>D1381*E1381</f>
        <v>0</v>
      </c>
      <c r="G1381" s="21">
        <v>102</v>
      </c>
      <c r="H1381" s="20">
        <f>F1381*G1381</f>
        <v>0</v>
      </c>
      <c r="I1381" s="2"/>
      <c r="J1381" s="17"/>
      <c r="K1381" s="17"/>
      <c r="L1381" s="17"/>
    </row>
    <row r="1382" spans="1:12">
      <c r="A1382" s="50"/>
      <c r="B1382" s="49"/>
      <c r="C1382" s="14" t="s">
        <v>709</v>
      </c>
      <c r="D1382" s="20"/>
      <c r="F1382" s="20"/>
      <c r="H1382" s="25">
        <f>SUM(H1380:H1381)</f>
        <v>0</v>
      </c>
      <c r="I1382" s="2"/>
      <c r="J1382" s="17"/>
      <c r="K1382" s="17"/>
      <c r="L1382" s="17"/>
    </row>
    <row r="1383" spans="1:12">
      <c r="A1383" s="50"/>
      <c r="B1383" s="51"/>
      <c r="C1383" s="14"/>
      <c r="D1383" s="20"/>
      <c r="F1383" s="20"/>
      <c r="H1383" s="20"/>
      <c r="I1383" s="2"/>
      <c r="J1383" s="17"/>
      <c r="K1383" s="17"/>
      <c r="L1383" s="17"/>
    </row>
    <row r="1384" spans="1:12">
      <c r="A1384" s="50"/>
      <c r="B1384" s="51"/>
      <c r="C1384" s="14" t="s">
        <v>710</v>
      </c>
      <c r="D1384" s="20"/>
      <c r="F1384" s="20"/>
      <c r="H1384" s="20"/>
      <c r="I1384" s="2"/>
      <c r="J1384" s="17"/>
      <c r="K1384" s="17"/>
      <c r="L1384" s="17"/>
    </row>
    <row r="1385" spans="1:12">
      <c r="A1385" s="50"/>
      <c r="B1385" s="49">
        <v>1</v>
      </c>
      <c r="C1385" s="19" t="s">
        <v>496</v>
      </c>
      <c r="D1385" s="20">
        <v>2190</v>
      </c>
      <c r="E1385" s="21">
        <v>1</v>
      </c>
      <c r="F1385" s="20">
        <f>D1385*E1385</f>
        <v>2190</v>
      </c>
      <c r="G1385" s="69">
        <f>K43</f>
        <v>5384.6153846153802</v>
      </c>
      <c r="H1385" s="20">
        <f>F1385*G1385</f>
        <v>11792307.692307683</v>
      </c>
      <c r="I1385" s="2"/>
      <c r="J1385" s="17"/>
      <c r="K1385" s="17"/>
      <c r="L1385" s="17"/>
    </row>
    <row r="1386" spans="1:12">
      <c r="A1386" s="50"/>
      <c r="B1386" s="49">
        <v>2</v>
      </c>
      <c r="C1386" s="19" t="s">
        <v>497</v>
      </c>
      <c r="D1386" s="20">
        <v>730</v>
      </c>
      <c r="E1386" s="21">
        <v>1</v>
      </c>
      <c r="F1386" s="20">
        <f>D1386*E1386</f>
        <v>730</v>
      </c>
      <c r="G1386" s="69">
        <f>K44</f>
        <v>8307.6923076923104</v>
      </c>
      <c r="H1386" s="20">
        <f>F1386*G1386</f>
        <v>6064615.3846153868</v>
      </c>
      <c r="I1386" s="2"/>
      <c r="J1386" s="17"/>
      <c r="K1386" s="17"/>
      <c r="L1386" s="17"/>
    </row>
    <row r="1387" spans="1:12">
      <c r="A1387" s="50"/>
      <c r="B1387" s="49">
        <v>3</v>
      </c>
      <c r="C1387" s="19" t="s">
        <v>587</v>
      </c>
      <c r="D1387" s="20">
        <v>365</v>
      </c>
      <c r="E1387" s="21">
        <v>1</v>
      </c>
      <c r="F1387" s="20">
        <f t="shared" ref="F1387:F1397" si="138">D1387*E1387</f>
        <v>365</v>
      </c>
      <c r="G1387" s="69">
        <v>60.769230769230766</v>
      </c>
      <c r="H1387" s="20">
        <f t="shared" ref="H1387:H1397" si="139">F1387*G1387</f>
        <v>22180.76923076923</v>
      </c>
      <c r="I1387" s="2"/>
      <c r="J1387" s="17"/>
      <c r="K1387" s="17"/>
      <c r="L1387" s="17"/>
    </row>
    <row r="1388" spans="1:12">
      <c r="A1388" s="50"/>
      <c r="B1388" s="49">
        <v>4</v>
      </c>
      <c r="C1388" s="19" t="s">
        <v>503</v>
      </c>
      <c r="D1388" s="20">
        <v>0</v>
      </c>
      <c r="E1388" s="21">
        <v>0</v>
      </c>
      <c r="F1388" s="20">
        <f t="shared" si="138"/>
        <v>0</v>
      </c>
      <c r="G1388" s="69">
        <v>40</v>
      </c>
      <c r="H1388" s="20">
        <f t="shared" si="139"/>
        <v>0</v>
      </c>
      <c r="I1388" s="2"/>
      <c r="J1388" s="17"/>
      <c r="K1388" s="17"/>
      <c r="L1388" s="17"/>
    </row>
    <row r="1389" spans="1:12">
      <c r="A1389" s="50"/>
      <c r="B1389" s="49">
        <v>5</v>
      </c>
      <c r="C1389" s="19" t="s">
        <v>504</v>
      </c>
      <c r="D1389" s="20">
        <v>0</v>
      </c>
      <c r="E1389" s="21">
        <v>0</v>
      </c>
      <c r="F1389" s="20">
        <f t="shared" si="138"/>
        <v>0</v>
      </c>
      <c r="G1389" s="69">
        <v>49000</v>
      </c>
      <c r="H1389" s="20">
        <f t="shared" si="139"/>
        <v>0</v>
      </c>
      <c r="I1389" s="2"/>
      <c r="J1389" s="17"/>
      <c r="K1389" s="17"/>
      <c r="L1389" s="17"/>
    </row>
    <row r="1390" spans="1:12">
      <c r="A1390" s="50"/>
      <c r="B1390" s="49">
        <v>6</v>
      </c>
      <c r="C1390" s="19" t="s">
        <v>354</v>
      </c>
      <c r="D1390" s="20">
        <v>0</v>
      </c>
      <c r="E1390" s="21">
        <v>0</v>
      </c>
      <c r="F1390" s="20">
        <f t="shared" si="138"/>
        <v>0</v>
      </c>
      <c r="G1390" s="69">
        <v>230.76923076923077</v>
      </c>
      <c r="H1390" s="20">
        <f t="shared" si="139"/>
        <v>0</v>
      </c>
      <c r="I1390" s="2"/>
      <c r="J1390" s="17"/>
      <c r="K1390" s="17"/>
      <c r="L1390" s="17"/>
    </row>
    <row r="1391" spans="1:12">
      <c r="A1391" s="50"/>
      <c r="B1391" s="49">
        <v>7</v>
      </c>
      <c r="C1391" s="19" t="s">
        <v>43</v>
      </c>
      <c r="D1391" s="20">
        <v>212.42999999999998</v>
      </c>
      <c r="E1391" s="21">
        <v>0.58199999999999996</v>
      </c>
      <c r="F1391" s="20">
        <f t="shared" si="138"/>
        <v>123.63425999999998</v>
      </c>
      <c r="G1391" s="69">
        <v>177.69230769230768</v>
      </c>
      <c r="H1391" s="20">
        <f t="shared" si="139"/>
        <v>21968.856969230765</v>
      </c>
      <c r="I1391" s="2"/>
      <c r="J1391" s="17"/>
      <c r="K1391" s="17"/>
      <c r="L1391" s="17"/>
    </row>
    <row r="1392" spans="1:12">
      <c r="A1392" s="50"/>
      <c r="B1392" s="49">
        <v>8</v>
      </c>
      <c r="C1392" s="19" t="s">
        <v>45</v>
      </c>
      <c r="D1392" s="20">
        <v>849.71999999999991</v>
      </c>
      <c r="E1392" s="21">
        <v>0.58199999999999996</v>
      </c>
      <c r="F1392" s="20">
        <f t="shared" si="138"/>
        <v>494.53703999999993</v>
      </c>
      <c r="G1392" s="69">
        <v>77.692307692307693</v>
      </c>
      <c r="H1392" s="20">
        <f t="shared" si="139"/>
        <v>38421.723876923075</v>
      </c>
      <c r="I1392" s="2"/>
      <c r="J1392" s="17"/>
      <c r="K1392" s="17"/>
      <c r="L1392" s="17"/>
    </row>
    <row r="1393" spans="1:12">
      <c r="A1393" s="50"/>
      <c r="B1393" s="49">
        <v>9</v>
      </c>
      <c r="C1393" s="19" t="s">
        <v>47</v>
      </c>
      <c r="D1393" s="20">
        <v>1274.58</v>
      </c>
      <c r="E1393" s="21">
        <v>0.58199999999999996</v>
      </c>
      <c r="F1393" s="20">
        <f t="shared" si="138"/>
        <v>741.8055599999999</v>
      </c>
      <c r="G1393" s="69">
        <v>264.61538461538458</v>
      </c>
      <c r="H1393" s="20">
        <f t="shared" si="139"/>
        <v>196293.16356923073</v>
      </c>
      <c r="I1393" s="2"/>
      <c r="J1393" s="17"/>
      <c r="K1393" s="17"/>
      <c r="L1393" s="17"/>
    </row>
    <row r="1394" spans="1:12">
      <c r="A1394" s="50"/>
      <c r="B1394" s="49">
        <v>10</v>
      </c>
      <c r="C1394" s="19" t="s">
        <v>51</v>
      </c>
      <c r="D1394" s="20">
        <v>78.84</v>
      </c>
      <c r="E1394" s="21">
        <v>0.216</v>
      </c>
      <c r="F1394" s="20">
        <f t="shared" si="138"/>
        <v>17.029440000000001</v>
      </c>
      <c r="G1394" s="69">
        <v>288.46153846153845</v>
      </c>
      <c r="H1394" s="20">
        <f t="shared" si="139"/>
        <v>4912.3384615384621</v>
      </c>
      <c r="I1394" s="2"/>
      <c r="J1394" s="17"/>
      <c r="K1394" s="17"/>
      <c r="L1394" s="17"/>
    </row>
    <row r="1395" spans="1:12">
      <c r="A1395" s="50"/>
      <c r="B1395" s="49">
        <v>11</v>
      </c>
      <c r="C1395" s="19" t="s">
        <v>52</v>
      </c>
      <c r="D1395" s="20">
        <v>1.5767999999999998</v>
      </c>
      <c r="E1395" s="21">
        <v>0.14399999999999999</v>
      </c>
      <c r="F1395" s="20">
        <f t="shared" si="138"/>
        <v>0.22705919999999996</v>
      </c>
      <c r="G1395" s="69">
        <v>9000</v>
      </c>
      <c r="H1395" s="20">
        <f t="shared" si="139"/>
        <v>2043.5327999999997</v>
      </c>
      <c r="I1395" s="2"/>
      <c r="J1395" s="17"/>
      <c r="K1395" s="17"/>
      <c r="L1395" s="17"/>
    </row>
    <row r="1396" spans="1:12">
      <c r="A1396" s="50"/>
      <c r="B1396" s="49">
        <v>12</v>
      </c>
      <c r="C1396" s="19"/>
      <c r="D1396" s="20">
        <v>0</v>
      </c>
      <c r="E1396" s="21">
        <v>1</v>
      </c>
      <c r="F1396" s="20">
        <f t="shared" si="138"/>
        <v>0</v>
      </c>
      <c r="G1396" s="21">
        <v>112</v>
      </c>
      <c r="H1396" s="20">
        <f t="shared" si="139"/>
        <v>0</v>
      </c>
      <c r="I1396" s="2"/>
      <c r="J1396" s="17"/>
      <c r="K1396" s="17"/>
      <c r="L1396" s="17"/>
    </row>
    <row r="1397" spans="1:12">
      <c r="A1397" s="50"/>
      <c r="B1397" s="49">
        <v>13</v>
      </c>
      <c r="C1397" s="19"/>
      <c r="D1397" s="20">
        <v>0</v>
      </c>
      <c r="E1397" s="21">
        <v>1</v>
      </c>
      <c r="F1397" s="20">
        <f t="shared" si="138"/>
        <v>0</v>
      </c>
      <c r="G1397" s="21">
        <v>113</v>
      </c>
      <c r="H1397" s="20">
        <f t="shared" si="139"/>
        <v>0</v>
      </c>
      <c r="I1397" s="2"/>
      <c r="J1397" s="17"/>
      <c r="K1397" s="17"/>
      <c r="L1397" s="17"/>
    </row>
    <row r="1398" spans="1:12">
      <c r="A1398" s="50"/>
      <c r="B1398" s="49">
        <v>14</v>
      </c>
      <c r="C1398" s="19"/>
      <c r="D1398" s="20">
        <v>0</v>
      </c>
      <c r="E1398" s="21">
        <v>1</v>
      </c>
      <c r="F1398" s="20">
        <f>D1398*E1398</f>
        <v>0</v>
      </c>
      <c r="G1398" s="21">
        <v>102</v>
      </c>
      <c r="H1398" s="20">
        <f>F1398*G1398</f>
        <v>0</v>
      </c>
      <c r="I1398" s="2"/>
      <c r="J1398" s="17"/>
      <c r="K1398" s="17"/>
      <c r="L1398" s="17"/>
    </row>
    <row r="1399" spans="1:12">
      <c r="A1399" s="50"/>
      <c r="B1399" s="49"/>
      <c r="C1399" s="14" t="s">
        <v>711</v>
      </c>
      <c r="D1399" s="20"/>
      <c r="F1399" s="20"/>
      <c r="H1399" s="25">
        <f>SUM(H1385:H1398)</f>
        <v>18142743.461830758</v>
      </c>
      <c r="I1399" s="2"/>
      <c r="J1399" s="17"/>
      <c r="K1399" s="17"/>
      <c r="L1399" s="17"/>
    </row>
    <row r="1400" spans="1:12">
      <c r="A1400" s="50"/>
      <c r="B1400" s="51"/>
      <c r="C1400" s="14"/>
      <c r="D1400" s="20"/>
      <c r="F1400" s="20"/>
      <c r="H1400" s="20"/>
      <c r="I1400" s="2"/>
      <c r="J1400" s="17"/>
      <c r="K1400" s="17"/>
      <c r="L1400" s="17"/>
    </row>
    <row r="1401" spans="1:12">
      <c r="A1401" s="50"/>
      <c r="B1401" s="51"/>
      <c r="C1401" s="14" t="s">
        <v>712</v>
      </c>
      <c r="D1401" s="20"/>
      <c r="F1401" s="20"/>
      <c r="H1401" s="20"/>
      <c r="I1401" s="2"/>
      <c r="J1401" s="17"/>
      <c r="K1401" s="17"/>
      <c r="L1401" s="17"/>
    </row>
    <row r="1402" spans="1:12">
      <c r="A1402" s="50"/>
      <c r="B1402" s="49">
        <v>1</v>
      </c>
      <c r="C1402" s="19"/>
      <c r="D1402" s="20">
        <v>0</v>
      </c>
      <c r="E1402" s="21">
        <v>1</v>
      </c>
      <c r="F1402" s="20">
        <f>D1402*E1402</f>
        <v>0</v>
      </c>
      <c r="G1402" s="21">
        <v>101</v>
      </c>
      <c r="H1402" s="20">
        <f>F1402*G1402</f>
        <v>0</v>
      </c>
      <c r="I1402" s="2"/>
      <c r="J1402" s="17"/>
      <c r="K1402" s="17"/>
      <c r="L1402" s="17"/>
    </row>
    <row r="1403" spans="1:12">
      <c r="A1403" s="50"/>
      <c r="B1403" s="49">
        <v>2</v>
      </c>
      <c r="C1403" s="19"/>
      <c r="D1403" s="20">
        <v>0</v>
      </c>
      <c r="E1403" s="21">
        <v>1</v>
      </c>
      <c r="F1403" s="20">
        <f>D1403*E1403</f>
        <v>0</v>
      </c>
      <c r="G1403" s="21">
        <v>102</v>
      </c>
      <c r="H1403" s="20">
        <f>F1403*G1403</f>
        <v>0</v>
      </c>
      <c r="I1403" s="2"/>
      <c r="J1403" s="17"/>
      <c r="K1403" s="17"/>
      <c r="L1403" s="17"/>
    </row>
    <row r="1404" spans="1:12">
      <c r="A1404" s="50"/>
      <c r="B1404" s="49"/>
      <c r="C1404" s="14" t="s">
        <v>713</v>
      </c>
      <c r="D1404" s="20"/>
      <c r="F1404" s="20"/>
      <c r="H1404" s="25">
        <f>SUM(H1402:H1403)</f>
        <v>0</v>
      </c>
      <c r="I1404" s="2"/>
      <c r="J1404" s="17"/>
      <c r="K1404" s="17"/>
      <c r="L1404" s="17"/>
    </row>
    <row r="1405" spans="1:12">
      <c r="A1405" s="50"/>
      <c r="B1405" s="51"/>
      <c r="C1405" s="14"/>
      <c r="D1405" s="20"/>
      <c r="F1405" s="20"/>
      <c r="H1405" s="20"/>
      <c r="I1405" s="2"/>
      <c r="J1405" s="17"/>
      <c r="K1405" s="17"/>
      <c r="L1405" s="17"/>
    </row>
    <row r="1406" spans="1:12">
      <c r="A1406" s="50"/>
      <c r="B1406" s="51"/>
      <c r="C1406" s="14" t="s">
        <v>714</v>
      </c>
      <c r="D1406" s="20"/>
      <c r="F1406" s="20"/>
      <c r="H1406" s="20"/>
      <c r="I1406" s="2"/>
      <c r="J1406" s="17"/>
      <c r="K1406" s="17"/>
      <c r="L1406" s="17"/>
    </row>
    <row r="1407" spans="1:12">
      <c r="A1407" s="50"/>
      <c r="B1407" s="49">
        <v>1</v>
      </c>
      <c r="C1407" s="19"/>
      <c r="D1407" s="20">
        <v>0</v>
      </c>
      <c r="E1407" s="21">
        <v>1</v>
      </c>
      <c r="F1407" s="20">
        <f>D1407*E1407</f>
        <v>0</v>
      </c>
      <c r="G1407" s="21">
        <v>101</v>
      </c>
      <c r="H1407" s="20">
        <f>F1407*G1407</f>
        <v>0</v>
      </c>
      <c r="I1407" s="2"/>
      <c r="J1407" s="17"/>
      <c r="K1407" s="17"/>
      <c r="L1407" s="17"/>
    </row>
    <row r="1408" spans="1:12">
      <c r="A1408" s="50"/>
      <c r="B1408" s="49">
        <v>2</v>
      </c>
      <c r="C1408" s="19"/>
      <c r="D1408" s="20">
        <v>0</v>
      </c>
      <c r="E1408" s="21">
        <v>1</v>
      </c>
      <c r="F1408" s="20">
        <f>D1408*E1408</f>
        <v>0</v>
      </c>
      <c r="G1408" s="21">
        <v>102</v>
      </c>
      <c r="H1408" s="20">
        <f>F1408*G1408</f>
        <v>0</v>
      </c>
      <c r="I1408" s="2"/>
      <c r="J1408" s="17"/>
      <c r="K1408" s="17"/>
      <c r="L1408" s="17"/>
    </row>
    <row r="1409" spans="1:12">
      <c r="A1409" s="50"/>
      <c r="B1409" s="49"/>
      <c r="C1409" s="14" t="s">
        <v>715</v>
      </c>
      <c r="D1409" s="20"/>
      <c r="F1409" s="20"/>
      <c r="H1409" s="25">
        <f>SUM(H1407:H1408)</f>
        <v>0</v>
      </c>
      <c r="I1409" s="2"/>
      <c r="J1409" s="17"/>
      <c r="K1409" s="17"/>
      <c r="L1409" s="17"/>
    </row>
    <row r="1410" spans="1:12">
      <c r="A1410" s="50"/>
      <c r="B1410" s="49"/>
      <c r="C1410" s="14"/>
      <c r="D1410" s="20"/>
      <c r="F1410" s="20"/>
      <c r="H1410" s="25"/>
      <c r="I1410" s="2"/>
      <c r="J1410" s="17"/>
      <c r="K1410" s="17"/>
      <c r="L1410" s="17"/>
    </row>
    <row r="1411" spans="1:12">
      <c r="A1411" s="50"/>
      <c r="B1411" s="51"/>
      <c r="C1411" s="14" t="s">
        <v>716</v>
      </c>
      <c r="D1411" s="20"/>
      <c r="F1411" s="20"/>
      <c r="H1411" s="20"/>
      <c r="I1411" s="2"/>
      <c r="J1411" s="17"/>
      <c r="K1411" s="17"/>
      <c r="L1411" s="17"/>
    </row>
    <row r="1412" spans="1:12">
      <c r="A1412" s="50"/>
      <c r="B1412" s="49">
        <v>1</v>
      </c>
      <c r="C1412" s="19"/>
      <c r="D1412" s="20">
        <v>0</v>
      </c>
      <c r="E1412" s="21">
        <v>1</v>
      </c>
      <c r="F1412" s="20">
        <f>D1412*E1412</f>
        <v>0</v>
      </c>
      <c r="G1412" s="21">
        <v>101</v>
      </c>
      <c r="H1412" s="20">
        <f>F1412*G1412</f>
        <v>0</v>
      </c>
      <c r="I1412" s="2"/>
      <c r="J1412" s="17"/>
      <c r="K1412" s="17"/>
      <c r="L1412" s="17"/>
    </row>
    <row r="1413" spans="1:12">
      <c r="A1413" s="50"/>
      <c r="B1413" s="49">
        <v>2</v>
      </c>
      <c r="C1413" s="19"/>
      <c r="D1413" s="20">
        <v>0</v>
      </c>
      <c r="E1413" s="21">
        <v>1</v>
      </c>
      <c r="F1413" s="20">
        <f>D1413*E1413</f>
        <v>0</v>
      </c>
      <c r="G1413" s="21">
        <v>102</v>
      </c>
      <c r="H1413" s="20">
        <f>F1413*G1413</f>
        <v>0</v>
      </c>
      <c r="I1413" s="2"/>
      <c r="J1413" s="17"/>
      <c r="K1413" s="17"/>
      <c r="L1413" s="17"/>
    </row>
    <row r="1414" spans="1:12">
      <c r="A1414" s="50"/>
      <c r="B1414" s="49"/>
      <c r="C1414" s="14" t="s">
        <v>717</v>
      </c>
      <c r="D1414" s="20"/>
      <c r="F1414" s="20"/>
      <c r="H1414" s="25">
        <f>SUM(H1412:H1413)</f>
        <v>0</v>
      </c>
      <c r="I1414" s="2"/>
      <c r="J1414" s="17"/>
      <c r="K1414" s="17"/>
      <c r="L1414" s="17"/>
    </row>
    <row r="1415" spans="1:12">
      <c r="A1415" s="50"/>
      <c r="B1415" s="49"/>
      <c r="C1415" s="14"/>
      <c r="D1415" s="20"/>
      <c r="F1415" s="20"/>
      <c r="H1415" s="25"/>
      <c r="I1415" s="2"/>
      <c r="J1415" s="17"/>
      <c r="K1415" s="17"/>
      <c r="L1415" s="17"/>
    </row>
    <row r="1416" spans="1:12">
      <c r="A1416" s="50"/>
      <c r="B1416" s="51"/>
      <c r="C1416" s="14" t="s">
        <v>718</v>
      </c>
      <c r="D1416" s="20"/>
      <c r="F1416" s="20"/>
      <c r="H1416" s="25">
        <f>H1367+H1372+H1377+H1382+H1399+H1404+H1409+H1414</f>
        <v>18142743.461830758</v>
      </c>
      <c r="I1416" s="2"/>
      <c r="J1416" s="17"/>
      <c r="K1416" s="17"/>
      <c r="L1416" s="17"/>
    </row>
    <row r="1417" spans="1:12">
      <c r="A1417" s="50"/>
      <c r="B1417" s="51"/>
      <c r="C1417" s="14"/>
      <c r="D1417" s="20"/>
      <c r="F1417" s="20"/>
      <c r="H1417" s="20"/>
      <c r="I1417" s="2"/>
      <c r="J1417" s="17"/>
      <c r="K1417" s="17"/>
      <c r="L1417" s="17"/>
    </row>
    <row r="1418" spans="1:12" ht="26">
      <c r="A1418" s="50"/>
      <c r="B1418" s="48" t="s">
        <v>719</v>
      </c>
      <c r="C1418" s="14" t="s">
        <v>720</v>
      </c>
      <c r="D1418" s="20"/>
      <c r="F1418" s="20"/>
      <c r="H1418" s="20"/>
      <c r="I1418" s="2"/>
      <c r="J1418" s="17"/>
      <c r="K1418" s="17"/>
      <c r="L1418" s="17"/>
    </row>
    <row r="1419" spans="1:12">
      <c r="A1419" s="50"/>
      <c r="B1419" s="49">
        <v>1</v>
      </c>
      <c r="C1419" s="19"/>
      <c r="D1419" s="20">
        <v>0</v>
      </c>
      <c r="E1419" s="21">
        <v>1</v>
      </c>
      <c r="F1419" s="20">
        <f>D1419*E1419</f>
        <v>0</v>
      </c>
      <c r="G1419" s="21">
        <v>101</v>
      </c>
      <c r="H1419" s="20">
        <f>F1419*G1419</f>
        <v>0</v>
      </c>
      <c r="I1419" s="2"/>
      <c r="J1419" s="17"/>
      <c r="K1419" s="17"/>
      <c r="L1419" s="17"/>
    </row>
    <row r="1420" spans="1:12">
      <c r="A1420" s="50"/>
      <c r="B1420" s="49">
        <v>2</v>
      </c>
      <c r="C1420" s="19"/>
      <c r="D1420" s="20">
        <v>0</v>
      </c>
      <c r="E1420" s="21">
        <v>1</v>
      </c>
      <c r="F1420" s="20">
        <f t="shared" ref="F1420:F1422" si="140">D1420*E1420</f>
        <v>0</v>
      </c>
      <c r="G1420" s="21">
        <v>102</v>
      </c>
      <c r="H1420" s="20">
        <f t="shared" ref="H1420:H1422" si="141">F1420*G1420</f>
        <v>0</v>
      </c>
      <c r="I1420" s="2"/>
      <c r="J1420" s="17"/>
      <c r="K1420" s="17"/>
      <c r="L1420" s="17"/>
    </row>
    <row r="1421" spans="1:12">
      <c r="A1421" s="50"/>
      <c r="B1421" s="49">
        <v>3</v>
      </c>
      <c r="C1421" s="19"/>
      <c r="D1421" s="20">
        <v>0</v>
      </c>
      <c r="E1421" s="21">
        <v>1</v>
      </c>
      <c r="F1421" s="20">
        <f t="shared" si="140"/>
        <v>0</v>
      </c>
      <c r="G1421" s="21">
        <v>103</v>
      </c>
      <c r="H1421" s="20">
        <f t="shared" si="141"/>
        <v>0</v>
      </c>
      <c r="I1421" s="2"/>
      <c r="J1421" s="17"/>
      <c r="K1421" s="17"/>
      <c r="L1421" s="17"/>
    </row>
    <row r="1422" spans="1:12">
      <c r="A1422" s="50"/>
      <c r="B1422" s="49">
        <v>4</v>
      </c>
      <c r="C1422" s="19"/>
      <c r="D1422" s="20">
        <v>0</v>
      </c>
      <c r="E1422" s="21">
        <v>1</v>
      </c>
      <c r="F1422" s="20">
        <f t="shared" si="140"/>
        <v>0</v>
      </c>
      <c r="G1422" s="21">
        <v>104</v>
      </c>
      <c r="H1422" s="20">
        <f t="shared" si="141"/>
        <v>0</v>
      </c>
      <c r="I1422" s="2"/>
      <c r="J1422" s="17"/>
      <c r="K1422" s="17"/>
      <c r="L1422" s="17"/>
    </row>
    <row r="1423" spans="1:12">
      <c r="A1423" s="50"/>
      <c r="B1423" s="49">
        <v>5</v>
      </c>
      <c r="C1423" s="19"/>
      <c r="D1423" s="20">
        <v>0</v>
      </c>
      <c r="E1423" s="21">
        <v>1</v>
      </c>
      <c r="F1423" s="20">
        <f>D1423*E1423</f>
        <v>0</v>
      </c>
      <c r="G1423" s="21">
        <v>102</v>
      </c>
      <c r="H1423" s="20">
        <f>F1423*G1423</f>
        <v>0</v>
      </c>
      <c r="I1423" s="2"/>
      <c r="J1423" s="17"/>
      <c r="K1423" s="17"/>
      <c r="L1423" s="17"/>
    </row>
    <row r="1424" spans="1:12">
      <c r="A1424" s="50"/>
      <c r="B1424" s="49"/>
      <c r="C1424" s="14" t="s">
        <v>721</v>
      </c>
      <c r="D1424" s="20"/>
      <c r="F1424" s="20"/>
      <c r="H1424" s="25">
        <f>SUM(H1419:H1423)</f>
        <v>0</v>
      </c>
      <c r="I1424" s="2"/>
      <c r="J1424" s="17"/>
      <c r="K1424" s="17"/>
      <c r="L1424" s="17"/>
    </row>
    <row r="1425" spans="1:12">
      <c r="A1425" s="50"/>
      <c r="B1425" s="48"/>
      <c r="C1425" s="14"/>
      <c r="D1425" s="20"/>
      <c r="F1425" s="20"/>
      <c r="H1425" s="20"/>
      <c r="I1425" s="2"/>
      <c r="J1425" s="17"/>
      <c r="K1425" s="17"/>
      <c r="L1425" s="17"/>
    </row>
    <row r="1426" spans="1:12">
      <c r="A1426" s="50"/>
      <c r="B1426" s="51"/>
      <c r="C1426" s="14" t="s">
        <v>722</v>
      </c>
      <c r="D1426" s="20"/>
      <c r="F1426" s="20"/>
      <c r="H1426" s="20"/>
      <c r="I1426" s="2"/>
      <c r="J1426" s="17"/>
      <c r="K1426" s="17"/>
      <c r="L1426" s="17"/>
    </row>
    <row r="1427" spans="1:12">
      <c r="A1427" s="50"/>
      <c r="B1427" s="49">
        <v>1</v>
      </c>
      <c r="C1427" s="19"/>
      <c r="D1427" s="20">
        <v>0</v>
      </c>
      <c r="E1427" s="21">
        <v>1</v>
      </c>
      <c r="F1427" s="20">
        <f>D1427*E1427</f>
        <v>0</v>
      </c>
      <c r="G1427" s="21">
        <v>101</v>
      </c>
      <c r="H1427" s="20">
        <f>F1427*G1427</f>
        <v>0</v>
      </c>
      <c r="I1427" s="2"/>
      <c r="J1427" s="17"/>
      <c r="K1427" s="17"/>
      <c r="L1427" s="17"/>
    </row>
    <row r="1428" spans="1:12">
      <c r="A1428" s="50"/>
      <c r="B1428" s="49">
        <v>2</v>
      </c>
      <c r="C1428" s="19"/>
      <c r="D1428" s="20">
        <v>0</v>
      </c>
      <c r="E1428" s="21">
        <v>1</v>
      </c>
      <c r="F1428" s="20">
        <f t="shared" ref="F1428:F1430" si="142">D1428*E1428</f>
        <v>0</v>
      </c>
      <c r="G1428" s="21">
        <v>102</v>
      </c>
      <c r="H1428" s="20">
        <f t="shared" ref="H1428:H1430" si="143">F1428*G1428</f>
        <v>0</v>
      </c>
      <c r="I1428" s="2"/>
      <c r="J1428" s="17"/>
      <c r="K1428" s="17"/>
      <c r="L1428" s="17"/>
    </row>
    <row r="1429" spans="1:12">
      <c r="A1429" s="50"/>
      <c r="B1429" s="49">
        <v>3</v>
      </c>
      <c r="C1429" s="19"/>
      <c r="D1429" s="20">
        <v>0</v>
      </c>
      <c r="E1429" s="21">
        <v>1</v>
      </c>
      <c r="F1429" s="20">
        <f t="shared" si="142"/>
        <v>0</v>
      </c>
      <c r="G1429" s="21">
        <v>103</v>
      </c>
      <c r="H1429" s="20">
        <f t="shared" si="143"/>
        <v>0</v>
      </c>
      <c r="I1429" s="2"/>
      <c r="J1429" s="17"/>
      <c r="K1429" s="17"/>
      <c r="L1429" s="17"/>
    </row>
    <row r="1430" spans="1:12">
      <c r="A1430" s="50"/>
      <c r="B1430" s="49">
        <v>4</v>
      </c>
      <c r="C1430" s="19"/>
      <c r="D1430" s="20">
        <v>0</v>
      </c>
      <c r="E1430" s="21">
        <v>1</v>
      </c>
      <c r="F1430" s="20">
        <f t="shared" si="142"/>
        <v>0</v>
      </c>
      <c r="G1430" s="21">
        <v>104</v>
      </c>
      <c r="H1430" s="20">
        <f t="shared" si="143"/>
        <v>0</v>
      </c>
      <c r="I1430" s="2"/>
      <c r="J1430" s="17"/>
      <c r="K1430" s="17"/>
      <c r="L1430" s="17"/>
    </row>
    <row r="1431" spans="1:12">
      <c r="A1431" s="50"/>
      <c r="B1431" s="49">
        <v>5</v>
      </c>
      <c r="C1431" s="19"/>
      <c r="D1431" s="20">
        <v>0</v>
      </c>
      <c r="E1431" s="21">
        <v>1</v>
      </c>
      <c r="F1431" s="20">
        <f>D1431*E1431</f>
        <v>0</v>
      </c>
      <c r="G1431" s="21">
        <v>102</v>
      </c>
      <c r="H1431" s="20">
        <f>F1431*G1431</f>
        <v>0</v>
      </c>
      <c r="I1431" s="2"/>
      <c r="J1431" s="17"/>
      <c r="K1431" s="17"/>
      <c r="L1431" s="17"/>
    </row>
    <row r="1432" spans="1:12">
      <c r="A1432" s="50"/>
      <c r="B1432" s="49"/>
      <c r="C1432" s="14" t="s">
        <v>723</v>
      </c>
      <c r="D1432" s="20"/>
      <c r="F1432" s="20"/>
      <c r="H1432" s="25">
        <f>SUM(H1427:H1431)</f>
        <v>0</v>
      </c>
      <c r="I1432" s="2"/>
      <c r="J1432" s="17"/>
      <c r="K1432" s="17"/>
      <c r="L1432" s="17"/>
    </row>
    <row r="1433" spans="1:12">
      <c r="A1433" s="50"/>
      <c r="B1433" s="51"/>
      <c r="C1433" s="14"/>
      <c r="D1433" s="20"/>
      <c r="F1433" s="20"/>
      <c r="H1433" s="20"/>
      <c r="I1433" s="2"/>
      <c r="J1433" s="17"/>
      <c r="K1433" s="17"/>
      <c r="L1433" s="17"/>
    </row>
    <row r="1434" spans="1:12">
      <c r="A1434" s="50"/>
      <c r="B1434" s="51"/>
      <c r="C1434" s="14" t="s">
        <v>724</v>
      </c>
      <c r="D1434" s="20"/>
      <c r="F1434" s="20"/>
      <c r="H1434" s="20"/>
      <c r="I1434" s="2"/>
      <c r="J1434" s="17"/>
      <c r="K1434" s="17"/>
      <c r="L1434" s="17"/>
    </row>
    <row r="1435" spans="1:12">
      <c r="A1435" s="50"/>
      <c r="B1435" s="49">
        <v>1</v>
      </c>
      <c r="C1435" s="19"/>
      <c r="D1435" s="20">
        <v>0</v>
      </c>
      <c r="E1435" s="21">
        <v>1</v>
      </c>
      <c r="F1435" s="20">
        <f>D1435*E1435</f>
        <v>0</v>
      </c>
      <c r="G1435" s="21">
        <v>101</v>
      </c>
      <c r="H1435" s="20">
        <f>F1435*G1435</f>
        <v>0</v>
      </c>
      <c r="I1435" s="2"/>
      <c r="J1435" s="17"/>
      <c r="K1435" s="17"/>
      <c r="L1435" s="17"/>
    </row>
    <row r="1436" spans="1:12">
      <c r="A1436" s="50"/>
      <c r="B1436" s="49">
        <v>2</v>
      </c>
      <c r="C1436" s="19"/>
      <c r="D1436" s="20">
        <v>0</v>
      </c>
      <c r="E1436" s="21">
        <v>1</v>
      </c>
      <c r="F1436" s="20">
        <f t="shared" ref="F1436:F1438" si="144">D1436*E1436</f>
        <v>0</v>
      </c>
      <c r="G1436" s="21">
        <v>102</v>
      </c>
      <c r="H1436" s="20">
        <f t="shared" ref="H1436:H1438" si="145">F1436*G1436</f>
        <v>0</v>
      </c>
      <c r="I1436" s="2"/>
      <c r="J1436" s="17"/>
      <c r="K1436" s="17"/>
      <c r="L1436" s="17"/>
    </row>
    <row r="1437" spans="1:12">
      <c r="A1437" s="50"/>
      <c r="B1437" s="49">
        <v>3</v>
      </c>
      <c r="C1437" s="19"/>
      <c r="D1437" s="20">
        <v>0</v>
      </c>
      <c r="E1437" s="21">
        <v>1</v>
      </c>
      <c r="F1437" s="20">
        <f t="shared" si="144"/>
        <v>0</v>
      </c>
      <c r="G1437" s="21">
        <v>103</v>
      </c>
      <c r="H1437" s="20">
        <f t="shared" si="145"/>
        <v>0</v>
      </c>
      <c r="I1437" s="2"/>
      <c r="J1437" s="17"/>
      <c r="K1437" s="17"/>
      <c r="L1437" s="17"/>
    </row>
    <row r="1438" spans="1:12">
      <c r="A1438" s="50"/>
      <c r="B1438" s="49">
        <v>4</v>
      </c>
      <c r="C1438" s="19"/>
      <c r="D1438" s="20">
        <v>0</v>
      </c>
      <c r="E1438" s="21">
        <v>1</v>
      </c>
      <c r="F1438" s="20">
        <f t="shared" si="144"/>
        <v>0</v>
      </c>
      <c r="G1438" s="21">
        <v>104</v>
      </c>
      <c r="H1438" s="20">
        <f t="shared" si="145"/>
        <v>0</v>
      </c>
      <c r="I1438" s="2"/>
      <c r="J1438" s="17"/>
      <c r="K1438" s="17"/>
      <c r="L1438" s="17"/>
    </row>
    <row r="1439" spans="1:12">
      <c r="A1439" s="50"/>
      <c r="B1439" s="49">
        <v>5</v>
      </c>
      <c r="C1439" s="19"/>
      <c r="D1439" s="20">
        <v>0</v>
      </c>
      <c r="E1439" s="21">
        <v>1</v>
      </c>
      <c r="F1439" s="20">
        <f>D1439*E1439</f>
        <v>0</v>
      </c>
      <c r="G1439" s="21">
        <v>102</v>
      </c>
      <c r="H1439" s="20">
        <f>F1439*G1439</f>
        <v>0</v>
      </c>
      <c r="I1439" s="2"/>
      <c r="J1439" s="17"/>
      <c r="K1439" s="17"/>
      <c r="L1439" s="17"/>
    </row>
    <row r="1440" spans="1:12">
      <c r="A1440" s="50"/>
      <c r="B1440" s="49"/>
      <c r="C1440" s="14" t="s">
        <v>725</v>
      </c>
      <c r="D1440" s="20"/>
      <c r="F1440" s="20"/>
      <c r="H1440" s="25">
        <f>SUM(H1435:H1439)</f>
        <v>0</v>
      </c>
      <c r="I1440" s="2"/>
      <c r="J1440" s="17"/>
      <c r="K1440" s="17"/>
      <c r="L1440" s="17"/>
    </row>
    <row r="1441" spans="1:12">
      <c r="A1441" s="50"/>
      <c r="B1441" s="51"/>
      <c r="C1441" s="14"/>
      <c r="D1441" s="20"/>
      <c r="F1441" s="20"/>
      <c r="H1441" s="20"/>
      <c r="I1441" s="2"/>
      <c r="J1441" s="17"/>
      <c r="K1441" s="17"/>
      <c r="L1441" s="17"/>
    </row>
    <row r="1442" spans="1:12">
      <c r="A1442" s="50"/>
      <c r="B1442" s="51"/>
      <c r="C1442" s="14" t="s">
        <v>726</v>
      </c>
      <c r="D1442" s="20"/>
      <c r="F1442" s="20"/>
      <c r="H1442" s="20"/>
      <c r="I1442" s="2"/>
      <c r="J1442" s="17"/>
      <c r="K1442" s="17"/>
      <c r="L1442" s="17"/>
    </row>
    <row r="1443" spans="1:12">
      <c r="A1443" s="50"/>
      <c r="B1443" s="49">
        <v>1</v>
      </c>
      <c r="C1443" s="19"/>
      <c r="D1443" s="20">
        <v>0</v>
      </c>
      <c r="E1443" s="21">
        <v>1</v>
      </c>
      <c r="F1443" s="20">
        <f>D1443*E1443</f>
        <v>0</v>
      </c>
      <c r="G1443" s="21">
        <v>101</v>
      </c>
      <c r="H1443" s="20">
        <f>F1443*G1443</f>
        <v>0</v>
      </c>
      <c r="I1443" s="2"/>
      <c r="J1443" s="17"/>
      <c r="K1443" s="17"/>
      <c r="L1443" s="17"/>
    </row>
    <row r="1444" spans="1:12">
      <c r="A1444" s="50"/>
      <c r="B1444" s="49">
        <v>2</v>
      </c>
      <c r="C1444" s="19"/>
      <c r="D1444" s="20">
        <v>0</v>
      </c>
      <c r="E1444" s="21">
        <v>1</v>
      </c>
      <c r="F1444" s="20">
        <f t="shared" ref="F1444:F1446" si="146">D1444*E1444</f>
        <v>0</v>
      </c>
      <c r="G1444" s="21">
        <v>102</v>
      </c>
      <c r="H1444" s="20">
        <f t="shared" ref="H1444:H1446" si="147">F1444*G1444</f>
        <v>0</v>
      </c>
      <c r="I1444" s="2"/>
      <c r="J1444" s="17"/>
      <c r="K1444" s="17"/>
      <c r="L1444" s="17"/>
    </row>
    <row r="1445" spans="1:12">
      <c r="A1445" s="50"/>
      <c r="B1445" s="49">
        <v>3</v>
      </c>
      <c r="C1445" s="19"/>
      <c r="D1445" s="20">
        <v>0</v>
      </c>
      <c r="E1445" s="21">
        <v>1</v>
      </c>
      <c r="F1445" s="20">
        <f t="shared" si="146"/>
        <v>0</v>
      </c>
      <c r="G1445" s="21">
        <v>103</v>
      </c>
      <c r="H1445" s="20">
        <f t="shared" si="147"/>
        <v>0</v>
      </c>
      <c r="I1445" s="2"/>
      <c r="J1445" s="17"/>
      <c r="K1445" s="17"/>
      <c r="L1445" s="17"/>
    </row>
    <row r="1446" spans="1:12">
      <c r="A1446" s="50"/>
      <c r="B1446" s="49">
        <v>4</v>
      </c>
      <c r="C1446" s="19"/>
      <c r="D1446" s="20">
        <v>0</v>
      </c>
      <c r="E1446" s="21">
        <v>1</v>
      </c>
      <c r="F1446" s="20">
        <f t="shared" si="146"/>
        <v>0</v>
      </c>
      <c r="G1446" s="21">
        <v>104</v>
      </c>
      <c r="H1446" s="20">
        <f t="shared" si="147"/>
        <v>0</v>
      </c>
      <c r="I1446" s="2"/>
      <c r="J1446" s="17"/>
      <c r="K1446" s="17"/>
      <c r="L1446" s="17"/>
    </row>
    <row r="1447" spans="1:12">
      <c r="A1447" s="50"/>
      <c r="B1447" s="49">
        <v>5</v>
      </c>
      <c r="C1447" s="19"/>
      <c r="D1447" s="20">
        <v>0</v>
      </c>
      <c r="E1447" s="21">
        <v>1</v>
      </c>
      <c r="F1447" s="20">
        <f>D1447*E1447</f>
        <v>0</v>
      </c>
      <c r="G1447" s="21">
        <v>102</v>
      </c>
      <c r="H1447" s="20">
        <f>F1447*G1447</f>
        <v>0</v>
      </c>
      <c r="I1447" s="2"/>
      <c r="J1447" s="17"/>
      <c r="K1447" s="17"/>
      <c r="L1447" s="17"/>
    </row>
    <row r="1448" spans="1:12">
      <c r="A1448" s="50"/>
      <c r="B1448" s="49"/>
      <c r="C1448" s="14" t="s">
        <v>727</v>
      </c>
      <c r="D1448" s="20"/>
      <c r="F1448" s="20"/>
      <c r="H1448" s="25">
        <f>SUM(H1443:H1447)</f>
        <v>0</v>
      </c>
      <c r="I1448" s="2"/>
      <c r="J1448" s="17"/>
      <c r="K1448" s="17"/>
      <c r="L1448" s="17"/>
    </row>
    <row r="1449" spans="1:12">
      <c r="A1449" s="50"/>
      <c r="B1449" s="51"/>
      <c r="C1449" s="14"/>
      <c r="D1449" s="20"/>
      <c r="F1449" s="20"/>
      <c r="H1449" s="20"/>
      <c r="I1449" s="2"/>
      <c r="J1449" s="17"/>
      <c r="K1449" s="17"/>
      <c r="L1449" s="17"/>
    </row>
    <row r="1450" spans="1:12">
      <c r="A1450" s="50"/>
      <c r="B1450" s="51"/>
      <c r="C1450" s="14" t="s">
        <v>728</v>
      </c>
      <c r="D1450" s="20"/>
      <c r="F1450" s="20"/>
      <c r="H1450" s="20"/>
      <c r="I1450" s="2"/>
      <c r="J1450" s="17"/>
      <c r="K1450" s="17"/>
      <c r="L1450" s="17"/>
    </row>
    <row r="1451" spans="1:12">
      <c r="A1451" s="50"/>
      <c r="B1451" s="49">
        <v>1</v>
      </c>
      <c r="C1451" s="19" t="s">
        <v>496</v>
      </c>
      <c r="D1451" s="20">
        <v>0</v>
      </c>
      <c r="E1451" s="21">
        <v>1</v>
      </c>
      <c r="F1451" s="20">
        <f>D1451*E1451</f>
        <v>0</v>
      </c>
      <c r="G1451" s="21">
        <f>K43</f>
        <v>5384.6153846153802</v>
      </c>
      <c r="H1451" s="20">
        <f>F1451*G1451</f>
        <v>0</v>
      </c>
      <c r="I1451" s="2"/>
      <c r="J1451" s="17"/>
      <c r="K1451" s="17"/>
      <c r="L1451" s="17"/>
    </row>
    <row r="1452" spans="1:12">
      <c r="A1452" s="50"/>
      <c r="B1452" s="49">
        <v>2</v>
      </c>
      <c r="C1452" s="19" t="s">
        <v>497</v>
      </c>
      <c r="D1452" s="20">
        <v>0</v>
      </c>
      <c r="E1452" s="21">
        <v>1</v>
      </c>
      <c r="F1452" s="20">
        <f t="shared" ref="F1452:F1463" si="148">D1452*E1452</f>
        <v>0</v>
      </c>
      <c r="G1452" s="21">
        <f>K44</f>
        <v>8307.6923076923104</v>
      </c>
      <c r="H1452" s="20">
        <f t="shared" ref="H1452:H1463" si="149">F1452*G1452</f>
        <v>0</v>
      </c>
      <c r="I1452" s="2"/>
      <c r="J1452" s="17"/>
      <c r="K1452" s="17"/>
      <c r="L1452" s="17"/>
    </row>
    <row r="1453" spans="1:12">
      <c r="A1453" s="50"/>
      <c r="B1453" s="49">
        <v>3</v>
      </c>
      <c r="C1453" s="19" t="s">
        <v>606</v>
      </c>
      <c r="D1453" s="20">
        <v>0</v>
      </c>
      <c r="E1453" s="21">
        <v>1</v>
      </c>
      <c r="F1453" s="20">
        <f t="shared" si="148"/>
        <v>0</v>
      </c>
      <c r="G1453" s="21">
        <v>60.769230769230766</v>
      </c>
      <c r="H1453" s="20">
        <f t="shared" si="149"/>
        <v>0</v>
      </c>
      <c r="I1453" s="2"/>
      <c r="J1453" s="17"/>
      <c r="K1453" s="17"/>
      <c r="L1453" s="17"/>
    </row>
    <row r="1454" spans="1:12">
      <c r="A1454" s="50"/>
      <c r="B1454" s="49">
        <v>4</v>
      </c>
      <c r="C1454" s="19" t="s">
        <v>503</v>
      </c>
      <c r="D1454" s="20">
        <v>0</v>
      </c>
      <c r="E1454" s="21">
        <v>0</v>
      </c>
      <c r="F1454" s="20">
        <f t="shared" si="148"/>
        <v>0</v>
      </c>
      <c r="G1454" s="21">
        <v>40</v>
      </c>
      <c r="H1454" s="20">
        <f t="shared" si="149"/>
        <v>0</v>
      </c>
      <c r="I1454" s="2"/>
      <c r="J1454" s="17"/>
      <c r="K1454" s="17"/>
      <c r="L1454" s="17"/>
    </row>
    <row r="1455" spans="1:12">
      <c r="A1455" s="50"/>
      <c r="B1455" s="49">
        <v>5</v>
      </c>
      <c r="C1455" s="19" t="s">
        <v>504</v>
      </c>
      <c r="D1455" s="20">
        <v>0</v>
      </c>
      <c r="E1455" s="21">
        <v>0</v>
      </c>
      <c r="F1455" s="20">
        <f t="shared" si="148"/>
        <v>0</v>
      </c>
      <c r="G1455" s="21">
        <v>49000</v>
      </c>
      <c r="H1455" s="20">
        <f t="shared" si="149"/>
        <v>0</v>
      </c>
      <c r="I1455" s="2"/>
      <c r="J1455" s="17"/>
      <c r="K1455" s="17"/>
      <c r="L1455" s="17"/>
    </row>
    <row r="1456" spans="1:12">
      <c r="A1456" s="50"/>
      <c r="B1456" s="49">
        <v>6</v>
      </c>
      <c r="C1456" s="19" t="s">
        <v>507</v>
      </c>
      <c r="D1456" s="20">
        <v>0</v>
      </c>
      <c r="E1456" s="21">
        <v>0</v>
      </c>
      <c r="F1456" s="20">
        <f t="shared" si="148"/>
        <v>0</v>
      </c>
      <c r="G1456" s="21">
        <v>230.76923076923077</v>
      </c>
      <c r="H1456" s="20">
        <f t="shared" si="149"/>
        <v>0</v>
      </c>
      <c r="I1456" s="2"/>
      <c r="J1456" s="17"/>
      <c r="K1456" s="17"/>
      <c r="L1456" s="17"/>
    </row>
    <row r="1457" spans="1:12">
      <c r="A1457" s="50"/>
      <c r="B1457" s="49">
        <v>7</v>
      </c>
      <c r="C1457" s="19" t="s">
        <v>508</v>
      </c>
      <c r="D1457" s="20">
        <v>0</v>
      </c>
      <c r="E1457" s="21">
        <v>0.14399999999999999</v>
      </c>
      <c r="F1457" s="20">
        <f t="shared" si="148"/>
        <v>0</v>
      </c>
      <c r="G1457" s="21">
        <v>9000</v>
      </c>
      <c r="H1457" s="20">
        <f t="shared" si="149"/>
        <v>0</v>
      </c>
      <c r="I1457" s="2"/>
      <c r="J1457" s="17"/>
      <c r="K1457" s="17"/>
      <c r="L1457" s="17"/>
    </row>
    <row r="1458" spans="1:12">
      <c r="A1458" s="50"/>
      <c r="B1458" s="49">
        <v>8</v>
      </c>
      <c r="C1458" s="19" t="s">
        <v>352</v>
      </c>
      <c r="D1458" s="20">
        <v>0</v>
      </c>
      <c r="E1458" s="21">
        <v>0.58199999999999996</v>
      </c>
      <c r="F1458" s="20">
        <f t="shared" si="148"/>
        <v>0</v>
      </c>
      <c r="G1458" s="21">
        <v>177.69230769230768</v>
      </c>
      <c r="H1458" s="20">
        <f t="shared" si="149"/>
        <v>0</v>
      </c>
      <c r="I1458" s="2"/>
      <c r="J1458" s="17"/>
      <c r="K1458" s="17"/>
      <c r="L1458" s="17"/>
    </row>
    <row r="1459" spans="1:12">
      <c r="A1459" s="50"/>
      <c r="B1459" s="49">
        <v>9</v>
      </c>
      <c r="C1459" s="19" t="s">
        <v>45</v>
      </c>
      <c r="D1459" s="20">
        <v>0</v>
      </c>
      <c r="E1459" s="21">
        <v>0.58199999999999996</v>
      </c>
      <c r="F1459" s="20">
        <f t="shared" si="148"/>
        <v>0</v>
      </c>
      <c r="G1459" s="21">
        <v>77.692307692307693</v>
      </c>
      <c r="H1459" s="20">
        <f t="shared" si="149"/>
        <v>0</v>
      </c>
      <c r="I1459" s="2"/>
      <c r="J1459" s="17"/>
      <c r="K1459" s="17"/>
      <c r="L1459" s="17"/>
    </row>
    <row r="1460" spans="1:12">
      <c r="A1460" s="50"/>
      <c r="B1460" s="49">
        <v>10</v>
      </c>
      <c r="C1460" s="19" t="s">
        <v>351</v>
      </c>
      <c r="D1460" s="20">
        <v>0</v>
      </c>
      <c r="E1460" s="21">
        <v>0.58199999999999996</v>
      </c>
      <c r="F1460" s="20">
        <f t="shared" si="148"/>
        <v>0</v>
      </c>
      <c r="G1460" s="21">
        <v>264.61538461538458</v>
      </c>
      <c r="H1460" s="20">
        <f t="shared" si="149"/>
        <v>0</v>
      </c>
      <c r="I1460" s="2"/>
      <c r="J1460" s="17"/>
      <c r="K1460" s="17"/>
      <c r="L1460" s="17"/>
    </row>
    <row r="1461" spans="1:12">
      <c r="A1461" s="50"/>
      <c r="B1461" s="49">
        <v>11</v>
      </c>
      <c r="C1461" s="19" t="s">
        <v>629</v>
      </c>
      <c r="D1461" s="20">
        <v>10</v>
      </c>
      <c r="E1461" s="21">
        <v>1</v>
      </c>
      <c r="F1461" s="20">
        <f t="shared" si="148"/>
        <v>10</v>
      </c>
      <c r="G1461" s="69">
        <v>12000</v>
      </c>
      <c r="H1461" s="20">
        <f t="shared" si="149"/>
        <v>120000</v>
      </c>
      <c r="I1461" s="2"/>
      <c r="J1461" s="17"/>
      <c r="K1461" s="17"/>
      <c r="L1461" s="17"/>
    </row>
    <row r="1462" spans="1:12">
      <c r="A1462" s="50"/>
      <c r="B1462" s="49">
        <v>12</v>
      </c>
      <c r="C1462" s="19" t="s">
        <v>630</v>
      </c>
      <c r="D1462" s="20">
        <v>21</v>
      </c>
      <c r="E1462" s="21">
        <v>0.01</v>
      </c>
      <c r="F1462" s="20">
        <f t="shared" si="148"/>
        <v>0.21</v>
      </c>
      <c r="G1462" s="69">
        <v>91000</v>
      </c>
      <c r="H1462" s="20">
        <f t="shared" si="149"/>
        <v>19110</v>
      </c>
      <c r="I1462" s="2"/>
      <c r="J1462" s="17"/>
      <c r="K1462" s="17"/>
      <c r="L1462" s="17"/>
    </row>
    <row r="1463" spans="1:12">
      <c r="A1463" s="50"/>
      <c r="B1463" s="49">
        <v>13</v>
      </c>
      <c r="C1463" s="19"/>
      <c r="D1463" s="20">
        <v>0</v>
      </c>
      <c r="E1463" s="21">
        <v>1</v>
      </c>
      <c r="F1463" s="20">
        <f t="shared" si="148"/>
        <v>0</v>
      </c>
      <c r="G1463" s="21">
        <v>113</v>
      </c>
      <c r="H1463" s="20">
        <f t="shared" si="149"/>
        <v>0</v>
      </c>
      <c r="I1463" s="2"/>
      <c r="J1463" s="17"/>
      <c r="K1463" s="17"/>
      <c r="L1463" s="17"/>
    </row>
    <row r="1464" spans="1:12">
      <c r="A1464" s="50"/>
      <c r="B1464" s="49">
        <v>14</v>
      </c>
      <c r="C1464" s="19"/>
      <c r="D1464" s="20">
        <v>0</v>
      </c>
      <c r="E1464" s="21">
        <v>1</v>
      </c>
      <c r="F1464" s="20">
        <f>D1464*E1464</f>
        <v>0</v>
      </c>
      <c r="G1464" s="21">
        <v>102</v>
      </c>
      <c r="H1464" s="20">
        <f>F1464*G1464</f>
        <v>0</v>
      </c>
      <c r="I1464" s="2"/>
      <c r="J1464" s="17"/>
      <c r="K1464" s="17"/>
      <c r="L1464" s="17"/>
    </row>
    <row r="1465" spans="1:12">
      <c r="A1465" s="50"/>
      <c r="B1465" s="49"/>
      <c r="C1465" s="14" t="s">
        <v>729</v>
      </c>
      <c r="D1465" s="20"/>
      <c r="F1465" s="20"/>
      <c r="H1465" s="25">
        <f>SUM(H1451:H1464)</f>
        <v>139110</v>
      </c>
      <c r="I1465" s="2"/>
      <c r="J1465" s="17"/>
      <c r="K1465" s="17"/>
      <c r="L1465" s="17"/>
    </row>
    <row r="1466" spans="1:12">
      <c r="A1466" s="50"/>
      <c r="B1466" s="51"/>
      <c r="C1466" s="14"/>
      <c r="D1466" s="20"/>
      <c r="F1466" s="20"/>
      <c r="H1466" s="20"/>
      <c r="I1466" s="2"/>
      <c r="J1466" s="17"/>
      <c r="K1466" s="17"/>
      <c r="L1466" s="17"/>
    </row>
    <row r="1467" spans="1:12">
      <c r="A1467" s="50"/>
      <c r="B1467" s="51"/>
      <c r="C1467" s="14" t="s">
        <v>730</v>
      </c>
      <c r="D1467" s="20"/>
      <c r="F1467" s="20"/>
      <c r="H1467" s="20"/>
      <c r="I1467" s="2"/>
      <c r="J1467" s="17"/>
      <c r="K1467" s="17"/>
      <c r="L1467" s="17"/>
    </row>
    <row r="1468" spans="1:12">
      <c r="A1468" s="50"/>
      <c r="B1468" s="49">
        <v>1</v>
      </c>
      <c r="C1468" s="19" t="s">
        <v>514</v>
      </c>
      <c r="D1468" s="20">
        <v>1</v>
      </c>
      <c r="E1468" s="21">
        <v>1</v>
      </c>
      <c r="F1468" s="20">
        <f>D1468*E1468</f>
        <v>1</v>
      </c>
      <c r="G1468" s="21">
        <v>40000</v>
      </c>
      <c r="H1468" s="20">
        <f>F1468*G1468</f>
        <v>40000</v>
      </c>
      <c r="I1468" s="2"/>
      <c r="J1468" s="17"/>
      <c r="K1468" s="17"/>
      <c r="L1468" s="17"/>
    </row>
    <row r="1469" spans="1:12">
      <c r="A1469" s="50"/>
      <c r="B1469" s="49">
        <v>2</v>
      </c>
      <c r="C1469" s="19"/>
      <c r="D1469" s="20">
        <v>0</v>
      </c>
      <c r="E1469" s="21">
        <v>1</v>
      </c>
      <c r="F1469" s="20">
        <f t="shared" ref="F1469:F1471" si="150">D1469*E1469</f>
        <v>0</v>
      </c>
      <c r="G1469" s="21">
        <v>102</v>
      </c>
      <c r="H1469" s="20">
        <f t="shared" ref="H1469:H1471" si="151">F1469*G1469</f>
        <v>0</v>
      </c>
      <c r="I1469" s="2"/>
      <c r="J1469" s="17"/>
      <c r="K1469" s="17"/>
      <c r="L1469" s="17"/>
    </row>
    <row r="1470" spans="1:12">
      <c r="A1470" s="50"/>
      <c r="B1470" s="49">
        <v>3</v>
      </c>
      <c r="C1470" s="19"/>
      <c r="D1470" s="20">
        <v>0</v>
      </c>
      <c r="E1470" s="21">
        <v>1</v>
      </c>
      <c r="F1470" s="20">
        <f t="shared" si="150"/>
        <v>0</v>
      </c>
      <c r="G1470" s="21">
        <v>103</v>
      </c>
      <c r="H1470" s="20">
        <f t="shared" si="151"/>
        <v>0</v>
      </c>
      <c r="I1470" s="2"/>
      <c r="J1470" s="17"/>
      <c r="K1470" s="17"/>
      <c r="L1470" s="17"/>
    </row>
    <row r="1471" spans="1:12">
      <c r="A1471" s="50"/>
      <c r="B1471" s="49">
        <v>4</v>
      </c>
      <c r="C1471" s="19"/>
      <c r="D1471" s="20">
        <v>0</v>
      </c>
      <c r="E1471" s="21">
        <v>1</v>
      </c>
      <c r="F1471" s="20">
        <f t="shared" si="150"/>
        <v>0</v>
      </c>
      <c r="G1471" s="21">
        <v>104</v>
      </c>
      <c r="H1471" s="20">
        <f t="shared" si="151"/>
        <v>0</v>
      </c>
      <c r="I1471" s="2"/>
      <c r="J1471" s="17"/>
      <c r="K1471" s="17"/>
      <c r="L1471" s="17"/>
    </row>
    <row r="1472" spans="1:12">
      <c r="A1472" s="50"/>
      <c r="B1472" s="49">
        <v>5</v>
      </c>
      <c r="C1472" s="19"/>
      <c r="D1472" s="20">
        <v>0</v>
      </c>
      <c r="E1472" s="21">
        <v>1</v>
      </c>
      <c r="F1472" s="20">
        <f>D1472*E1472</f>
        <v>0</v>
      </c>
      <c r="G1472" s="21">
        <v>102</v>
      </c>
      <c r="H1472" s="20">
        <f>F1472*G1472</f>
        <v>0</v>
      </c>
      <c r="I1472" s="2"/>
      <c r="J1472" s="17"/>
      <c r="K1472" s="17"/>
      <c r="L1472" s="17"/>
    </row>
    <row r="1473" spans="1:12">
      <c r="A1473" s="50"/>
      <c r="B1473" s="49"/>
      <c r="C1473" s="14" t="s">
        <v>731</v>
      </c>
      <c r="D1473" s="20"/>
      <c r="F1473" s="20"/>
      <c r="H1473" s="25">
        <f>SUM(H1468:H1472)</f>
        <v>40000</v>
      </c>
      <c r="I1473" s="2"/>
      <c r="J1473" s="17"/>
      <c r="K1473" s="17"/>
      <c r="L1473" s="17"/>
    </row>
    <row r="1474" spans="1:12">
      <c r="A1474" s="50"/>
      <c r="B1474" s="51"/>
      <c r="C1474" s="14"/>
      <c r="D1474" s="20"/>
      <c r="F1474" s="20"/>
      <c r="H1474" s="20"/>
      <c r="I1474" s="2"/>
      <c r="J1474" s="17"/>
      <c r="K1474" s="17"/>
      <c r="L1474" s="17"/>
    </row>
    <row r="1475" spans="1:12">
      <c r="A1475" s="50"/>
      <c r="B1475" s="51"/>
      <c r="C1475" s="14" t="s">
        <v>732</v>
      </c>
      <c r="D1475" s="20"/>
      <c r="F1475" s="20"/>
      <c r="H1475" s="20"/>
      <c r="I1475" s="2"/>
      <c r="J1475" s="17"/>
      <c r="K1475" s="17"/>
      <c r="L1475" s="17"/>
    </row>
    <row r="1476" spans="1:12">
      <c r="A1476" s="50"/>
      <c r="B1476" s="49">
        <v>1</v>
      </c>
      <c r="C1476" s="19" t="s">
        <v>219</v>
      </c>
      <c r="D1476" s="20">
        <v>2</v>
      </c>
      <c r="E1476" s="21">
        <v>1</v>
      </c>
      <c r="F1476" s="20">
        <f>D1476*E1476</f>
        <v>2</v>
      </c>
      <c r="G1476" s="69">
        <v>12507</v>
      </c>
      <c r="H1476" s="20">
        <f>F1476*G1476</f>
        <v>25014</v>
      </c>
      <c r="I1476" s="2"/>
      <c r="J1476" s="17"/>
      <c r="K1476" s="17"/>
      <c r="L1476" s="17"/>
    </row>
    <row r="1477" spans="1:12">
      <c r="A1477" s="50"/>
      <c r="B1477" s="49">
        <v>2</v>
      </c>
      <c r="C1477" s="19" t="s">
        <v>64</v>
      </c>
      <c r="D1477" s="20">
        <v>3</v>
      </c>
      <c r="E1477" s="21">
        <v>1</v>
      </c>
      <c r="F1477" s="20">
        <f t="shared" ref="F1477:F1481" si="152">D1477*E1477</f>
        <v>3</v>
      </c>
      <c r="G1477" s="69">
        <v>12507</v>
      </c>
      <c r="H1477" s="20">
        <f t="shared" ref="H1477:H1481" si="153">F1477*G1477</f>
        <v>37521</v>
      </c>
      <c r="I1477" s="2"/>
      <c r="J1477" s="17"/>
      <c r="K1477" s="17"/>
      <c r="L1477" s="17"/>
    </row>
    <row r="1478" spans="1:12">
      <c r="A1478" s="50"/>
      <c r="B1478" s="49">
        <v>3</v>
      </c>
      <c r="C1478" s="19" t="s">
        <v>65</v>
      </c>
      <c r="D1478" s="20">
        <v>3</v>
      </c>
      <c r="E1478" s="21">
        <v>1</v>
      </c>
      <c r="F1478" s="20">
        <f t="shared" si="152"/>
        <v>3</v>
      </c>
      <c r="G1478" s="69">
        <v>12507</v>
      </c>
      <c r="H1478" s="20">
        <f t="shared" si="153"/>
        <v>37521</v>
      </c>
      <c r="I1478" s="2"/>
      <c r="J1478" s="17"/>
      <c r="K1478" s="17"/>
      <c r="L1478" s="17"/>
    </row>
    <row r="1479" spans="1:12">
      <c r="A1479" s="50"/>
      <c r="B1479" s="49">
        <v>4</v>
      </c>
      <c r="C1479" s="19" t="s">
        <v>358</v>
      </c>
      <c r="D1479" s="20">
        <v>3</v>
      </c>
      <c r="E1479" s="21">
        <v>1</v>
      </c>
      <c r="F1479" s="20">
        <f t="shared" si="152"/>
        <v>3</v>
      </c>
      <c r="G1479" s="69">
        <v>12507</v>
      </c>
      <c r="H1479" s="20">
        <f t="shared" si="153"/>
        <v>37521</v>
      </c>
      <c r="I1479" s="2"/>
      <c r="J1479" s="17"/>
      <c r="K1479" s="17"/>
      <c r="L1479" s="17"/>
    </row>
    <row r="1480" spans="1:12">
      <c r="A1480" s="50"/>
      <c r="B1480" s="49">
        <v>5</v>
      </c>
      <c r="C1480" s="19" t="s">
        <v>222</v>
      </c>
      <c r="D1480" s="20">
        <v>9</v>
      </c>
      <c r="E1480" s="21">
        <v>1</v>
      </c>
      <c r="F1480" s="20">
        <f t="shared" si="152"/>
        <v>9</v>
      </c>
      <c r="G1480" s="69">
        <v>12507</v>
      </c>
      <c r="H1480" s="20">
        <f t="shared" si="153"/>
        <v>112563</v>
      </c>
      <c r="I1480" s="2"/>
      <c r="J1480" s="17"/>
      <c r="K1480" s="17"/>
      <c r="L1480" s="17"/>
    </row>
    <row r="1481" spans="1:12">
      <c r="A1481" s="50"/>
      <c r="B1481" s="49">
        <v>6</v>
      </c>
      <c r="C1481" s="19" t="s">
        <v>360</v>
      </c>
      <c r="D1481" s="20">
        <v>2</v>
      </c>
      <c r="E1481" s="21">
        <v>1</v>
      </c>
      <c r="F1481" s="20">
        <f t="shared" si="152"/>
        <v>2</v>
      </c>
      <c r="G1481" s="69">
        <v>31769</v>
      </c>
      <c r="H1481" s="20">
        <f t="shared" si="153"/>
        <v>63538</v>
      </c>
      <c r="I1481" s="2"/>
      <c r="J1481" s="17"/>
      <c r="K1481" s="17"/>
      <c r="L1481" s="17"/>
    </row>
    <row r="1482" spans="1:12">
      <c r="A1482" s="50"/>
      <c r="B1482" s="49">
        <v>7</v>
      </c>
      <c r="C1482" s="19"/>
      <c r="D1482" s="20">
        <v>0</v>
      </c>
      <c r="E1482" s="21">
        <v>1</v>
      </c>
      <c r="F1482" s="20">
        <f>D1482*E1482</f>
        <v>0</v>
      </c>
      <c r="G1482" s="31">
        <v>102</v>
      </c>
      <c r="H1482" s="20">
        <f>F1482*G1482</f>
        <v>0</v>
      </c>
      <c r="I1482" s="2"/>
      <c r="J1482" s="17"/>
      <c r="K1482" s="17"/>
      <c r="L1482" s="17"/>
    </row>
    <row r="1483" spans="1:12">
      <c r="A1483" s="50"/>
      <c r="B1483" s="49"/>
      <c r="C1483" s="14" t="s">
        <v>733</v>
      </c>
      <c r="D1483" s="20"/>
      <c r="F1483" s="20"/>
      <c r="H1483" s="25">
        <f>SUM(H1476:H1482)</f>
        <v>313678</v>
      </c>
      <c r="I1483" s="2"/>
      <c r="J1483" s="17"/>
      <c r="K1483" s="17"/>
      <c r="L1483" s="17"/>
    </row>
    <row r="1484" spans="1:12">
      <c r="A1484" s="50"/>
      <c r="B1484" s="49"/>
      <c r="C1484" s="14"/>
      <c r="D1484" s="20"/>
      <c r="F1484" s="20"/>
      <c r="H1484" s="25"/>
      <c r="I1484" s="2"/>
      <c r="J1484" s="17"/>
      <c r="K1484" s="17"/>
      <c r="L1484" s="17"/>
    </row>
    <row r="1485" spans="1:12">
      <c r="A1485" s="50"/>
      <c r="B1485" s="51"/>
      <c r="C1485" s="14" t="s">
        <v>734</v>
      </c>
      <c r="D1485" s="20"/>
      <c r="F1485" s="20"/>
      <c r="H1485" s="20"/>
      <c r="I1485" s="2"/>
      <c r="J1485" s="17"/>
      <c r="K1485" s="17"/>
      <c r="L1485" s="17"/>
    </row>
    <row r="1486" spans="1:12">
      <c r="A1486" s="50"/>
      <c r="B1486" s="49">
        <v>1</v>
      </c>
      <c r="C1486" s="19" t="s">
        <v>638</v>
      </c>
      <c r="D1486" s="20">
        <v>5</v>
      </c>
      <c r="E1486" s="21">
        <v>1</v>
      </c>
      <c r="F1486" s="20">
        <f>D1486*E1486</f>
        <v>5</v>
      </c>
      <c r="G1486" s="21">
        <v>140000</v>
      </c>
      <c r="H1486" s="20">
        <f>F1486*G1486</f>
        <v>700000</v>
      </c>
      <c r="I1486" s="2"/>
      <c r="J1486" s="17"/>
      <c r="K1486" s="17"/>
      <c r="L1486" s="17"/>
    </row>
    <row r="1487" spans="1:12">
      <c r="A1487" s="50"/>
      <c r="B1487" s="49">
        <v>2</v>
      </c>
      <c r="C1487" s="19" t="s">
        <v>76</v>
      </c>
      <c r="D1487" s="20">
        <v>5</v>
      </c>
      <c r="E1487" s="21">
        <v>1</v>
      </c>
      <c r="F1487" s="20">
        <f t="shared" ref="F1487:F1493" si="154">D1487*E1487</f>
        <v>5</v>
      </c>
      <c r="G1487" s="21">
        <v>30770</v>
      </c>
      <c r="H1487" s="20">
        <f t="shared" ref="H1487:H1493" si="155">F1487*G1487</f>
        <v>153850</v>
      </c>
      <c r="I1487" s="2"/>
      <c r="J1487" s="17"/>
      <c r="K1487" s="17"/>
      <c r="L1487" s="17"/>
    </row>
    <row r="1488" spans="1:12">
      <c r="A1488" s="50"/>
      <c r="B1488" s="49">
        <v>3</v>
      </c>
      <c r="C1488" s="19" t="s">
        <v>639</v>
      </c>
      <c r="D1488" s="20">
        <v>5</v>
      </c>
      <c r="E1488" s="21">
        <v>1</v>
      </c>
      <c r="F1488" s="20">
        <f t="shared" si="154"/>
        <v>5</v>
      </c>
      <c r="G1488" s="21">
        <v>30770</v>
      </c>
      <c r="H1488" s="20">
        <f t="shared" si="155"/>
        <v>153850</v>
      </c>
      <c r="I1488" s="2"/>
      <c r="J1488" s="17"/>
      <c r="K1488" s="17"/>
      <c r="L1488" s="17"/>
    </row>
    <row r="1489" spans="1:12">
      <c r="A1489" s="50"/>
      <c r="B1489" s="49">
        <v>4</v>
      </c>
      <c r="C1489" s="19"/>
      <c r="D1489" s="20">
        <v>0</v>
      </c>
      <c r="E1489" s="21">
        <v>4</v>
      </c>
      <c r="F1489" s="20">
        <f t="shared" si="154"/>
        <v>0</v>
      </c>
      <c r="G1489" s="21">
        <v>104</v>
      </c>
      <c r="H1489" s="20">
        <f t="shared" si="155"/>
        <v>0</v>
      </c>
      <c r="I1489" s="2"/>
      <c r="J1489" s="17"/>
      <c r="K1489" s="17"/>
      <c r="L1489" s="17"/>
    </row>
    <row r="1490" spans="1:12">
      <c r="A1490" s="50"/>
      <c r="B1490" s="49">
        <v>5</v>
      </c>
      <c r="C1490" s="19"/>
      <c r="D1490" s="20">
        <v>0</v>
      </c>
      <c r="E1490" s="21">
        <v>5</v>
      </c>
      <c r="F1490" s="20">
        <f t="shared" si="154"/>
        <v>0</v>
      </c>
      <c r="G1490" s="21">
        <v>105</v>
      </c>
      <c r="H1490" s="20">
        <f t="shared" si="155"/>
        <v>0</v>
      </c>
      <c r="I1490" s="2"/>
      <c r="J1490" s="17"/>
      <c r="K1490" s="17"/>
      <c r="L1490" s="17"/>
    </row>
    <row r="1491" spans="1:12">
      <c r="A1491" s="50"/>
      <c r="B1491" s="49">
        <v>6</v>
      </c>
      <c r="C1491" s="19"/>
      <c r="D1491" s="20">
        <v>0</v>
      </c>
      <c r="E1491" s="21">
        <v>6</v>
      </c>
      <c r="F1491" s="20">
        <f t="shared" si="154"/>
        <v>0</v>
      </c>
      <c r="G1491" s="21">
        <v>106</v>
      </c>
      <c r="H1491" s="20">
        <f t="shared" si="155"/>
        <v>0</v>
      </c>
      <c r="I1491" s="2"/>
      <c r="J1491" s="17"/>
      <c r="K1491" s="17"/>
      <c r="L1491" s="17"/>
    </row>
    <row r="1492" spans="1:12">
      <c r="A1492" s="50"/>
      <c r="B1492" s="49">
        <v>7</v>
      </c>
      <c r="C1492" s="19"/>
      <c r="D1492" s="20">
        <v>0</v>
      </c>
      <c r="E1492" s="21">
        <v>7</v>
      </c>
      <c r="F1492" s="20">
        <f t="shared" si="154"/>
        <v>0</v>
      </c>
      <c r="G1492" s="21">
        <v>107</v>
      </c>
      <c r="H1492" s="20">
        <f t="shared" si="155"/>
        <v>0</v>
      </c>
      <c r="I1492" s="2"/>
      <c r="J1492" s="17"/>
      <c r="K1492" s="17"/>
      <c r="L1492" s="17"/>
    </row>
    <row r="1493" spans="1:12">
      <c r="A1493" s="50"/>
      <c r="B1493" s="49">
        <v>8</v>
      </c>
      <c r="C1493" s="19"/>
      <c r="D1493" s="20">
        <v>0</v>
      </c>
      <c r="E1493" s="21">
        <v>8</v>
      </c>
      <c r="F1493" s="20">
        <f t="shared" si="154"/>
        <v>0</v>
      </c>
      <c r="G1493" s="21">
        <v>108</v>
      </c>
      <c r="H1493" s="20">
        <f t="shared" si="155"/>
        <v>0</v>
      </c>
      <c r="I1493" s="2"/>
      <c r="J1493" s="17"/>
      <c r="K1493" s="17"/>
      <c r="L1493" s="17"/>
    </row>
    <row r="1494" spans="1:12">
      <c r="A1494" s="50"/>
      <c r="B1494" s="49">
        <v>9</v>
      </c>
      <c r="C1494" s="19"/>
      <c r="D1494" s="20">
        <v>0</v>
      </c>
      <c r="E1494" s="21">
        <v>1</v>
      </c>
      <c r="F1494" s="20">
        <f>D1494*E1494</f>
        <v>0</v>
      </c>
      <c r="G1494" s="21">
        <v>102</v>
      </c>
      <c r="H1494" s="20">
        <f>F1494*G1494</f>
        <v>0</v>
      </c>
      <c r="I1494" s="2"/>
      <c r="J1494" s="17"/>
      <c r="K1494" s="17"/>
      <c r="L1494" s="17"/>
    </row>
    <row r="1495" spans="1:12">
      <c r="A1495" s="50"/>
      <c r="B1495" s="49"/>
      <c r="C1495" s="14" t="s">
        <v>735</v>
      </c>
      <c r="D1495" s="20"/>
      <c r="F1495" s="20"/>
      <c r="H1495" s="25">
        <f>SUM(H1486:H1494)</f>
        <v>1007700</v>
      </c>
      <c r="I1495" s="2"/>
      <c r="J1495" s="17"/>
      <c r="K1495" s="17"/>
      <c r="L1495" s="17"/>
    </row>
    <row r="1496" spans="1:12">
      <c r="A1496" s="50"/>
      <c r="B1496" s="49"/>
      <c r="C1496" s="14"/>
      <c r="D1496" s="20"/>
      <c r="F1496" s="20"/>
      <c r="H1496" s="25"/>
      <c r="I1496" s="2"/>
      <c r="J1496" s="17"/>
      <c r="K1496" s="17"/>
      <c r="L1496" s="17"/>
    </row>
    <row r="1497" spans="1:12">
      <c r="A1497" s="50"/>
      <c r="B1497" s="51"/>
      <c r="C1497" s="14" t="s">
        <v>736</v>
      </c>
      <c r="D1497" s="20"/>
      <c r="F1497" s="20"/>
      <c r="H1497" s="25">
        <f>H1424+H1432+H1440+H1448+H1465+H1473+H1483+H1495</f>
        <v>1500488</v>
      </c>
      <c r="I1497" s="2"/>
      <c r="J1497" s="17"/>
      <c r="K1497" s="17"/>
      <c r="L1497" s="17"/>
    </row>
    <row r="1498" spans="1:12">
      <c r="A1498" s="50"/>
      <c r="B1498" s="51"/>
      <c r="C1498" s="14"/>
      <c r="D1498" s="20"/>
      <c r="F1498" s="20"/>
      <c r="H1498" s="20"/>
      <c r="I1498" s="2"/>
      <c r="J1498" s="17"/>
      <c r="K1498" s="17"/>
      <c r="L1498" s="17"/>
    </row>
    <row r="1499" spans="1:12">
      <c r="A1499" s="50"/>
      <c r="B1499" s="51"/>
      <c r="C1499" s="14"/>
      <c r="D1499" s="20"/>
      <c r="F1499" s="20"/>
      <c r="H1499" s="20"/>
      <c r="I1499" s="2"/>
      <c r="J1499" s="17"/>
      <c r="K1499" s="17"/>
      <c r="L1499" s="17"/>
    </row>
    <row r="1500" spans="1:12" ht="26">
      <c r="A1500" s="50"/>
      <c r="B1500" s="48" t="s">
        <v>737</v>
      </c>
      <c r="C1500" s="14" t="s">
        <v>738</v>
      </c>
      <c r="D1500" s="20"/>
      <c r="F1500" s="20"/>
      <c r="H1500" s="20"/>
      <c r="I1500" s="2"/>
      <c r="J1500" s="17"/>
      <c r="K1500" s="17"/>
      <c r="L1500" s="17"/>
    </row>
    <row r="1501" spans="1:12">
      <c r="A1501" s="50"/>
      <c r="B1501" s="49">
        <v>1</v>
      </c>
      <c r="C1501" s="19"/>
      <c r="D1501" s="20">
        <v>0</v>
      </c>
      <c r="E1501" s="21">
        <v>1</v>
      </c>
      <c r="F1501" s="20">
        <f>D1501*E1501</f>
        <v>0</v>
      </c>
      <c r="G1501" s="21">
        <v>101</v>
      </c>
      <c r="H1501" s="20">
        <f>F1501*G1501</f>
        <v>0</v>
      </c>
      <c r="I1501" s="2"/>
      <c r="J1501" s="17"/>
      <c r="K1501" s="17"/>
      <c r="L1501" s="17"/>
    </row>
    <row r="1502" spans="1:12">
      <c r="A1502" s="50"/>
      <c r="B1502" s="49">
        <v>2</v>
      </c>
      <c r="C1502" s="19"/>
      <c r="D1502" s="20">
        <v>0</v>
      </c>
      <c r="E1502" s="21">
        <v>1</v>
      </c>
      <c r="F1502" s="20">
        <f t="shared" ref="F1502:F1504" si="156">D1502*E1502</f>
        <v>0</v>
      </c>
      <c r="G1502" s="21">
        <v>102</v>
      </c>
      <c r="H1502" s="20">
        <f t="shared" ref="H1502:H1504" si="157">F1502*G1502</f>
        <v>0</v>
      </c>
      <c r="I1502" s="2"/>
      <c r="J1502" s="17"/>
      <c r="K1502" s="17"/>
      <c r="L1502" s="17"/>
    </row>
    <row r="1503" spans="1:12">
      <c r="A1503" s="50"/>
      <c r="B1503" s="49">
        <v>3</v>
      </c>
      <c r="C1503" s="19"/>
      <c r="D1503" s="20">
        <v>0</v>
      </c>
      <c r="E1503" s="21">
        <v>1</v>
      </c>
      <c r="F1503" s="20">
        <f t="shared" si="156"/>
        <v>0</v>
      </c>
      <c r="G1503" s="21">
        <v>103</v>
      </c>
      <c r="H1503" s="20">
        <f t="shared" si="157"/>
        <v>0</v>
      </c>
      <c r="I1503" s="2"/>
      <c r="J1503" s="17"/>
      <c r="K1503" s="17"/>
      <c r="L1503" s="17"/>
    </row>
    <row r="1504" spans="1:12">
      <c r="A1504" s="50"/>
      <c r="B1504" s="49">
        <v>4</v>
      </c>
      <c r="C1504" s="19"/>
      <c r="D1504" s="20">
        <v>0</v>
      </c>
      <c r="E1504" s="21">
        <v>1</v>
      </c>
      <c r="F1504" s="20">
        <f t="shared" si="156"/>
        <v>0</v>
      </c>
      <c r="G1504" s="21">
        <v>104</v>
      </c>
      <c r="H1504" s="20">
        <f t="shared" si="157"/>
        <v>0</v>
      </c>
      <c r="I1504" s="2"/>
      <c r="J1504" s="17"/>
      <c r="K1504" s="17"/>
      <c r="L1504" s="17"/>
    </row>
    <row r="1505" spans="1:12">
      <c r="A1505" s="50"/>
      <c r="B1505" s="49">
        <v>5</v>
      </c>
      <c r="C1505" s="19"/>
      <c r="D1505" s="20">
        <v>0</v>
      </c>
      <c r="E1505" s="21">
        <v>1</v>
      </c>
      <c r="F1505" s="20">
        <f>D1505*E1505</f>
        <v>0</v>
      </c>
      <c r="G1505" s="21">
        <v>102</v>
      </c>
      <c r="H1505" s="20">
        <f>F1505*G1505</f>
        <v>0</v>
      </c>
      <c r="I1505" s="2"/>
      <c r="J1505" s="17"/>
      <c r="K1505" s="17"/>
      <c r="L1505" s="17"/>
    </row>
    <row r="1506" spans="1:12">
      <c r="A1506" s="50"/>
      <c r="B1506" s="49"/>
      <c r="C1506" s="14" t="s">
        <v>739</v>
      </c>
      <c r="D1506" s="20"/>
      <c r="F1506" s="20"/>
      <c r="H1506" s="25">
        <f>SUM(H1501:H1505)</f>
        <v>0</v>
      </c>
      <c r="I1506" s="2"/>
      <c r="J1506" s="17"/>
      <c r="K1506" s="17"/>
      <c r="L1506" s="17"/>
    </row>
    <row r="1507" spans="1:12">
      <c r="A1507" s="50"/>
      <c r="B1507" s="48"/>
      <c r="C1507" s="14"/>
      <c r="D1507" s="20"/>
      <c r="F1507" s="20"/>
      <c r="H1507" s="20"/>
      <c r="I1507" s="2"/>
      <c r="J1507" s="17"/>
      <c r="K1507" s="17"/>
      <c r="L1507" s="17"/>
    </row>
    <row r="1508" spans="1:12">
      <c r="A1508" s="50"/>
      <c r="B1508" s="51"/>
      <c r="C1508" s="14" t="s">
        <v>740</v>
      </c>
      <c r="D1508" s="20"/>
      <c r="F1508" s="20"/>
      <c r="H1508" s="20"/>
      <c r="I1508" s="2"/>
      <c r="J1508" s="17"/>
      <c r="K1508" s="17"/>
      <c r="L1508" s="17"/>
    </row>
    <row r="1509" spans="1:12">
      <c r="A1509" s="50"/>
      <c r="B1509" s="49">
        <v>1</v>
      </c>
      <c r="C1509" s="19"/>
      <c r="D1509" s="20">
        <v>0</v>
      </c>
      <c r="E1509" s="21">
        <v>1</v>
      </c>
      <c r="F1509" s="20">
        <f>D1509*E1509</f>
        <v>0</v>
      </c>
      <c r="G1509" s="21">
        <v>101</v>
      </c>
      <c r="H1509" s="20">
        <f>F1509*G1509</f>
        <v>0</v>
      </c>
      <c r="I1509" s="2"/>
      <c r="J1509" s="17"/>
      <c r="K1509" s="17"/>
      <c r="L1509" s="17"/>
    </row>
    <row r="1510" spans="1:12">
      <c r="A1510" s="50"/>
      <c r="B1510" s="49">
        <v>2</v>
      </c>
      <c r="C1510" s="19"/>
      <c r="D1510" s="20">
        <v>0</v>
      </c>
      <c r="E1510" s="21">
        <v>1</v>
      </c>
      <c r="F1510" s="20">
        <f t="shared" ref="F1510:F1512" si="158">D1510*E1510</f>
        <v>0</v>
      </c>
      <c r="G1510" s="21">
        <v>102</v>
      </c>
      <c r="H1510" s="20">
        <f t="shared" ref="H1510:H1512" si="159">F1510*G1510</f>
        <v>0</v>
      </c>
      <c r="I1510" s="2"/>
      <c r="J1510" s="17"/>
      <c r="K1510" s="17"/>
      <c r="L1510" s="17"/>
    </row>
    <row r="1511" spans="1:12">
      <c r="A1511" s="50"/>
      <c r="B1511" s="49">
        <v>3</v>
      </c>
      <c r="C1511" s="19"/>
      <c r="D1511" s="20">
        <v>0</v>
      </c>
      <c r="E1511" s="21">
        <v>1</v>
      </c>
      <c r="F1511" s="20">
        <f t="shared" si="158"/>
        <v>0</v>
      </c>
      <c r="G1511" s="21">
        <v>103</v>
      </c>
      <c r="H1511" s="20">
        <f t="shared" si="159"/>
        <v>0</v>
      </c>
      <c r="I1511" s="2"/>
      <c r="J1511" s="17"/>
      <c r="K1511" s="17"/>
      <c r="L1511" s="17"/>
    </row>
    <row r="1512" spans="1:12">
      <c r="A1512" s="50"/>
      <c r="B1512" s="49">
        <v>4</v>
      </c>
      <c r="C1512" s="19"/>
      <c r="D1512" s="20">
        <v>0</v>
      </c>
      <c r="E1512" s="21">
        <v>1</v>
      </c>
      <c r="F1512" s="20">
        <f t="shared" si="158"/>
        <v>0</v>
      </c>
      <c r="G1512" s="21">
        <v>104</v>
      </c>
      <c r="H1512" s="20">
        <f t="shared" si="159"/>
        <v>0</v>
      </c>
      <c r="I1512" s="2"/>
      <c r="J1512" s="17"/>
      <c r="K1512" s="17"/>
      <c r="L1512" s="17"/>
    </row>
    <row r="1513" spans="1:12">
      <c r="A1513" s="50"/>
      <c r="B1513" s="49">
        <v>5</v>
      </c>
      <c r="C1513" s="19"/>
      <c r="D1513" s="20">
        <v>0</v>
      </c>
      <c r="E1513" s="21">
        <v>1</v>
      </c>
      <c r="F1513" s="20">
        <f>D1513*E1513</f>
        <v>0</v>
      </c>
      <c r="G1513" s="21">
        <v>102</v>
      </c>
      <c r="H1513" s="20">
        <f>F1513*G1513</f>
        <v>0</v>
      </c>
      <c r="I1513" s="2"/>
      <c r="J1513" s="17"/>
      <c r="K1513" s="17"/>
      <c r="L1513" s="17"/>
    </row>
    <row r="1514" spans="1:12">
      <c r="A1514" s="50"/>
      <c r="B1514" s="49"/>
      <c r="C1514" s="14" t="s">
        <v>741</v>
      </c>
      <c r="D1514" s="20"/>
      <c r="F1514" s="20"/>
      <c r="H1514" s="25">
        <f>SUM(H1509:H1513)</f>
        <v>0</v>
      </c>
      <c r="I1514" s="2"/>
      <c r="J1514" s="17"/>
      <c r="K1514" s="17"/>
      <c r="L1514" s="17"/>
    </row>
    <row r="1515" spans="1:12">
      <c r="A1515" s="50"/>
      <c r="B1515" s="51"/>
      <c r="C1515" s="14"/>
      <c r="D1515" s="20"/>
      <c r="F1515" s="20"/>
      <c r="H1515" s="20"/>
      <c r="I1515" s="2"/>
      <c r="J1515" s="17"/>
      <c r="K1515" s="17"/>
      <c r="L1515" s="17"/>
    </row>
    <row r="1516" spans="1:12">
      <c r="A1516" s="50"/>
      <c r="B1516" s="51"/>
      <c r="C1516" s="14" t="s">
        <v>742</v>
      </c>
      <c r="D1516" s="20"/>
      <c r="F1516" s="20"/>
      <c r="H1516" s="20"/>
      <c r="I1516" s="2"/>
      <c r="J1516" s="17"/>
      <c r="K1516" s="17"/>
      <c r="L1516" s="17"/>
    </row>
    <row r="1517" spans="1:12">
      <c r="A1517" s="50"/>
      <c r="B1517" s="49">
        <v>1</v>
      </c>
      <c r="C1517" s="19"/>
      <c r="D1517" s="20">
        <v>0</v>
      </c>
      <c r="E1517" s="21">
        <v>1</v>
      </c>
      <c r="F1517" s="20">
        <f>D1517*E1517</f>
        <v>0</v>
      </c>
      <c r="G1517" s="21">
        <v>101</v>
      </c>
      <c r="H1517" s="20">
        <f>F1517*G1517</f>
        <v>0</v>
      </c>
      <c r="I1517" s="2"/>
      <c r="J1517" s="17"/>
      <c r="K1517" s="17"/>
      <c r="L1517" s="17"/>
    </row>
    <row r="1518" spans="1:12">
      <c r="A1518" s="50"/>
      <c r="B1518" s="49">
        <v>2</v>
      </c>
      <c r="C1518" s="19"/>
      <c r="D1518" s="20">
        <v>0</v>
      </c>
      <c r="E1518" s="21">
        <v>1</v>
      </c>
      <c r="F1518" s="20">
        <f t="shared" ref="F1518:F1520" si="160">D1518*E1518</f>
        <v>0</v>
      </c>
      <c r="G1518" s="21">
        <v>102</v>
      </c>
      <c r="H1518" s="20">
        <f t="shared" ref="H1518:H1520" si="161">F1518*G1518</f>
        <v>0</v>
      </c>
      <c r="I1518" s="2"/>
      <c r="J1518" s="17"/>
      <c r="K1518" s="17"/>
      <c r="L1518" s="17"/>
    </row>
    <row r="1519" spans="1:12">
      <c r="A1519" s="50"/>
      <c r="B1519" s="49">
        <v>3</v>
      </c>
      <c r="C1519" s="19"/>
      <c r="D1519" s="20">
        <v>0</v>
      </c>
      <c r="E1519" s="21">
        <v>1</v>
      </c>
      <c r="F1519" s="20">
        <f t="shared" si="160"/>
        <v>0</v>
      </c>
      <c r="G1519" s="21">
        <v>103</v>
      </c>
      <c r="H1519" s="20">
        <f t="shared" si="161"/>
        <v>0</v>
      </c>
      <c r="I1519" s="2"/>
      <c r="J1519" s="17"/>
      <c r="K1519" s="17"/>
      <c r="L1519" s="17"/>
    </row>
    <row r="1520" spans="1:12">
      <c r="A1520" s="50"/>
      <c r="B1520" s="49">
        <v>4</v>
      </c>
      <c r="C1520" s="19"/>
      <c r="D1520" s="20">
        <v>0</v>
      </c>
      <c r="E1520" s="21">
        <v>1</v>
      </c>
      <c r="F1520" s="20">
        <f t="shared" si="160"/>
        <v>0</v>
      </c>
      <c r="G1520" s="21">
        <v>104</v>
      </c>
      <c r="H1520" s="20">
        <f t="shared" si="161"/>
        <v>0</v>
      </c>
      <c r="I1520" s="2"/>
      <c r="J1520" s="17"/>
      <c r="K1520" s="17"/>
      <c r="L1520" s="17"/>
    </row>
    <row r="1521" spans="1:12">
      <c r="A1521" s="50"/>
      <c r="B1521" s="49">
        <v>5</v>
      </c>
      <c r="C1521" s="19"/>
      <c r="D1521" s="20">
        <v>0</v>
      </c>
      <c r="E1521" s="21">
        <v>1</v>
      </c>
      <c r="F1521" s="20">
        <f>D1521*E1521</f>
        <v>0</v>
      </c>
      <c r="G1521" s="21">
        <v>102</v>
      </c>
      <c r="H1521" s="20">
        <f>F1521*G1521</f>
        <v>0</v>
      </c>
      <c r="I1521" s="2"/>
      <c r="J1521" s="17"/>
      <c r="K1521" s="17"/>
      <c r="L1521" s="17"/>
    </row>
    <row r="1522" spans="1:12">
      <c r="A1522" s="50"/>
      <c r="B1522" s="49"/>
      <c r="C1522" s="14" t="s">
        <v>743</v>
      </c>
      <c r="D1522" s="20"/>
      <c r="F1522" s="20"/>
      <c r="H1522" s="25">
        <f>SUM(H1517:H1521)</f>
        <v>0</v>
      </c>
      <c r="I1522" s="2"/>
      <c r="J1522" s="17"/>
      <c r="K1522" s="17"/>
      <c r="L1522" s="17"/>
    </row>
    <row r="1523" spans="1:12">
      <c r="A1523" s="50"/>
      <c r="B1523" s="51"/>
      <c r="C1523" s="14"/>
      <c r="D1523" s="20"/>
      <c r="F1523" s="20"/>
      <c r="H1523" s="20"/>
      <c r="I1523" s="2"/>
      <c r="J1523" s="17"/>
      <c r="K1523" s="17"/>
      <c r="L1523" s="17"/>
    </row>
    <row r="1524" spans="1:12">
      <c r="A1524" s="50"/>
      <c r="B1524" s="51"/>
      <c r="C1524" s="14" t="s">
        <v>744</v>
      </c>
      <c r="D1524" s="20"/>
      <c r="F1524" s="20"/>
      <c r="H1524" s="20"/>
      <c r="I1524" s="2"/>
      <c r="J1524" s="17"/>
      <c r="K1524" s="17"/>
      <c r="L1524" s="17"/>
    </row>
    <row r="1525" spans="1:12">
      <c r="A1525" s="50"/>
      <c r="B1525" s="49">
        <v>1</v>
      </c>
      <c r="C1525" s="19"/>
      <c r="D1525" s="20">
        <v>0</v>
      </c>
      <c r="E1525" s="21">
        <v>1</v>
      </c>
      <c r="F1525" s="20">
        <f>D1525*E1525</f>
        <v>0</v>
      </c>
      <c r="G1525" s="21">
        <v>101</v>
      </c>
      <c r="H1525" s="20">
        <f>F1525*G1525</f>
        <v>0</v>
      </c>
      <c r="I1525" s="2"/>
      <c r="J1525" s="17"/>
      <c r="K1525" s="17"/>
      <c r="L1525" s="17"/>
    </row>
    <row r="1526" spans="1:12">
      <c r="A1526" s="50"/>
      <c r="B1526" s="49">
        <v>2</v>
      </c>
      <c r="C1526" s="19"/>
      <c r="D1526" s="20">
        <v>0</v>
      </c>
      <c r="E1526" s="21">
        <v>1</v>
      </c>
      <c r="F1526" s="20">
        <f t="shared" ref="F1526:F1528" si="162">D1526*E1526</f>
        <v>0</v>
      </c>
      <c r="G1526" s="21">
        <v>102</v>
      </c>
      <c r="H1526" s="20">
        <f t="shared" ref="H1526:H1528" si="163">F1526*G1526</f>
        <v>0</v>
      </c>
      <c r="I1526" s="2"/>
      <c r="J1526" s="17"/>
      <c r="K1526" s="17"/>
      <c r="L1526" s="17"/>
    </row>
    <row r="1527" spans="1:12">
      <c r="A1527" s="50"/>
      <c r="B1527" s="49">
        <v>3</v>
      </c>
      <c r="C1527" s="19"/>
      <c r="D1527" s="20">
        <v>0</v>
      </c>
      <c r="E1527" s="21">
        <v>1</v>
      </c>
      <c r="F1527" s="20">
        <f t="shared" si="162"/>
        <v>0</v>
      </c>
      <c r="G1527" s="21">
        <v>103</v>
      </c>
      <c r="H1527" s="20">
        <f t="shared" si="163"/>
        <v>0</v>
      </c>
      <c r="I1527" s="2"/>
      <c r="J1527" s="17"/>
      <c r="K1527" s="17"/>
      <c r="L1527" s="17"/>
    </row>
    <row r="1528" spans="1:12">
      <c r="A1528" s="50"/>
      <c r="B1528" s="49">
        <v>4</v>
      </c>
      <c r="C1528" s="19"/>
      <c r="D1528" s="20">
        <v>0</v>
      </c>
      <c r="E1528" s="21">
        <v>1</v>
      </c>
      <c r="F1528" s="20">
        <f t="shared" si="162"/>
        <v>0</v>
      </c>
      <c r="G1528" s="21">
        <v>104</v>
      </c>
      <c r="H1528" s="20">
        <f t="shared" si="163"/>
        <v>0</v>
      </c>
      <c r="I1528" s="2"/>
      <c r="J1528" s="17"/>
      <c r="K1528" s="17"/>
      <c r="L1528" s="17"/>
    </row>
    <row r="1529" spans="1:12">
      <c r="A1529" s="50"/>
      <c r="B1529" s="49">
        <v>5</v>
      </c>
      <c r="C1529" s="19"/>
      <c r="D1529" s="20">
        <v>0</v>
      </c>
      <c r="E1529" s="21">
        <v>1</v>
      </c>
      <c r="F1529" s="20">
        <f>D1529*E1529</f>
        <v>0</v>
      </c>
      <c r="G1529" s="21">
        <v>102</v>
      </c>
      <c r="H1529" s="20">
        <f>F1529*G1529</f>
        <v>0</v>
      </c>
      <c r="I1529" s="2"/>
      <c r="J1529" s="17"/>
      <c r="K1529" s="17"/>
      <c r="L1529" s="17"/>
    </row>
    <row r="1530" spans="1:12">
      <c r="A1530" s="50"/>
      <c r="B1530" s="49"/>
      <c r="C1530" s="14" t="s">
        <v>745</v>
      </c>
      <c r="D1530" s="20"/>
      <c r="F1530" s="20"/>
      <c r="H1530" s="25">
        <f>SUM(H1525:H1529)</f>
        <v>0</v>
      </c>
      <c r="I1530" s="2"/>
      <c r="J1530" s="17"/>
      <c r="K1530" s="17"/>
      <c r="L1530" s="17"/>
    </row>
    <row r="1531" spans="1:12">
      <c r="A1531" s="50"/>
      <c r="B1531" s="51"/>
      <c r="C1531" s="14"/>
      <c r="D1531" s="20"/>
      <c r="F1531" s="20"/>
      <c r="H1531" s="20"/>
      <c r="I1531" s="2"/>
      <c r="J1531" s="17"/>
      <c r="K1531" s="17"/>
      <c r="L1531" s="17"/>
    </row>
    <row r="1532" spans="1:12">
      <c r="A1532" s="50"/>
      <c r="B1532" s="51"/>
      <c r="C1532" s="14" t="s">
        <v>746</v>
      </c>
      <c r="D1532" s="20"/>
      <c r="F1532" s="20"/>
      <c r="H1532" s="20"/>
      <c r="I1532" s="2"/>
      <c r="J1532" s="17"/>
      <c r="K1532" s="17"/>
      <c r="L1532" s="17"/>
    </row>
    <row r="1533" spans="1:12">
      <c r="A1533" s="50"/>
      <c r="B1533" s="49">
        <v>1</v>
      </c>
      <c r="C1533" s="19" t="s">
        <v>652</v>
      </c>
      <c r="D1533" s="20">
        <v>3</v>
      </c>
      <c r="E1533" s="21">
        <v>1</v>
      </c>
      <c r="F1533" s="20">
        <f>D1533*E1533</f>
        <v>3</v>
      </c>
      <c r="G1533" s="69">
        <v>43076.923076923078</v>
      </c>
      <c r="H1533" s="20">
        <f>F1533*G1533</f>
        <v>129230.76923076923</v>
      </c>
      <c r="I1533" s="2"/>
      <c r="J1533" s="17"/>
      <c r="K1533" s="17"/>
      <c r="L1533" s="17"/>
    </row>
    <row r="1534" spans="1:12">
      <c r="A1534" s="50"/>
      <c r="B1534" s="49">
        <v>2</v>
      </c>
      <c r="C1534" s="19" t="s">
        <v>653</v>
      </c>
      <c r="D1534" s="20">
        <v>3</v>
      </c>
      <c r="E1534" s="21">
        <v>0.2</v>
      </c>
      <c r="F1534" s="20">
        <f t="shared" ref="F1534:F1545" si="164">D1534*E1534</f>
        <v>0.60000000000000009</v>
      </c>
      <c r="G1534" s="69">
        <v>1200000</v>
      </c>
      <c r="H1534" s="20">
        <f t="shared" ref="H1534:H1545" si="165">F1534*G1534</f>
        <v>720000.00000000012</v>
      </c>
      <c r="I1534" s="2"/>
      <c r="J1534" s="17"/>
      <c r="K1534" s="17"/>
      <c r="L1534" s="17"/>
    </row>
    <row r="1535" spans="1:12">
      <c r="A1535" s="50"/>
      <c r="B1535" s="49">
        <v>3</v>
      </c>
      <c r="C1535" s="19" t="s">
        <v>496</v>
      </c>
      <c r="D1535" s="20">
        <v>0</v>
      </c>
      <c r="E1535" s="21">
        <v>1</v>
      </c>
      <c r="F1535" s="20">
        <f t="shared" si="164"/>
        <v>0</v>
      </c>
      <c r="G1535" s="21">
        <f>K43</f>
        <v>5384.6153846153802</v>
      </c>
      <c r="H1535" s="20">
        <f t="shared" si="165"/>
        <v>0</v>
      </c>
      <c r="I1535" s="2"/>
      <c r="J1535" s="17"/>
      <c r="K1535" s="17"/>
      <c r="L1535" s="17"/>
    </row>
    <row r="1536" spans="1:12">
      <c r="A1536" s="50"/>
      <c r="B1536" s="49">
        <v>4</v>
      </c>
      <c r="C1536" s="19" t="s">
        <v>497</v>
      </c>
      <c r="D1536" s="20">
        <v>0</v>
      </c>
      <c r="E1536" s="21">
        <v>1</v>
      </c>
      <c r="F1536" s="20">
        <f t="shared" si="164"/>
        <v>0</v>
      </c>
      <c r="G1536" s="21">
        <f>K44</f>
        <v>8307.6923076923104</v>
      </c>
      <c r="H1536" s="20">
        <f t="shared" si="165"/>
        <v>0</v>
      </c>
      <c r="I1536" s="2"/>
      <c r="J1536" s="17"/>
      <c r="K1536" s="17"/>
      <c r="L1536" s="17"/>
    </row>
    <row r="1537" spans="1:12">
      <c r="A1537" s="50"/>
      <c r="B1537" s="49">
        <v>5</v>
      </c>
      <c r="C1537" s="19" t="s">
        <v>606</v>
      </c>
      <c r="D1537" s="20">
        <v>0</v>
      </c>
      <c r="E1537" s="21">
        <v>1</v>
      </c>
      <c r="F1537" s="20">
        <f t="shared" si="164"/>
        <v>0</v>
      </c>
      <c r="G1537" s="21">
        <v>60.769230769230766</v>
      </c>
      <c r="H1537" s="20">
        <f t="shared" si="165"/>
        <v>0</v>
      </c>
      <c r="I1537" s="2"/>
      <c r="J1537" s="17"/>
      <c r="K1537" s="17"/>
      <c r="L1537" s="17"/>
    </row>
    <row r="1538" spans="1:12">
      <c r="A1538" s="50"/>
      <c r="B1538" s="49">
        <v>6</v>
      </c>
      <c r="C1538" s="19" t="s">
        <v>503</v>
      </c>
      <c r="D1538" s="20">
        <v>0</v>
      </c>
      <c r="E1538" s="21">
        <v>0</v>
      </c>
      <c r="F1538" s="20">
        <f t="shared" si="164"/>
        <v>0</v>
      </c>
      <c r="G1538" s="21">
        <v>40</v>
      </c>
      <c r="H1538" s="20">
        <f t="shared" si="165"/>
        <v>0</v>
      </c>
      <c r="I1538" s="2"/>
      <c r="J1538" s="17"/>
      <c r="K1538" s="17"/>
      <c r="L1538" s="17"/>
    </row>
    <row r="1539" spans="1:12">
      <c r="A1539" s="50"/>
      <c r="B1539" s="49">
        <v>7</v>
      </c>
      <c r="C1539" s="19" t="s">
        <v>504</v>
      </c>
      <c r="D1539" s="20">
        <v>0</v>
      </c>
      <c r="E1539" s="21">
        <v>0</v>
      </c>
      <c r="F1539" s="20">
        <f t="shared" si="164"/>
        <v>0</v>
      </c>
      <c r="G1539" s="21">
        <v>49000</v>
      </c>
      <c r="H1539" s="20">
        <f t="shared" si="165"/>
        <v>0</v>
      </c>
      <c r="I1539" s="2"/>
      <c r="J1539" s="17"/>
      <c r="K1539" s="17"/>
      <c r="L1539" s="17"/>
    </row>
    <row r="1540" spans="1:12">
      <c r="A1540" s="50"/>
      <c r="B1540" s="49">
        <v>8</v>
      </c>
      <c r="C1540" s="19" t="s">
        <v>507</v>
      </c>
      <c r="D1540" s="20">
        <v>0</v>
      </c>
      <c r="E1540" s="21">
        <v>0</v>
      </c>
      <c r="F1540" s="20">
        <f t="shared" si="164"/>
        <v>0</v>
      </c>
      <c r="G1540" s="21">
        <v>230.76923076923077</v>
      </c>
      <c r="H1540" s="20">
        <f t="shared" si="165"/>
        <v>0</v>
      </c>
      <c r="I1540" s="2"/>
      <c r="J1540" s="17"/>
      <c r="K1540" s="17"/>
      <c r="L1540" s="17"/>
    </row>
    <row r="1541" spans="1:12">
      <c r="A1541" s="50"/>
      <c r="B1541" s="49">
        <v>9</v>
      </c>
      <c r="C1541" s="19" t="s">
        <v>508</v>
      </c>
      <c r="D1541" s="20">
        <v>0</v>
      </c>
      <c r="E1541" s="21">
        <v>0.14399999999999999</v>
      </c>
      <c r="F1541" s="20">
        <f t="shared" si="164"/>
        <v>0</v>
      </c>
      <c r="G1541" s="21">
        <v>9000</v>
      </c>
      <c r="H1541" s="20">
        <f t="shared" si="165"/>
        <v>0</v>
      </c>
      <c r="I1541" s="2"/>
      <c r="J1541" s="17"/>
      <c r="K1541" s="17"/>
      <c r="L1541" s="17"/>
    </row>
    <row r="1542" spans="1:12">
      <c r="A1542" s="50"/>
      <c r="B1542" s="49">
        <v>10</v>
      </c>
      <c r="C1542" s="19" t="s">
        <v>352</v>
      </c>
      <c r="D1542" s="20">
        <v>0</v>
      </c>
      <c r="E1542" s="21">
        <v>0.58199999999999996</v>
      </c>
      <c r="F1542" s="20">
        <f t="shared" si="164"/>
        <v>0</v>
      </c>
      <c r="G1542" s="21">
        <v>177.69230769230768</v>
      </c>
      <c r="H1542" s="20">
        <f t="shared" si="165"/>
        <v>0</v>
      </c>
      <c r="I1542" s="2"/>
      <c r="J1542" s="17"/>
      <c r="K1542" s="17"/>
      <c r="L1542" s="17"/>
    </row>
    <row r="1543" spans="1:12">
      <c r="A1543" s="50"/>
      <c r="B1543" s="49">
        <v>11</v>
      </c>
      <c r="C1543" s="19" t="s">
        <v>45</v>
      </c>
      <c r="D1543" s="20">
        <v>0</v>
      </c>
      <c r="E1543" s="21">
        <v>0.58199999999999996</v>
      </c>
      <c r="F1543" s="20">
        <f t="shared" si="164"/>
        <v>0</v>
      </c>
      <c r="G1543" s="21">
        <v>77.692307692307693</v>
      </c>
      <c r="H1543" s="20">
        <f t="shared" si="165"/>
        <v>0</v>
      </c>
      <c r="I1543" s="2"/>
      <c r="J1543" s="17"/>
      <c r="K1543" s="17"/>
      <c r="L1543" s="17"/>
    </row>
    <row r="1544" spans="1:12">
      <c r="A1544" s="50"/>
      <c r="B1544" s="49">
        <v>12</v>
      </c>
      <c r="C1544" s="19" t="s">
        <v>351</v>
      </c>
      <c r="D1544" s="20">
        <v>0</v>
      </c>
      <c r="E1544" s="21">
        <v>0.58199999999999996</v>
      </c>
      <c r="F1544" s="20">
        <f t="shared" si="164"/>
        <v>0</v>
      </c>
      <c r="G1544" s="21">
        <v>264.61538461538458</v>
      </c>
      <c r="H1544" s="20">
        <f t="shared" si="165"/>
        <v>0</v>
      </c>
      <c r="I1544" s="2"/>
      <c r="J1544" s="17"/>
      <c r="K1544" s="17"/>
      <c r="L1544" s="17"/>
    </row>
    <row r="1545" spans="1:12">
      <c r="A1545" s="50"/>
      <c r="B1545" s="49">
        <v>13</v>
      </c>
      <c r="C1545" s="19"/>
      <c r="D1545" s="20"/>
      <c r="E1545" s="21">
        <v>1</v>
      </c>
      <c r="F1545" s="20">
        <f t="shared" si="164"/>
        <v>0</v>
      </c>
      <c r="G1545" s="21">
        <v>113</v>
      </c>
      <c r="H1545" s="20">
        <f t="shared" si="165"/>
        <v>0</v>
      </c>
      <c r="I1545" s="2"/>
      <c r="J1545" s="17"/>
      <c r="K1545" s="17"/>
      <c r="L1545" s="17"/>
    </row>
    <row r="1546" spans="1:12">
      <c r="A1546" s="50"/>
      <c r="B1546" s="49">
        <v>14</v>
      </c>
      <c r="C1546" s="19"/>
      <c r="D1546" s="20">
        <v>0</v>
      </c>
      <c r="E1546" s="21">
        <v>1</v>
      </c>
      <c r="F1546" s="20">
        <f>D1546*E1546</f>
        <v>0</v>
      </c>
      <c r="G1546" s="21">
        <v>102</v>
      </c>
      <c r="H1546" s="20">
        <f>F1546*G1546</f>
        <v>0</v>
      </c>
      <c r="I1546" s="2"/>
      <c r="J1546" s="17"/>
      <c r="K1546" s="17"/>
      <c r="L1546" s="17"/>
    </row>
    <row r="1547" spans="1:12">
      <c r="A1547" s="50"/>
      <c r="B1547" s="49"/>
      <c r="C1547" s="14" t="s">
        <v>747</v>
      </c>
      <c r="D1547" s="20"/>
      <c r="F1547" s="20"/>
      <c r="H1547" s="25">
        <f>SUM(H1533:H1546)</f>
        <v>849230.76923076937</v>
      </c>
      <c r="I1547" s="2"/>
      <c r="J1547" s="17"/>
      <c r="K1547" s="17"/>
      <c r="L1547" s="17"/>
    </row>
    <row r="1548" spans="1:12">
      <c r="A1548" s="50"/>
      <c r="B1548" s="51"/>
      <c r="C1548" s="14"/>
      <c r="D1548" s="20"/>
      <c r="F1548" s="20"/>
      <c r="H1548" s="20"/>
      <c r="I1548" s="2"/>
      <c r="J1548" s="17"/>
      <c r="K1548" s="17"/>
      <c r="L1548" s="17"/>
    </row>
    <row r="1549" spans="1:12">
      <c r="A1549" s="50"/>
      <c r="B1549" s="51"/>
      <c r="C1549" s="14" t="s">
        <v>748</v>
      </c>
      <c r="D1549" s="20"/>
      <c r="F1549" s="20"/>
      <c r="H1549" s="20"/>
      <c r="I1549" s="2"/>
      <c r="J1549" s="17"/>
      <c r="K1549" s="17"/>
      <c r="L1549" s="17"/>
    </row>
    <row r="1550" spans="1:12">
      <c r="A1550" s="50"/>
      <c r="B1550" s="49">
        <v>1</v>
      </c>
      <c r="C1550" s="19" t="s">
        <v>284</v>
      </c>
      <c r="D1550" s="20">
        <v>1</v>
      </c>
      <c r="E1550" s="21">
        <v>1</v>
      </c>
      <c r="F1550" s="20">
        <f>D1550*E1550</f>
        <v>1</v>
      </c>
      <c r="G1550" s="21">
        <v>40000</v>
      </c>
      <c r="H1550" s="20">
        <f>F1550*G1550</f>
        <v>40000</v>
      </c>
      <c r="I1550" s="2"/>
      <c r="J1550" s="17"/>
      <c r="K1550" s="17"/>
      <c r="L1550" s="17"/>
    </row>
    <row r="1551" spans="1:12">
      <c r="A1551" s="50"/>
      <c r="B1551" s="49">
        <v>2</v>
      </c>
      <c r="C1551" s="19" t="s">
        <v>656</v>
      </c>
      <c r="D1551" s="20">
        <v>1</v>
      </c>
      <c r="E1551" s="21">
        <v>1</v>
      </c>
      <c r="F1551" s="20">
        <f t="shared" ref="F1551:F1553" si="166">D1551*E1551</f>
        <v>1</v>
      </c>
      <c r="G1551" s="21">
        <v>200000</v>
      </c>
      <c r="H1551" s="20">
        <f t="shared" ref="H1551:H1553" si="167">F1551*G1551</f>
        <v>200000</v>
      </c>
      <c r="I1551" s="2"/>
      <c r="J1551" s="17"/>
      <c r="K1551" s="17"/>
      <c r="L1551" s="17"/>
    </row>
    <row r="1552" spans="1:12">
      <c r="A1552" s="50"/>
      <c r="B1552" s="49">
        <v>3</v>
      </c>
      <c r="C1552" s="19"/>
      <c r="D1552" s="20"/>
      <c r="E1552" s="21">
        <v>1</v>
      </c>
      <c r="F1552" s="20">
        <f t="shared" si="166"/>
        <v>0</v>
      </c>
      <c r="G1552" s="21">
        <v>103</v>
      </c>
      <c r="H1552" s="20">
        <f t="shared" si="167"/>
        <v>0</v>
      </c>
      <c r="I1552" s="2"/>
      <c r="J1552" s="17"/>
      <c r="K1552" s="17"/>
      <c r="L1552" s="17"/>
    </row>
    <row r="1553" spans="1:12">
      <c r="A1553" s="50"/>
      <c r="B1553" s="49">
        <v>4</v>
      </c>
      <c r="C1553" s="19"/>
      <c r="D1553" s="20"/>
      <c r="E1553" s="21">
        <v>1</v>
      </c>
      <c r="F1553" s="20">
        <f t="shared" si="166"/>
        <v>0</v>
      </c>
      <c r="G1553" s="21">
        <v>104</v>
      </c>
      <c r="H1553" s="20">
        <f t="shared" si="167"/>
        <v>0</v>
      </c>
      <c r="I1553" s="2"/>
      <c r="J1553" s="17"/>
      <c r="K1553" s="17"/>
      <c r="L1553" s="17"/>
    </row>
    <row r="1554" spans="1:12">
      <c r="A1554" s="50"/>
      <c r="B1554" s="49">
        <v>5</v>
      </c>
      <c r="C1554" s="19"/>
      <c r="D1554" s="20">
        <v>0</v>
      </c>
      <c r="E1554" s="21">
        <v>1</v>
      </c>
      <c r="F1554" s="20">
        <f>D1554*E1554</f>
        <v>0</v>
      </c>
      <c r="G1554" s="21">
        <v>102</v>
      </c>
      <c r="H1554" s="20">
        <f>F1554*G1554</f>
        <v>0</v>
      </c>
      <c r="I1554" s="2"/>
      <c r="J1554" s="17"/>
      <c r="K1554" s="17"/>
      <c r="L1554" s="17"/>
    </row>
    <row r="1555" spans="1:12">
      <c r="A1555" s="50"/>
      <c r="B1555" s="49"/>
      <c r="C1555" s="14" t="s">
        <v>749</v>
      </c>
      <c r="D1555" s="20"/>
      <c r="F1555" s="20"/>
      <c r="H1555" s="25">
        <f>SUM(H1550:H1554)</f>
        <v>240000</v>
      </c>
      <c r="I1555" s="2"/>
      <c r="J1555" s="17"/>
      <c r="K1555" s="17"/>
      <c r="L1555" s="17"/>
    </row>
    <row r="1556" spans="1:12">
      <c r="A1556" s="50"/>
      <c r="B1556" s="51"/>
      <c r="C1556" s="14"/>
      <c r="D1556" s="20"/>
      <c r="F1556" s="20"/>
      <c r="H1556" s="20"/>
      <c r="I1556" s="2"/>
      <c r="J1556" s="17"/>
      <c r="K1556" s="17"/>
      <c r="L1556" s="17"/>
    </row>
    <row r="1557" spans="1:12">
      <c r="A1557" s="50"/>
      <c r="B1557" s="52"/>
      <c r="C1557" s="14" t="s">
        <v>750</v>
      </c>
      <c r="D1557" s="20"/>
      <c r="F1557" s="20"/>
      <c r="H1557" s="20"/>
      <c r="I1557" s="2"/>
      <c r="J1557" s="17"/>
      <c r="K1557" s="17"/>
      <c r="L1557" s="17"/>
    </row>
    <row r="1558" spans="1:12">
      <c r="A1558" s="50"/>
      <c r="B1558" s="49">
        <v>1</v>
      </c>
      <c r="C1558" s="19" t="s">
        <v>219</v>
      </c>
      <c r="D1558" s="20">
        <v>7</v>
      </c>
      <c r="E1558" s="21">
        <v>1</v>
      </c>
      <c r="F1558" s="20">
        <f>D1558*E1558</f>
        <v>7</v>
      </c>
      <c r="G1558" s="69">
        <v>12507</v>
      </c>
      <c r="H1558" s="20">
        <f>F1558*G1558</f>
        <v>87549</v>
      </c>
      <c r="I1558" s="2"/>
      <c r="J1558" s="17"/>
      <c r="K1558" s="17"/>
      <c r="L1558" s="17"/>
    </row>
    <row r="1559" spans="1:12">
      <c r="A1559" s="50"/>
      <c r="B1559" s="49">
        <v>2</v>
      </c>
      <c r="C1559" s="19" t="s">
        <v>64</v>
      </c>
      <c r="D1559" s="20">
        <v>7</v>
      </c>
      <c r="E1559" s="21">
        <v>1</v>
      </c>
      <c r="F1559" s="20">
        <f t="shared" ref="F1559:F1567" si="168">D1559*E1559</f>
        <v>7</v>
      </c>
      <c r="G1559" s="69">
        <v>12507</v>
      </c>
      <c r="H1559" s="20">
        <f t="shared" ref="H1559:H1567" si="169">F1559*G1559</f>
        <v>87549</v>
      </c>
      <c r="I1559" s="2"/>
      <c r="J1559" s="17"/>
      <c r="K1559" s="17"/>
      <c r="L1559" s="17"/>
    </row>
    <row r="1560" spans="1:12">
      <c r="A1560" s="50"/>
      <c r="B1560" s="49">
        <v>3</v>
      </c>
      <c r="C1560" s="19" t="s">
        <v>65</v>
      </c>
      <c r="D1560" s="20">
        <v>7</v>
      </c>
      <c r="E1560" s="21">
        <v>1</v>
      </c>
      <c r="F1560" s="20">
        <f t="shared" si="168"/>
        <v>7</v>
      </c>
      <c r="G1560" s="69">
        <v>12507</v>
      </c>
      <c r="H1560" s="20">
        <f t="shared" si="169"/>
        <v>87549</v>
      </c>
      <c r="I1560" s="2"/>
      <c r="J1560" s="17"/>
      <c r="K1560" s="17"/>
      <c r="L1560" s="17"/>
    </row>
    <row r="1561" spans="1:12">
      <c r="A1561" s="50"/>
      <c r="B1561" s="49">
        <v>4</v>
      </c>
      <c r="C1561" s="19" t="s">
        <v>358</v>
      </c>
      <c r="D1561" s="20">
        <v>7</v>
      </c>
      <c r="E1561" s="21">
        <v>1</v>
      </c>
      <c r="F1561" s="20">
        <f t="shared" si="168"/>
        <v>7</v>
      </c>
      <c r="G1561" s="69">
        <v>12507</v>
      </c>
      <c r="H1561" s="20">
        <f t="shared" si="169"/>
        <v>87549</v>
      </c>
      <c r="I1561" s="2"/>
      <c r="J1561" s="17"/>
      <c r="K1561" s="17"/>
      <c r="L1561" s="17"/>
    </row>
    <row r="1562" spans="1:12">
      <c r="A1562" s="50"/>
      <c r="B1562" s="49">
        <v>5</v>
      </c>
      <c r="C1562" s="19" t="s">
        <v>222</v>
      </c>
      <c r="D1562" s="20">
        <v>12.6</v>
      </c>
      <c r="E1562" s="21">
        <v>1</v>
      </c>
      <c r="F1562" s="20">
        <f t="shared" si="168"/>
        <v>12.6</v>
      </c>
      <c r="G1562" s="69">
        <v>12507</v>
      </c>
      <c r="H1562" s="20">
        <f t="shared" si="169"/>
        <v>157588.19999999998</v>
      </c>
      <c r="I1562" s="2"/>
      <c r="J1562" s="17"/>
      <c r="K1562" s="17"/>
      <c r="L1562" s="17"/>
    </row>
    <row r="1563" spans="1:12">
      <c r="A1563" s="50"/>
      <c r="B1563" s="49">
        <v>6</v>
      </c>
      <c r="C1563" s="19" t="s">
        <v>360</v>
      </c>
      <c r="D1563" s="20">
        <v>2</v>
      </c>
      <c r="E1563" s="21">
        <v>1</v>
      </c>
      <c r="F1563" s="20">
        <f t="shared" si="168"/>
        <v>2</v>
      </c>
      <c r="G1563" s="69">
        <v>31769</v>
      </c>
      <c r="H1563" s="20">
        <f t="shared" si="169"/>
        <v>63538</v>
      </c>
      <c r="I1563" s="2"/>
      <c r="J1563" s="17"/>
      <c r="K1563" s="17"/>
      <c r="L1563" s="17"/>
    </row>
    <row r="1564" spans="1:12">
      <c r="A1564" s="50"/>
      <c r="B1564" s="49">
        <v>7</v>
      </c>
      <c r="C1564" s="19" t="s">
        <v>321</v>
      </c>
      <c r="D1564" s="20">
        <v>1</v>
      </c>
      <c r="E1564" s="21">
        <v>1</v>
      </c>
      <c r="F1564" s="20">
        <f t="shared" si="168"/>
        <v>1</v>
      </c>
      <c r="G1564" s="69">
        <v>192307</v>
      </c>
      <c r="H1564" s="20">
        <f t="shared" si="169"/>
        <v>192307</v>
      </c>
      <c r="I1564" s="2"/>
      <c r="J1564" s="17"/>
      <c r="K1564" s="17"/>
      <c r="L1564" s="17"/>
    </row>
    <row r="1565" spans="1:12">
      <c r="A1565" s="50"/>
      <c r="B1565" s="49">
        <v>8</v>
      </c>
      <c r="C1565" s="19"/>
      <c r="D1565" s="20"/>
      <c r="E1565" s="21">
        <v>1</v>
      </c>
      <c r="F1565" s="20">
        <f t="shared" si="168"/>
        <v>0</v>
      </c>
      <c r="G1565" s="21">
        <v>108</v>
      </c>
      <c r="H1565" s="20">
        <f t="shared" si="169"/>
        <v>0</v>
      </c>
      <c r="I1565" s="2"/>
      <c r="J1565" s="17"/>
      <c r="K1565" s="17"/>
      <c r="L1565" s="17"/>
    </row>
    <row r="1566" spans="1:12">
      <c r="A1566" s="50"/>
      <c r="B1566" s="49">
        <v>9</v>
      </c>
      <c r="C1566" s="19"/>
      <c r="D1566" s="20"/>
      <c r="E1566" s="21">
        <v>1</v>
      </c>
      <c r="F1566" s="20">
        <f t="shared" si="168"/>
        <v>0</v>
      </c>
      <c r="G1566" s="21">
        <v>109</v>
      </c>
      <c r="H1566" s="20">
        <f t="shared" si="169"/>
        <v>0</v>
      </c>
      <c r="I1566" s="2"/>
      <c r="J1566" s="17"/>
      <c r="K1566" s="17"/>
      <c r="L1566" s="17"/>
    </row>
    <row r="1567" spans="1:12">
      <c r="A1567" s="50"/>
      <c r="B1567" s="49">
        <v>10</v>
      </c>
      <c r="C1567" s="19"/>
      <c r="D1567" s="20"/>
      <c r="E1567" s="21">
        <v>1</v>
      </c>
      <c r="F1567" s="20">
        <f t="shared" si="168"/>
        <v>0</v>
      </c>
      <c r="G1567" s="21">
        <v>111</v>
      </c>
      <c r="H1567" s="20">
        <f t="shared" si="169"/>
        <v>0</v>
      </c>
      <c r="I1567" s="2"/>
      <c r="J1567" s="17"/>
      <c r="K1567" s="17"/>
      <c r="L1567" s="17"/>
    </row>
    <row r="1568" spans="1:12">
      <c r="A1568" s="50"/>
      <c r="B1568" s="49"/>
      <c r="C1568" s="14" t="s">
        <v>751</v>
      </c>
      <c r="D1568" s="20"/>
      <c r="F1568" s="20"/>
      <c r="H1568" s="25">
        <f>SUM(H1558:H1567)</f>
        <v>763629.2</v>
      </c>
      <c r="I1568" s="2"/>
      <c r="J1568" s="17"/>
      <c r="K1568" s="17"/>
      <c r="L1568" s="17"/>
    </row>
    <row r="1569" spans="1:12">
      <c r="A1569" s="50"/>
      <c r="B1569" s="49"/>
      <c r="C1569" s="14"/>
      <c r="D1569" s="20"/>
      <c r="F1569" s="20"/>
      <c r="H1569" s="25"/>
      <c r="I1569" s="2"/>
      <c r="J1569" s="17"/>
      <c r="K1569" s="17"/>
      <c r="L1569" s="17"/>
    </row>
    <row r="1570" spans="1:12">
      <c r="A1570" s="50"/>
      <c r="B1570" s="51"/>
      <c r="C1570" s="14" t="s">
        <v>752</v>
      </c>
      <c r="D1570" s="20"/>
      <c r="F1570" s="20"/>
      <c r="H1570" s="20"/>
      <c r="I1570" s="2"/>
      <c r="J1570" s="17"/>
      <c r="K1570" s="17"/>
      <c r="L1570" s="17"/>
    </row>
    <row r="1571" spans="1:12">
      <c r="A1571" s="50"/>
      <c r="B1571" s="49">
        <v>1</v>
      </c>
      <c r="C1571" s="19" t="s">
        <v>638</v>
      </c>
      <c r="D1571" s="20">
        <v>7</v>
      </c>
      <c r="E1571" s="21">
        <v>1</v>
      </c>
      <c r="F1571" s="20">
        <f>D1571*E1571</f>
        <v>7</v>
      </c>
      <c r="G1571" s="21">
        <v>140000</v>
      </c>
      <c r="H1571" s="20">
        <f>F1571*G1571</f>
        <v>980000</v>
      </c>
      <c r="I1571" s="2"/>
      <c r="J1571" s="17"/>
      <c r="K1571" s="17"/>
      <c r="L1571" s="17"/>
    </row>
    <row r="1572" spans="1:12">
      <c r="A1572" s="50"/>
      <c r="B1572" s="49">
        <v>2</v>
      </c>
      <c r="C1572" s="19" t="s">
        <v>76</v>
      </c>
      <c r="D1572" s="20">
        <v>7</v>
      </c>
      <c r="E1572" s="21">
        <v>1</v>
      </c>
      <c r="F1572" s="20">
        <f t="shared" ref="F1572:F1579" si="170">D1572*E1572</f>
        <v>7</v>
      </c>
      <c r="G1572" s="21">
        <v>30770</v>
      </c>
      <c r="H1572" s="20">
        <f t="shared" ref="H1572:H1579" si="171">F1572*G1572</f>
        <v>215390</v>
      </c>
      <c r="I1572" s="2"/>
      <c r="J1572" s="17"/>
      <c r="K1572" s="17"/>
      <c r="L1572" s="17"/>
    </row>
    <row r="1573" spans="1:12">
      <c r="A1573" s="50"/>
      <c r="B1573" s="49">
        <v>3</v>
      </c>
      <c r="C1573" s="19" t="s">
        <v>364</v>
      </c>
      <c r="D1573" s="20">
        <v>7</v>
      </c>
      <c r="E1573" s="21">
        <v>1</v>
      </c>
      <c r="F1573" s="20">
        <f t="shared" si="170"/>
        <v>7</v>
      </c>
      <c r="G1573" s="21">
        <v>30770</v>
      </c>
      <c r="H1573" s="20">
        <f t="shared" si="171"/>
        <v>215390</v>
      </c>
      <c r="I1573" s="2"/>
      <c r="J1573" s="17"/>
      <c r="K1573" s="17"/>
      <c r="L1573" s="17"/>
    </row>
    <row r="1574" spans="1:12">
      <c r="A1574" s="50"/>
      <c r="B1574" s="49">
        <v>4</v>
      </c>
      <c r="C1574" s="19"/>
      <c r="D1574" s="20">
        <v>0</v>
      </c>
      <c r="E1574" s="21">
        <v>1</v>
      </c>
      <c r="F1574" s="20">
        <f t="shared" si="170"/>
        <v>0</v>
      </c>
      <c r="G1574" s="21">
        <v>104</v>
      </c>
      <c r="H1574" s="20">
        <f t="shared" si="171"/>
        <v>0</v>
      </c>
      <c r="I1574" s="2"/>
      <c r="J1574" s="17"/>
      <c r="K1574" s="17"/>
      <c r="L1574" s="17"/>
    </row>
    <row r="1575" spans="1:12">
      <c r="A1575" s="50"/>
      <c r="B1575" s="49">
        <v>5</v>
      </c>
      <c r="C1575" s="19"/>
      <c r="D1575" s="20">
        <v>0</v>
      </c>
      <c r="E1575" s="21">
        <v>1</v>
      </c>
      <c r="F1575" s="20">
        <f t="shared" si="170"/>
        <v>0</v>
      </c>
      <c r="G1575" s="21">
        <v>105</v>
      </c>
      <c r="H1575" s="20">
        <f t="shared" si="171"/>
        <v>0</v>
      </c>
      <c r="I1575" s="2"/>
      <c r="J1575" s="17"/>
      <c r="K1575" s="17"/>
      <c r="L1575" s="17"/>
    </row>
    <row r="1576" spans="1:12">
      <c r="A1576" s="50"/>
      <c r="B1576" s="49">
        <v>6</v>
      </c>
      <c r="C1576" s="19"/>
      <c r="D1576" s="20">
        <v>0</v>
      </c>
      <c r="E1576" s="21">
        <v>1</v>
      </c>
      <c r="F1576" s="20">
        <f t="shared" si="170"/>
        <v>0</v>
      </c>
      <c r="G1576" s="21">
        <v>106</v>
      </c>
      <c r="H1576" s="20">
        <f t="shared" si="171"/>
        <v>0</v>
      </c>
      <c r="I1576" s="2"/>
      <c r="J1576" s="17"/>
      <c r="K1576" s="17"/>
      <c r="L1576" s="17"/>
    </row>
    <row r="1577" spans="1:12">
      <c r="A1577" s="50"/>
      <c r="B1577" s="49">
        <v>7</v>
      </c>
      <c r="C1577" s="19"/>
      <c r="D1577" s="20">
        <v>0</v>
      </c>
      <c r="E1577" s="21">
        <v>1</v>
      </c>
      <c r="F1577" s="20">
        <f t="shared" si="170"/>
        <v>0</v>
      </c>
      <c r="G1577" s="21">
        <v>107</v>
      </c>
      <c r="H1577" s="20">
        <f t="shared" si="171"/>
        <v>0</v>
      </c>
      <c r="I1577" s="2"/>
      <c r="J1577" s="17"/>
      <c r="K1577" s="17"/>
      <c r="L1577" s="17"/>
    </row>
    <row r="1578" spans="1:12">
      <c r="A1578" s="50"/>
      <c r="B1578" s="49">
        <v>8</v>
      </c>
      <c r="C1578" s="19"/>
      <c r="D1578" s="20">
        <v>0</v>
      </c>
      <c r="E1578" s="21">
        <v>1</v>
      </c>
      <c r="F1578" s="20">
        <f t="shared" si="170"/>
        <v>0</v>
      </c>
      <c r="G1578" s="21">
        <v>108</v>
      </c>
      <c r="H1578" s="20">
        <f t="shared" si="171"/>
        <v>0</v>
      </c>
      <c r="I1578" s="2"/>
      <c r="J1578" s="17"/>
      <c r="K1578" s="17"/>
      <c r="L1578" s="17"/>
    </row>
    <row r="1579" spans="1:12">
      <c r="A1579" s="50"/>
      <c r="B1579" s="49">
        <v>9</v>
      </c>
      <c r="C1579" s="19"/>
      <c r="D1579" s="20">
        <v>0</v>
      </c>
      <c r="E1579" s="21">
        <v>1</v>
      </c>
      <c r="F1579" s="20">
        <f t="shared" si="170"/>
        <v>0</v>
      </c>
      <c r="G1579" s="21">
        <v>109</v>
      </c>
      <c r="H1579" s="20">
        <f t="shared" si="171"/>
        <v>0</v>
      </c>
      <c r="I1579" s="2"/>
      <c r="J1579" s="17"/>
      <c r="K1579" s="17"/>
      <c r="L1579" s="17"/>
    </row>
    <row r="1580" spans="1:12">
      <c r="A1580" s="50"/>
      <c r="B1580" s="49">
        <v>10</v>
      </c>
      <c r="C1580" s="19"/>
      <c r="D1580" s="20">
        <v>0</v>
      </c>
      <c r="E1580" s="21">
        <v>1</v>
      </c>
      <c r="F1580" s="20">
        <f>D1580*E1580</f>
        <v>0</v>
      </c>
      <c r="G1580" s="21">
        <v>102</v>
      </c>
      <c r="H1580" s="20">
        <f>F1580*G1580</f>
        <v>0</v>
      </c>
      <c r="I1580" s="2"/>
      <c r="J1580" s="17"/>
      <c r="K1580" s="17"/>
      <c r="L1580" s="17"/>
    </row>
    <row r="1581" spans="1:12">
      <c r="A1581" s="50"/>
      <c r="B1581" s="49"/>
      <c r="C1581" s="14" t="s">
        <v>753</v>
      </c>
      <c r="D1581" s="20"/>
      <c r="F1581" s="20"/>
      <c r="H1581" s="25">
        <f>SUM(H1571:H1580)</f>
        <v>1410780</v>
      </c>
      <c r="I1581" s="2"/>
      <c r="J1581" s="17"/>
      <c r="K1581" s="17"/>
      <c r="L1581" s="17"/>
    </row>
    <row r="1582" spans="1:12">
      <c r="A1582" s="50"/>
      <c r="B1582" s="49"/>
      <c r="C1582" s="14"/>
      <c r="D1582" s="20"/>
      <c r="F1582" s="20"/>
      <c r="H1582" s="25"/>
      <c r="I1582" s="2"/>
      <c r="J1582" s="17"/>
      <c r="K1582" s="17"/>
      <c r="L1582" s="17"/>
    </row>
    <row r="1583" spans="1:12">
      <c r="A1583" s="50"/>
      <c r="B1583" s="52"/>
      <c r="C1583" s="14" t="s">
        <v>754</v>
      </c>
      <c r="D1583" s="20"/>
      <c r="F1583" s="20"/>
      <c r="H1583" s="25">
        <f>H1506+H1514+H1522+H1530+H1547+H1555+H1568+H1581</f>
        <v>3263639.9692307692</v>
      </c>
      <c r="I1583" s="2"/>
      <c r="J1583" s="17"/>
      <c r="K1583" s="17"/>
      <c r="L1583" s="17"/>
    </row>
    <row r="1584" spans="1:12" s="86" customFormat="1">
      <c r="A1584" s="81"/>
      <c r="B1584" s="82"/>
      <c r="C1584" s="83"/>
      <c r="D1584" s="84"/>
      <c r="E1584" s="85"/>
      <c r="F1584" s="84"/>
      <c r="G1584" s="85"/>
      <c r="H1584" s="84"/>
      <c r="J1584" s="87"/>
      <c r="K1584" s="87"/>
      <c r="L1584" s="87"/>
    </row>
    <row r="1585" spans="1:12" ht="39">
      <c r="A1585" s="45" t="s">
        <v>537</v>
      </c>
      <c r="B1585" s="42" t="s">
        <v>755</v>
      </c>
      <c r="C1585" s="14" t="s">
        <v>756</v>
      </c>
      <c r="D1585" s="20"/>
      <c r="F1585" s="20"/>
      <c r="H1585" s="20"/>
      <c r="I1585" s="2"/>
      <c r="J1585" s="17"/>
      <c r="K1585" s="17"/>
      <c r="L1585" s="17"/>
    </row>
    <row r="1586" spans="1:12">
      <c r="A1586" s="45"/>
      <c r="B1586" s="43">
        <v>1</v>
      </c>
      <c r="C1586" s="19"/>
      <c r="D1586" s="20">
        <v>0</v>
      </c>
      <c r="E1586" s="21">
        <v>1</v>
      </c>
      <c r="F1586" s="20">
        <f>D1586*E1586</f>
        <v>0</v>
      </c>
      <c r="G1586" s="21">
        <v>101</v>
      </c>
      <c r="H1586" s="20">
        <f>F1586*G1586</f>
        <v>0</v>
      </c>
      <c r="I1586" s="2"/>
      <c r="J1586" s="17"/>
      <c r="K1586" s="17"/>
      <c r="L1586" s="17"/>
    </row>
    <row r="1587" spans="1:12">
      <c r="A1587" s="45"/>
      <c r="B1587" s="43">
        <v>2</v>
      </c>
      <c r="C1587" s="19"/>
      <c r="D1587" s="20">
        <v>0</v>
      </c>
      <c r="E1587" s="21">
        <v>1</v>
      </c>
      <c r="F1587" s="20">
        <f t="shared" ref="F1587:F1589" si="172">D1587*E1587</f>
        <v>0</v>
      </c>
      <c r="G1587" s="21">
        <v>102</v>
      </c>
      <c r="H1587" s="20">
        <f t="shared" ref="H1587:H1589" si="173">F1587*G1587</f>
        <v>0</v>
      </c>
      <c r="I1587" s="2"/>
      <c r="J1587" s="17"/>
      <c r="K1587" s="17"/>
      <c r="L1587" s="17"/>
    </row>
    <row r="1588" spans="1:12">
      <c r="A1588" s="45"/>
      <c r="B1588" s="43">
        <v>3</v>
      </c>
      <c r="C1588" s="19"/>
      <c r="D1588" s="20">
        <v>0</v>
      </c>
      <c r="E1588" s="21">
        <v>1</v>
      </c>
      <c r="F1588" s="20">
        <f t="shared" si="172"/>
        <v>0</v>
      </c>
      <c r="G1588" s="21">
        <v>103</v>
      </c>
      <c r="H1588" s="20">
        <f t="shared" si="173"/>
        <v>0</v>
      </c>
      <c r="I1588" s="2"/>
      <c r="J1588" s="17"/>
      <c r="K1588" s="17"/>
      <c r="L1588" s="17"/>
    </row>
    <row r="1589" spans="1:12">
      <c r="A1589" s="45"/>
      <c r="B1589" s="43">
        <v>4</v>
      </c>
      <c r="C1589" s="19"/>
      <c r="D1589" s="20">
        <v>0</v>
      </c>
      <c r="E1589" s="21">
        <v>1</v>
      </c>
      <c r="F1589" s="20">
        <f t="shared" si="172"/>
        <v>0</v>
      </c>
      <c r="G1589" s="21">
        <v>104</v>
      </c>
      <c r="H1589" s="20">
        <f t="shared" si="173"/>
        <v>0</v>
      </c>
      <c r="I1589" s="2"/>
      <c r="J1589" s="17"/>
      <c r="K1589" s="17"/>
      <c r="L1589" s="17"/>
    </row>
    <row r="1590" spans="1:12">
      <c r="A1590" s="45"/>
      <c r="B1590" s="43">
        <v>5</v>
      </c>
      <c r="C1590" s="19"/>
      <c r="D1590" s="20">
        <v>0</v>
      </c>
      <c r="E1590" s="21">
        <v>1</v>
      </c>
      <c r="F1590" s="20">
        <f>D1590*E1590</f>
        <v>0</v>
      </c>
      <c r="G1590" s="21">
        <v>102</v>
      </c>
      <c r="H1590" s="20">
        <f>F1590*G1590</f>
        <v>0</v>
      </c>
      <c r="I1590" s="2"/>
      <c r="J1590" s="17"/>
      <c r="K1590" s="17"/>
      <c r="L1590" s="17"/>
    </row>
    <row r="1591" spans="1:12">
      <c r="A1591" s="45"/>
      <c r="B1591" s="43"/>
      <c r="C1591" s="14" t="s">
        <v>757</v>
      </c>
      <c r="D1591" s="20"/>
      <c r="F1591" s="20"/>
      <c r="H1591" s="25">
        <f>SUM(H1586:H1590)</f>
        <v>0</v>
      </c>
      <c r="I1591" s="2"/>
      <c r="J1591" s="17"/>
      <c r="K1591" s="17"/>
      <c r="L1591" s="17"/>
    </row>
    <row r="1592" spans="1:12">
      <c r="A1592" s="45"/>
      <c r="B1592" s="42"/>
      <c r="C1592" s="14"/>
      <c r="D1592" s="20"/>
      <c r="F1592" s="20"/>
      <c r="H1592" s="20"/>
      <c r="I1592" s="2"/>
      <c r="J1592" s="17"/>
      <c r="K1592" s="17"/>
      <c r="L1592" s="17"/>
    </row>
    <row r="1593" spans="1:12">
      <c r="A1593" s="45"/>
      <c r="B1593" s="46"/>
      <c r="C1593" s="14" t="s">
        <v>758</v>
      </c>
      <c r="D1593" s="20"/>
      <c r="F1593" s="20"/>
      <c r="H1593" s="20"/>
      <c r="I1593" s="2"/>
      <c r="J1593" s="17"/>
      <c r="K1593" s="17"/>
      <c r="L1593" s="17"/>
    </row>
    <row r="1594" spans="1:12">
      <c r="A1594" s="45"/>
      <c r="B1594" s="43">
        <v>1</v>
      </c>
      <c r="C1594" s="19"/>
      <c r="D1594" s="20">
        <v>0</v>
      </c>
      <c r="E1594" s="21">
        <v>1</v>
      </c>
      <c r="F1594" s="20">
        <f>D1594*E1594</f>
        <v>0</v>
      </c>
      <c r="G1594" s="21">
        <v>101</v>
      </c>
      <c r="H1594" s="20">
        <f>F1594*G1594</f>
        <v>0</v>
      </c>
      <c r="I1594" s="2"/>
      <c r="J1594" s="17"/>
      <c r="K1594" s="17"/>
      <c r="L1594" s="17"/>
    </row>
    <row r="1595" spans="1:12">
      <c r="A1595" s="45"/>
      <c r="B1595" s="43">
        <v>2</v>
      </c>
      <c r="C1595" s="19"/>
      <c r="D1595" s="20">
        <v>0</v>
      </c>
      <c r="E1595" s="21">
        <v>1</v>
      </c>
      <c r="F1595" s="20">
        <f t="shared" ref="F1595:F1597" si="174">D1595*E1595</f>
        <v>0</v>
      </c>
      <c r="G1595" s="21">
        <v>102</v>
      </c>
      <c r="H1595" s="20">
        <f t="shared" ref="H1595:H1597" si="175">F1595*G1595</f>
        <v>0</v>
      </c>
      <c r="I1595" s="2"/>
      <c r="J1595" s="17"/>
      <c r="K1595" s="17"/>
      <c r="L1595" s="17"/>
    </row>
    <row r="1596" spans="1:12">
      <c r="A1596" s="45"/>
      <c r="B1596" s="43">
        <v>3</v>
      </c>
      <c r="C1596" s="19"/>
      <c r="D1596" s="20">
        <v>0</v>
      </c>
      <c r="E1596" s="21">
        <v>1</v>
      </c>
      <c r="F1596" s="20">
        <f t="shared" si="174"/>
        <v>0</v>
      </c>
      <c r="G1596" s="21">
        <v>103</v>
      </c>
      <c r="H1596" s="20">
        <f t="shared" si="175"/>
        <v>0</v>
      </c>
      <c r="I1596" s="2"/>
      <c r="J1596" s="17"/>
      <c r="K1596" s="17"/>
      <c r="L1596" s="17"/>
    </row>
    <row r="1597" spans="1:12">
      <c r="A1597" s="45"/>
      <c r="B1597" s="43">
        <v>4</v>
      </c>
      <c r="C1597" s="19"/>
      <c r="D1597" s="20">
        <v>0</v>
      </c>
      <c r="E1597" s="21">
        <v>1</v>
      </c>
      <c r="F1597" s="20">
        <f t="shared" si="174"/>
        <v>0</v>
      </c>
      <c r="G1597" s="21">
        <v>104</v>
      </c>
      <c r="H1597" s="20">
        <f t="shared" si="175"/>
        <v>0</v>
      </c>
      <c r="I1597" s="2"/>
      <c r="J1597" s="17"/>
      <c r="K1597" s="17"/>
      <c r="L1597" s="17"/>
    </row>
    <row r="1598" spans="1:12">
      <c r="A1598" s="45"/>
      <c r="B1598" s="43">
        <v>5</v>
      </c>
      <c r="C1598" s="19"/>
      <c r="D1598" s="20">
        <v>0</v>
      </c>
      <c r="E1598" s="21">
        <v>1</v>
      </c>
      <c r="F1598" s="20">
        <f>D1598*E1598</f>
        <v>0</v>
      </c>
      <c r="G1598" s="21">
        <v>102</v>
      </c>
      <c r="H1598" s="20">
        <f>F1598*G1598</f>
        <v>0</v>
      </c>
      <c r="I1598" s="2"/>
      <c r="J1598" s="17"/>
      <c r="K1598" s="17"/>
      <c r="L1598" s="17"/>
    </row>
    <row r="1599" spans="1:12">
      <c r="A1599" s="45"/>
      <c r="B1599" s="43"/>
      <c r="C1599" s="14" t="s">
        <v>759</v>
      </c>
      <c r="D1599" s="20"/>
      <c r="F1599" s="20"/>
      <c r="H1599" s="25">
        <f>SUM(H1594:H1598)</f>
        <v>0</v>
      </c>
      <c r="I1599" s="2"/>
      <c r="J1599" s="17"/>
      <c r="K1599" s="17"/>
      <c r="L1599" s="17"/>
    </row>
    <row r="1600" spans="1:12">
      <c r="A1600" s="45"/>
      <c r="B1600" s="46"/>
      <c r="C1600" s="14"/>
      <c r="D1600" s="20"/>
      <c r="F1600" s="20"/>
      <c r="H1600" s="20"/>
      <c r="I1600" s="2"/>
      <c r="J1600" s="17"/>
      <c r="K1600" s="17"/>
      <c r="L1600" s="17"/>
    </row>
    <row r="1601" spans="1:12">
      <c r="A1601" s="45"/>
      <c r="B1601" s="46"/>
      <c r="C1601" s="14" t="s">
        <v>760</v>
      </c>
      <c r="D1601" s="20"/>
      <c r="F1601" s="20"/>
      <c r="H1601" s="20"/>
      <c r="I1601" s="2"/>
      <c r="J1601" s="17"/>
      <c r="K1601" s="17"/>
      <c r="L1601" s="17"/>
    </row>
    <row r="1602" spans="1:12">
      <c r="A1602" s="45"/>
      <c r="B1602" s="43">
        <v>1</v>
      </c>
      <c r="C1602" s="19"/>
      <c r="D1602" s="20">
        <v>0</v>
      </c>
      <c r="E1602" s="21">
        <v>1</v>
      </c>
      <c r="F1602" s="20">
        <f>D1602*E1602</f>
        <v>0</v>
      </c>
      <c r="G1602" s="21">
        <v>101</v>
      </c>
      <c r="H1602" s="20">
        <f>F1602*G1602</f>
        <v>0</v>
      </c>
      <c r="I1602" s="2"/>
      <c r="J1602" s="17"/>
      <c r="K1602" s="17"/>
      <c r="L1602" s="17"/>
    </row>
    <row r="1603" spans="1:12">
      <c r="A1603" s="45"/>
      <c r="B1603" s="43">
        <v>2</v>
      </c>
      <c r="C1603" s="19"/>
      <c r="D1603" s="20">
        <v>0</v>
      </c>
      <c r="E1603" s="21">
        <v>1</v>
      </c>
      <c r="F1603" s="20">
        <f t="shared" ref="F1603:F1605" si="176">D1603*E1603</f>
        <v>0</v>
      </c>
      <c r="G1603" s="21">
        <v>102</v>
      </c>
      <c r="H1603" s="20">
        <f t="shared" ref="H1603:H1605" si="177">F1603*G1603</f>
        <v>0</v>
      </c>
      <c r="I1603" s="2"/>
      <c r="J1603" s="17"/>
      <c r="K1603" s="17"/>
      <c r="L1603" s="17"/>
    </row>
    <row r="1604" spans="1:12">
      <c r="A1604" s="45"/>
      <c r="B1604" s="43">
        <v>3</v>
      </c>
      <c r="C1604" s="19"/>
      <c r="D1604" s="20">
        <v>0</v>
      </c>
      <c r="E1604" s="21">
        <v>1</v>
      </c>
      <c r="F1604" s="20">
        <f t="shared" si="176"/>
        <v>0</v>
      </c>
      <c r="G1604" s="21">
        <v>103</v>
      </c>
      <c r="H1604" s="20">
        <f t="shared" si="177"/>
        <v>0</v>
      </c>
      <c r="I1604" s="2"/>
      <c r="J1604" s="17"/>
      <c r="K1604" s="17"/>
      <c r="L1604" s="17"/>
    </row>
    <row r="1605" spans="1:12">
      <c r="A1605" s="45"/>
      <c r="B1605" s="43">
        <v>4</v>
      </c>
      <c r="C1605" s="19"/>
      <c r="D1605" s="20">
        <v>0</v>
      </c>
      <c r="E1605" s="21">
        <v>1</v>
      </c>
      <c r="F1605" s="20">
        <f t="shared" si="176"/>
        <v>0</v>
      </c>
      <c r="G1605" s="21">
        <v>104</v>
      </c>
      <c r="H1605" s="20">
        <f t="shared" si="177"/>
        <v>0</v>
      </c>
      <c r="I1605" s="2"/>
      <c r="J1605" s="17"/>
      <c r="K1605" s="17"/>
      <c r="L1605" s="17"/>
    </row>
    <row r="1606" spans="1:12">
      <c r="A1606" s="45"/>
      <c r="B1606" s="43">
        <v>5</v>
      </c>
      <c r="C1606" s="19"/>
      <c r="D1606" s="20">
        <v>0</v>
      </c>
      <c r="E1606" s="21">
        <v>1</v>
      </c>
      <c r="F1606" s="20">
        <f>D1606*E1606</f>
        <v>0</v>
      </c>
      <c r="G1606" s="21">
        <v>102</v>
      </c>
      <c r="H1606" s="20">
        <f>F1606*G1606</f>
        <v>0</v>
      </c>
      <c r="I1606" s="2"/>
      <c r="J1606" s="17"/>
      <c r="K1606" s="17"/>
      <c r="L1606" s="17"/>
    </row>
    <row r="1607" spans="1:12">
      <c r="A1607" s="45"/>
      <c r="B1607" s="43"/>
      <c r="C1607" s="14" t="s">
        <v>761</v>
      </c>
      <c r="D1607" s="20"/>
      <c r="F1607" s="20"/>
      <c r="H1607" s="25">
        <f>SUM(H1602:H1606)</f>
        <v>0</v>
      </c>
      <c r="I1607" s="2"/>
      <c r="J1607" s="17"/>
      <c r="K1607" s="17"/>
      <c r="L1607" s="17"/>
    </row>
    <row r="1608" spans="1:12">
      <c r="A1608" s="45"/>
      <c r="B1608" s="46"/>
      <c r="C1608" s="14"/>
      <c r="D1608" s="20"/>
      <c r="F1608" s="20"/>
      <c r="H1608" s="20"/>
      <c r="I1608" s="2"/>
      <c r="J1608" s="17"/>
      <c r="K1608" s="17"/>
      <c r="L1608" s="17"/>
    </row>
    <row r="1609" spans="1:12">
      <c r="A1609" s="45"/>
      <c r="B1609" s="46"/>
      <c r="C1609" s="14" t="s">
        <v>762</v>
      </c>
      <c r="D1609" s="20"/>
      <c r="F1609" s="20"/>
      <c r="H1609" s="20"/>
      <c r="I1609" s="2"/>
      <c r="J1609" s="17"/>
      <c r="K1609" s="17"/>
      <c r="L1609" s="17"/>
    </row>
    <row r="1610" spans="1:12">
      <c r="A1610" s="45"/>
      <c r="B1610" s="43">
        <v>1</v>
      </c>
      <c r="C1610" s="19"/>
      <c r="D1610" s="20">
        <v>0</v>
      </c>
      <c r="E1610" s="21">
        <v>1</v>
      </c>
      <c r="F1610" s="20">
        <f>D1610*E1610</f>
        <v>0</v>
      </c>
      <c r="G1610" s="21">
        <v>101</v>
      </c>
      <c r="H1610" s="20">
        <f>F1610*G1610</f>
        <v>0</v>
      </c>
      <c r="I1610" s="2"/>
      <c r="J1610" s="17"/>
      <c r="K1610" s="17"/>
      <c r="L1610" s="17"/>
    </row>
    <row r="1611" spans="1:12">
      <c r="A1611" s="45"/>
      <c r="B1611" s="43">
        <v>2</v>
      </c>
      <c r="C1611" s="19"/>
      <c r="D1611" s="20">
        <v>0</v>
      </c>
      <c r="E1611" s="21">
        <v>1</v>
      </c>
      <c r="F1611" s="20">
        <f t="shared" ref="F1611:F1614" si="178">D1611*E1611</f>
        <v>0</v>
      </c>
      <c r="G1611" s="21">
        <v>102</v>
      </c>
      <c r="H1611" s="20">
        <f t="shared" ref="H1611:H1614" si="179">F1611*G1611</f>
        <v>0</v>
      </c>
      <c r="I1611" s="2"/>
      <c r="J1611" s="17"/>
      <c r="K1611" s="17"/>
      <c r="L1611" s="17"/>
    </row>
    <row r="1612" spans="1:12">
      <c r="A1612" s="45"/>
      <c r="B1612" s="43">
        <v>3</v>
      </c>
      <c r="C1612" s="19"/>
      <c r="D1612" s="20">
        <v>0</v>
      </c>
      <c r="E1612" s="21">
        <v>1</v>
      </c>
      <c r="F1612" s="20">
        <f t="shared" si="178"/>
        <v>0</v>
      </c>
      <c r="G1612" s="21">
        <v>103</v>
      </c>
      <c r="H1612" s="20">
        <f t="shared" si="179"/>
        <v>0</v>
      </c>
      <c r="I1612" s="2"/>
      <c r="J1612" s="17"/>
      <c r="K1612" s="17"/>
      <c r="L1612" s="17"/>
    </row>
    <row r="1613" spans="1:12">
      <c r="A1613" s="45"/>
      <c r="B1613" s="43">
        <v>4</v>
      </c>
      <c r="C1613" s="19"/>
      <c r="D1613" s="20">
        <v>0</v>
      </c>
      <c r="E1613" s="21">
        <v>1</v>
      </c>
      <c r="F1613" s="20">
        <f t="shared" si="178"/>
        <v>0</v>
      </c>
      <c r="G1613" s="21">
        <v>104</v>
      </c>
      <c r="H1613" s="20">
        <f t="shared" si="179"/>
        <v>0</v>
      </c>
      <c r="I1613" s="2"/>
      <c r="J1613" s="17"/>
      <c r="K1613" s="17"/>
      <c r="L1613" s="17"/>
    </row>
    <row r="1614" spans="1:12">
      <c r="A1614" s="45"/>
      <c r="B1614" s="43">
        <v>5</v>
      </c>
      <c r="C1614" s="19"/>
      <c r="D1614" s="20">
        <v>0</v>
      </c>
      <c r="E1614" s="21">
        <v>1</v>
      </c>
      <c r="F1614" s="20">
        <f t="shared" si="178"/>
        <v>0</v>
      </c>
      <c r="G1614" s="21">
        <v>105</v>
      </c>
      <c r="H1614" s="20">
        <f t="shared" si="179"/>
        <v>0</v>
      </c>
      <c r="I1614" s="2"/>
      <c r="J1614" s="17"/>
      <c r="K1614" s="17"/>
      <c r="L1614" s="17"/>
    </row>
    <row r="1615" spans="1:12">
      <c r="A1615" s="45"/>
      <c r="B1615" s="43">
        <v>6</v>
      </c>
      <c r="C1615" s="19"/>
      <c r="D1615" s="20">
        <v>0</v>
      </c>
      <c r="E1615" s="21">
        <v>1</v>
      </c>
      <c r="F1615" s="20">
        <f>D1615*E1615</f>
        <v>0</v>
      </c>
      <c r="G1615" s="21">
        <v>102</v>
      </c>
      <c r="H1615" s="20">
        <f>F1615*G1615</f>
        <v>0</v>
      </c>
      <c r="I1615" s="2"/>
      <c r="J1615" s="17"/>
      <c r="K1615" s="17"/>
      <c r="L1615" s="17"/>
    </row>
    <row r="1616" spans="1:12">
      <c r="A1616" s="45"/>
      <c r="B1616" s="43"/>
      <c r="C1616" s="14" t="s">
        <v>763</v>
      </c>
      <c r="D1616" s="20"/>
      <c r="F1616" s="20"/>
      <c r="H1616" s="25">
        <f>SUM(H1610:H1615)</f>
        <v>0</v>
      </c>
      <c r="I1616" s="2"/>
      <c r="J1616" s="17"/>
      <c r="K1616" s="17"/>
      <c r="L1616" s="17"/>
    </row>
    <row r="1617" spans="1:12">
      <c r="A1617" s="45"/>
      <c r="B1617" s="46"/>
      <c r="C1617" s="14"/>
      <c r="D1617" s="20"/>
      <c r="F1617" s="20"/>
      <c r="H1617" s="20"/>
      <c r="I1617" s="2"/>
      <c r="J1617" s="17"/>
      <c r="K1617" s="17"/>
      <c r="L1617" s="17"/>
    </row>
    <row r="1618" spans="1:12">
      <c r="A1618" s="45"/>
      <c r="B1618" s="46"/>
      <c r="C1618" s="14" t="s">
        <v>764</v>
      </c>
      <c r="D1618" s="20"/>
      <c r="F1618" s="20"/>
      <c r="H1618" s="20"/>
      <c r="I1618" s="2"/>
      <c r="J1618" s="17"/>
      <c r="K1618" s="17"/>
      <c r="L1618" s="17"/>
    </row>
    <row r="1619" spans="1:12">
      <c r="A1619" s="45"/>
      <c r="B1619" s="43">
        <v>1</v>
      </c>
      <c r="C1619" s="19" t="s">
        <v>496</v>
      </c>
      <c r="D1619" s="20">
        <v>0</v>
      </c>
      <c r="E1619" s="21">
        <v>1</v>
      </c>
      <c r="F1619" s="20">
        <f>D1619*E1619</f>
        <v>0</v>
      </c>
      <c r="G1619" s="21">
        <f>K43</f>
        <v>5384.6153846153802</v>
      </c>
      <c r="H1619" s="20">
        <f>F1619*G1619</f>
        <v>0</v>
      </c>
      <c r="I1619" s="2"/>
      <c r="J1619" s="17"/>
      <c r="K1619" s="17"/>
      <c r="L1619" s="17"/>
    </row>
    <row r="1620" spans="1:12">
      <c r="A1620" s="45"/>
      <c r="B1620" s="43">
        <v>2</v>
      </c>
      <c r="C1620" s="19" t="s">
        <v>497</v>
      </c>
      <c r="D1620" s="20">
        <v>0</v>
      </c>
      <c r="E1620" s="21">
        <v>1</v>
      </c>
      <c r="F1620" s="20">
        <f t="shared" ref="F1620:F1632" si="180">D1620*E1620</f>
        <v>0</v>
      </c>
      <c r="G1620" s="69">
        <f>K44</f>
        <v>8307.6923076923104</v>
      </c>
      <c r="H1620" s="20">
        <f t="shared" ref="H1620:H1632" si="181">F1620*G1620</f>
        <v>0</v>
      </c>
      <c r="I1620" s="2"/>
      <c r="J1620" s="17"/>
      <c r="K1620" s="17"/>
      <c r="L1620" s="17"/>
    </row>
    <row r="1621" spans="1:12">
      <c r="A1621" s="45"/>
      <c r="B1621" s="43">
        <v>3</v>
      </c>
      <c r="C1621" s="19" t="s">
        <v>606</v>
      </c>
      <c r="D1621" s="20">
        <v>0</v>
      </c>
      <c r="E1621" s="21">
        <v>1</v>
      </c>
      <c r="F1621" s="20">
        <f t="shared" si="180"/>
        <v>0</v>
      </c>
      <c r="G1621" s="21">
        <v>60.769230769230766</v>
      </c>
      <c r="H1621" s="20">
        <f t="shared" si="181"/>
        <v>0</v>
      </c>
      <c r="I1621" s="2"/>
      <c r="J1621" s="17"/>
      <c r="K1621" s="17"/>
      <c r="L1621" s="17"/>
    </row>
    <row r="1622" spans="1:12">
      <c r="A1622" s="45"/>
      <c r="B1622" s="43">
        <v>4</v>
      </c>
      <c r="C1622" s="19" t="s">
        <v>503</v>
      </c>
      <c r="D1622" s="20">
        <v>0</v>
      </c>
      <c r="E1622" s="21">
        <v>1</v>
      </c>
      <c r="F1622" s="20">
        <f t="shared" si="180"/>
        <v>0</v>
      </c>
      <c r="G1622" s="21">
        <v>40</v>
      </c>
      <c r="H1622" s="20">
        <f t="shared" si="181"/>
        <v>0</v>
      </c>
      <c r="I1622" s="2"/>
      <c r="J1622" s="17"/>
      <c r="K1622" s="17"/>
      <c r="L1622" s="17"/>
    </row>
    <row r="1623" spans="1:12">
      <c r="A1623" s="45"/>
      <c r="B1623" s="43">
        <v>5</v>
      </c>
      <c r="C1623" s="19" t="s">
        <v>504</v>
      </c>
      <c r="D1623" s="20">
        <v>0</v>
      </c>
      <c r="E1623" s="21">
        <v>0.42599999999999999</v>
      </c>
      <c r="F1623" s="20">
        <f t="shared" si="180"/>
        <v>0</v>
      </c>
      <c r="G1623" s="21">
        <v>49000</v>
      </c>
      <c r="H1623" s="20">
        <f t="shared" si="181"/>
        <v>0</v>
      </c>
      <c r="I1623" s="2"/>
      <c r="J1623" s="17"/>
      <c r="K1623" s="17"/>
      <c r="L1623" s="17"/>
    </row>
    <row r="1624" spans="1:12">
      <c r="A1624" s="45"/>
      <c r="B1624" s="43">
        <v>6</v>
      </c>
      <c r="C1624" s="19" t="s">
        <v>507</v>
      </c>
      <c r="D1624" s="20">
        <v>0</v>
      </c>
      <c r="E1624" s="21">
        <v>1</v>
      </c>
      <c r="F1624" s="20">
        <f t="shared" si="180"/>
        <v>0</v>
      </c>
      <c r="G1624" s="21">
        <v>230.76923076923077</v>
      </c>
      <c r="H1624" s="20">
        <f t="shared" si="181"/>
        <v>0</v>
      </c>
      <c r="I1624" s="2"/>
      <c r="J1624" s="17"/>
      <c r="K1624" s="17"/>
      <c r="L1624" s="17"/>
    </row>
    <row r="1625" spans="1:12">
      <c r="A1625" s="45"/>
      <c r="B1625" s="43">
        <v>7</v>
      </c>
      <c r="C1625" s="19" t="s">
        <v>508</v>
      </c>
      <c r="D1625" s="20">
        <v>0</v>
      </c>
      <c r="E1625" s="21">
        <v>0.14399999999999999</v>
      </c>
      <c r="F1625" s="20">
        <f t="shared" si="180"/>
        <v>0</v>
      </c>
      <c r="G1625" s="21">
        <v>9000</v>
      </c>
      <c r="H1625" s="20">
        <f t="shared" si="181"/>
        <v>0</v>
      </c>
      <c r="I1625" s="2"/>
      <c r="J1625" s="17"/>
      <c r="K1625" s="17"/>
      <c r="L1625" s="17"/>
    </row>
    <row r="1626" spans="1:12">
      <c r="A1626" s="45"/>
      <c r="B1626" s="43">
        <v>8</v>
      </c>
      <c r="C1626" s="19" t="s">
        <v>352</v>
      </c>
      <c r="D1626" s="20">
        <v>0</v>
      </c>
      <c r="E1626" s="21">
        <v>0.58199999999999996</v>
      </c>
      <c r="F1626" s="20">
        <f t="shared" si="180"/>
        <v>0</v>
      </c>
      <c r="G1626" s="21">
        <v>177.69230769230768</v>
      </c>
      <c r="H1626" s="20">
        <f t="shared" si="181"/>
        <v>0</v>
      </c>
      <c r="I1626" s="2"/>
      <c r="J1626" s="17"/>
      <c r="K1626" s="17"/>
      <c r="L1626" s="17"/>
    </row>
    <row r="1627" spans="1:12">
      <c r="A1627" s="45"/>
      <c r="B1627" s="43">
        <v>9</v>
      </c>
      <c r="C1627" s="19" t="s">
        <v>45</v>
      </c>
      <c r="D1627" s="20">
        <v>0</v>
      </c>
      <c r="E1627" s="21">
        <v>0.58199999999999996</v>
      </c>
      <c r="F1627" s="20">
        <f t="shared" si="180"/>
        <v>0</v>
      </c>
      <c r="G1627" s="21">
        <v>77.692307692307693</v>
      </c>
      <c r="H1627" s="20">
        <f t="shared" si="181"/>
        <v>0</v>
      </c>
      <c r="I1627" s="2"/>
      <c r="J1627" s="17"/>
      <c r="K1627" s="17"/>
      <c r="L1627" s="17"/>
    </row>
    <row r="1628" spans="1:12">
      <c r="A1628" s="45"/>
      <c r="B1628" s="43">
        <v>10</v>
      </c>
      <c r="C1628" s="19" t="s">
        <v>351</v>
      </c>
      <c r="D1628" s="20">
        <v>0</v>
      </c>
      <c r="E1628" s="21">
        <v>0.58199999999999996</v>
      </c>
      <c r="F1628" s="20">
        <f t="shared" si="180"/>
        <v>0</v>
      </c>
      <c r="G1628" s="21">
        <v>264.61538461538458</v>
      </c>
      <c r="H1628" s="20">
        <f t="shared" si="181"/>
        <v>0</v>
      </c>
      <c r="I1628" s="2"/>
      <c r="J1628" s="17"/>
      <c r="K1628" s="17"/>
      <c r="L1628" s="17"/>
    </row>
    <row r="1629" spans="1:12">
      <c r="A1629" s="45"/>
      <c r="B1629" s="43">
        <v>11</v>
      </c>
      <c r="C1629" s="19"/>
      <c r="D1629" s="20"/>
      <c r="E1629" s="21">
        <v>0.58199999999999996</v>
      </c>
      <c r="F1629" s="20">
        <f t="shared" si="180"/>
        <v>0</v>
      </c>
      <c r="G1629" s="21">
        <v>101</v>
      </c>
      <c r="H1629" s="20">
        <f t="shared" si="181"/>
        <v>0</v>
      </c>
      <c r="I1629" s="2"/>
      <c r="J1629" s="17"/>
      <c r="K1629" s="17"/>
      <c r="L1629" s="17"/>
    </row>
    <row r="1630" spans="1:12">
      <c r="A1630" s="45"/>
      <c r="B1630" s="43">
        <v>12</v>
      </c>
      <c r="C1630" s="19"/>
      <c r="D1630" s="20"/>
      <c r="E1630" s="21">
        <v>0.58199999999999996</v>
      </c>
      <c r="F1630" s="20">
        <f t="shared" si="180"/>
        <v>0</v>
      </c>
      <c r="G1630" s="21">
        <v>344</v>
      </c>
      <c r="H1630" s="20">
        <f t="shared" si="181"/>
        <v>0</v>
      </c>
      <c r="I1630" s="2"/>
      <c r="J1630" s="17"/>
      <c r="K1630" s="17"/>
      <c r="L1630" s="17"/>
    </row>
    <row r="1631" spans="1:12">
      <c r="A1631" s="45"/>
      <c r="B1631" s="43">
        <v>13</v>
      </c>
      <c r="C1631" s="19"/>
      <c r="D1631" s="20">
        <v>0</v>
      </c>
      <c r="E1631" s="21">
        <v>0</v>
      </c>
      <c r="F1631" s="20">
        <f t="shared" si="180"/>
        <v>0</v>
      </c>
      <c r="G1631" s="21">
        <v>110</v>
      </c>
      <c r="H1631" s="20">
        <f t="shared" si="181"/>
        <v>0</v>
      </c>
      <c r="I1631" s="2"/>
      <c r="J1631" s="17"/>
      <c r="K1631" s="17"/>
      <c r="L1631" s="17"/>
    </row>
    <row r="1632" spans="1:12">
      <c r="A1632" s="45"/>
      <c r="B1632" s="43">
        <v>14</v>
      </c>
      <c r="C1632" s="19"/>
      <c r="D1632" s="20">
        <v>0</v>
      </c>
      <c r="E1632" s="21">
        <v>0</v>
      </c>
      <c r="F1632" s="20">
        <f t="shared" si="180"/>
        <v>0</v>
      </c>
      <c r="G1632" s="21">
        <v>111</v>
      </c>
      <c r="H1632" s="20">
        <f t="shared" si="181"/>
        <v>0</v>
      </c>
      <c r="I1632" s="2"/>
      <c r="J1632" s="17"/>
      <c r="K1632" s="17"/>
      <c r="L1632" s="17"/>
    </row>
    <row r="1633" spans="1:12">
      <c r="A1633" s="45"/>
      <c r="B1633" s="43">
        <v>15</v>
      </c>
      <c r="C1633" s="19"/>
      <c r="D1633" s="20">
        <v>0</v>
      </c>
      <c r="E1633" s="21">
        <v>0</v>
      </c>
      <c r="F1633" s="20">
        <f>D1633*E1633</f>
        <v>0</v>
      </c>
      <c r="G1633" s="21">
        <v>102</v>
      </c>
      <c r="H1633" s="20">
        <f>F1633*G1633</f>
        <v>0</v>
      </c>
      <c r="I1633" s="2"/>
      <c r="J1633" s="17"/>
      <c r="K1633" s="17"/>
      <c r="L1633" s="17"/>
    </row>
    <row r="1634" spans="1:12">
      <c r="A1634" s="45"/>
      <c r="B1634" s="43"/>
      <c r="C1634" s="14" t="s">
        <v>765</v>
      </c>
      <c r="D1634" s="20"/>
      <c r="F1634" s="20"/>
      <c r="H1634" s="25">
        <f>SUM(H1619:H1633)</f>
        <v>0</v>
      </c>
      <c r="I1634" s="2"/>
      <c r="J1634" s="17"/>
      <c r="K1634" s="17"/>
      <c r="L1634" s="17"/>
    </row>
    <row r="1635" spans="1:12">
      <c r="A1635" s="45"/>
      <c r="B1635" s="46"/>
      <c r="C1635" s="14"/>
      <c r="D1635" s="20"/>
      <c r="F1635" s="20"/>
      <c r="H1635" s="20"/>
      <c r="I1635" s="2"/>
      <c r="J1635" s="17"/>
      <c r="K1635" s="17"/>
      <c r="L1635" s="17"/>
    </row>
    <row r="1636" spans="1:12">
      <c r="A1636" s="45"/>
      <c r="B1636" s="46"/>
      <c r="C1636" s="14" t="s">
        <v>766</v>
      </c>
      <c r="D1636" s="20"/>
      <c r="F1636" s="20"/>
      <c r="H1636" s="20"/>
      <c r="I1636" s="2"/>
      <c r="J1636" s="17"/>
      <c r="K1636" s="17"/>
      <c r="L1636" s="17"/>
    </row>
    <row r="1637" spans="1:12">
      <c r="A1637" s="45"/>
      <c r="B1637" s="43">
        <v>1</v>
      </c>
      <c r="C1637" s="19" t="s">
        <v>284</v>
      </c>
      <c r="D1637" s="20">
        <v>1</v>
      </c>
      <c r="E1637" s="21">
        <v>1</v>
      </c>
      <c r="F1637" s="20">
        <f>D1637*E1637</f>
        <v>1</v>
      </c>
      <c r="G1637" s="21">
        <v>40000</v>
      </c>
      <c r="H1637" s="20">
        <f>F1637*G1637</f>
        <v>40000</v>
      </c>
      <c r="I1637" s="2"/>
      <c r="J1637" s="17"/>
      <c r="K1637" s="17"/>
      <c r="L1637" s="17"/>
    </row>
    <row r="1638" spans="1:12">
      <c r="A1638" s="45"/>
      <c r="B1638" s="43">
        <v>2</v>
      </c>
      <c r="C1638" s="19"/>
      <c r="D1638" s="20">
        <v>0</v>
      </c>
      <c r="E1638" s="21">
        <v>1</v>
      </c>
      <c r="F1638" s="20">
        <f t="shared" ref="F1638:F1640" si="182">D1638*E1638</f>
        <v>0</v>
      </c>
      <c r="G1638" s="21">
        <v>400000</v>
      </c>
      <c r="H1638" s="20">
        <f t="shared" ref="H1638:H1640" si="183">F1638*G1638</f>
        <v>0</v>
      </c>
      <c r="I1638" s="2"/>
      <c r="J1638" s="17"/>
      <c r="K1638" s="17"/>
      <c r="L1638" s="17"/>
    </row>
    <row r="1639" spans="1:12">
      <c r="A1639" s="45"/>
      <c r="B1639" s="43">
        <v>3</v>
      </c>
      <c r="C1639" s="19"/>
      <c r="D1639" s="20">
        <v>0</v>
      </c>
      <c r="E1639" s="21">
        <v>1</v>
      </c>
      <c r="F1639" s="20">
        <f t="shared" si="182"/>
        <v>0</v>
      </c>
      <c r="G1639" s="21">
        <v>103</v>
      </c>
      <c r="H1639" s="20">
        <f t="shared" si="183"/>
        <v>0</v>
      </c>
      <c r="I1639" s="2"/>
      <c r="J1639" s="17"/>
      <c r="K1639" s="17"/>
      <c r="L1639" s="17"/>
    </row>
    <row r="1640" spans="1:12">
      <c r="A1640" s="45"/>
      <c r="B1640" s="43">
        <v>4</v>
      </c>
      <c r="C1640" s="19"/>
      <c r="D1640" s="20">
        <v>0</v>
      </c>
      <c r="E1640" s="21">
        <v>1</v>
      </c>
      <c r="F1640" s="20">
        <f t="shared" si="182"/>
        <v>0</v>
      </c>
      <c r="G1640" s="21">
        <v>104</v>
      </c>
      <c r="H1640" s="20">
        <f t="shared" si="183"/>
        <v>0</v>
      </c>
      <c r="I1640" s="2"/>
      <c r="J1640" s="17"/>
      <c r="K1640" s="17"/>
      <c r="L1640" s="17"/>
    </row>
    <row r="1641" spans="1:12">
      <c r="A1641" s="45"/>
      <c r="B1641" s="43">
        <v>5</v>
      </c>
      <c r="C1641" s="19"/>
      <c r="D1641" s="20">
        <v>0</v>
      </c>
      <c r="E1641" s="21">
        <v>1</v>
      </c>
      <c r="F1641" s="20">
        <f>D1641*E1641</f>
        <v>0</v>
      </c>
      <c r="G1641" s="21">
        <v>102</v>
      </c>
      <c r="H1641" s="20">
        <f>F1641*G1641</f>
        <v>0</v>
      </c>
      <c r="I1641" s="2"/>
      <c r="J1641" s="17"/>
      <c r="K1641" s="17"/>
      <c r="L1641" s="17"/>
    </row>
    <row r="1642" spans="1:12">
      <c r="A1642" s="45"/>
      <c r="B1642" s="43"/>
      <c r="C1642" s="14" t="s">
        <v>767</v>
      </c>
      <c r="D1642" s="20"/>
      <c r="F1642" s="20"/>
      <c r="H1642" s="25">
        <f>SUM(H1637:H1641)</f>
        <v>40000</v>
      </c>
      <c r="I1642" s="2"/>
      <c r="J1642" s="17"/>
      <c r="K1642" s="17"/>
      <c r="L1642" s="17"/>
    </row>
    <row r="1643" spans="1:12">
      <c r="A1643" s="45"/>
      <c r="B1643" s="46"/>
      <c r="C1643" s="14"/>
      <c r="D1643" s="20"/>
      <c r="F1643" s="20"/>
      <c r="H1643" s="20"/>
      <c r="I1643" s="2"/>
      <c r="J1643" s="17"/>
      <c r="K1643" s="17"/>
      <c r="L1643" s="17"/>
    </row>
    <row r="1644" spans="1:12">
      <c r="A1644" s="45"/>
      <c r="B1644" s="46"/>
      <c r="C1644" s="14" t="s">
        <v>768</v>
      </c>
      <c r="D1644" s="20"/>
      <c r="F1644" s="20"/>
      <c r="H1644" s="20"/>
      <c r="I1644" s="2"/>
      <c r="J1644" s="17"/>
      <c r="K1644" s="17"/>
      <c r="L1644" s="17"/>
    </row>
    <row r="1645" spans="1:12">
      <c r="A1645" s="45"/>
      <c r="B1645" s="43">
        <v>1</v>
      </c>
      <c r="C1645" s="19" t="s">
        <v>219</v>
      </c>
      <c r="D1645" s="20">
        <v>4</v>
      </c>
      <c r="E1645" s="21">
        <v>1</v>
      </c>
      <c r="F1645" s="20">
        <f>D1645*E1645</f>
        <v>4</v>
      </c>
      <c r="G1645" s="69">
        <v>12507</v>
      </c>
      <c r="H1645" s="20">
        <f>F1645*G1645</f>
        <v>50028</v>
      </c>
      <c r="I1645" s="2"/>
      <c r="J1645" s="17"/>
      <c r="K1645" s="17"/>
      <c r="L1645" s="17"/>
    </row>
    <row r="1646" spans="1:12">
      <c r="A1646" s="45"/>
      <c r="B1646" s="43">
        <v>2</v>
      </c>
      <c r="C1646" s="19" t="s">
        <v>64</v>
      </c>
      <c r="D1646" s="20">
        <v>4</v>
      </c>
      <c r="E1646" s="21">
        <v>1</v>
      </c>
      <c r="F1646" s="20">
        <f t="shared" ref="F1646:F1651" si="184">D1646*E1646</f>
        <v>4</v>
      </c>
      <c r="G1646" s="69">
        <v>12507</v>
      </c>
      <c r="H1646" s="20">
        <f t="shared" ref="H1646:H1651" si="185">F1646*G1646</f>
        <v>50028</v>
      </c>
      <c r="I1646" s="2"/>
      <c r="J1646" s="17"/>
      <c r="K1646" s="17"/>
      <c r="L1646" s="17"/>
    </row>
    <row r="1647" spans="1:12">
      <c r="A1647" s="45"/>
      <c r="B1647" s="43">
        <v>3</v>
      </c>
      <c r="C1647" s="19" t="s">
        <v>65</v>
      </c>
      <c r="D1647" s="20">
        <v>4</v>
      </c>
      <c r="E1647" s="21">
        <v>1</v>
      </c>
      <c r="F1647" s="20">
        <f t="shared" si="184"/>
        <v>4</v>
      </c>
      <c r="G1647" s="69">
        <v>12507</v>
      </c>
      <c r="H1647" s="20">
        <f t="shared" si="185"/>
        <v>50028</v>
      </c>
      <c r="I1647" s="2"/>
      <c r="J1647" s="17"/>
      <c r="K1647" s="17"/>
      <c r="L1647" s="17"/>
    </row>
    <row r="1648" spans="1:12">
      <c r="A1648" s="45"/>
      <c r="B1648" s="43">
        <v>4</v>
      </c>
      <c r="C1648" s="19" t="s">
        <v>358</v>
      </c>
      <c r="D1648" s="20">
        <v>4</v>
      </c>
      <c r="E1648" s="21">
        <v>1</v>
      </c>
      <c r="F1648" s="20">
        <f t="shared" si="184"/>
        <v>4</v>
      </c>
      <c r="G1648" s="69">
        <v>12507</v>
      </c>
      <c r="H1648" s="20">
        <f t="shared" si="185"/>
        <v>50028</v>
      </c>
      <c r="I1648" s="2"/>
      <c r="J1648" s="17"/>
      <c r="K1648" s="17"/>
      <c r="L1648" s="17"/>
    </row>
    <row r="1649" spans="1:12">
      <c r="A1649" s="45"/>
      <c r="B1649" s="43">
        <v>5</v>
      </c>
      <c r="C1649" s="19" t="s">
        <v>222</v>
      </c>
      <c r="D1649" s="20">
        <v>7.2</v>
      </c>
      <c r="E1649" s="21">
        <v>1</v>
      </c>
      <c r="F1649" s="20">
        <f t="shared" si="184"/>
        <v>7.2</v>
      </c>
      <c r="G1649" s="69">
        <v>12507</v>
      </c>
      <c r="H1649" s="20">
        <f t="shared" si="185"/>
        <v>90050.400000000009</v>
      </c>
      <c r="I1649" s="2"/>
      <c r="J1649" s="17"/>
      <c r="K1649" s="17"/>
      <c r="L1649" s="17"/>
    </row>
    <row r="1650" spans="1:12">
      <c r="A1650" s="45"/>
      <c r="B1650" s="43">
        <v>6</v>
      </c>
      <c r="C1650" s="19" t="s">
        <v>360</v>
      </c>
      <c r="D1650" s="20">
        <v>0</v>
      </c>
      <c r="E1650" s="21">
        <v>1</v>
      </c>
      <c r="F1650" s="20">
        <f t="shared" si="184"/>
        <v>0</v>
      </c>
      <c r="G1650" s="69">
        <v>31769</v>
      </c>
      <c r="H1650" s="20">
        <f t="shared" si="185"/>
        <v>0</v>
      </c>
      <c r="I1650" s="2"/>
      <c r="J1650" s="17"/>
      <c r="K1650" s="17"/>
      <c r="L1650" s="17"/>
    </row>
    <row r="1651" spans="1:12">
      <c r="A1651" s="45"/>
      <c r="B1651" s="43">
        <v>7</v>
      </c>
      <c r="C1651" s="19"/>
      <c r="D1651" s="20"/>
      <c r="E1651" s="21">
        <v>1</v>
      </c>
      <c r="F1651" s="20">
        <f t="shared" si="184"/>
        <v>0</v>
      </c>
      <c r="G1651" s="69">
        <v>250000</v>
      </c>
      <c r="H1651" s="20">
        <f t="shared" si="185"/>
        <v>0</v>
      </c>
      <c r="I1651" s="2"/>
      <c r="J1651" s="17"/>
      <c r="K1651" s="17"/>
      <c r="L1651" s="17"/>
    </row>
    <row r="1652" spans="1:12">
      <c r="A1652" s="45"/>
      <c r="B1652" s="43">
        <v>8</v>
      </c>
      <c r="C1652" s="19"/>
      <c r="D1652" s="20">
        <v>0</v>
      </c>
      <c r="E1652" s="21">
        <v>0</v>
      </c>
      <c r="F1652" s="20">
        <f>D1652*E1652</f>
        <v>0</v>
      </c>
      <c r="G1652" s="21">
        <v>102</v>
      </c>
      <c r="H1652" s="20">
        <f>F1652*G1652</f>
        <v>0</v>
      </c>
      <c r="I1652" s="2"/>
      <c r="J1652" s="17"/>
      <c r="K1652" s="17"/>
      <c r="L1652" s="17"/>
    </row>
    <row r="1653" spans="1:12">
      <c r="A1653" s="45"/>
      <c r="B1653" s="43"/>
      <c r="C1653" s="14" t="s">
        <v>769</v>
      </c>
      <c r="D1653" s="20"/>
      <c r="F1653" s="20"/>
      <c r="H1653" s="25">
        <f>SUM(H1645:H1652)</f>
        <v>290162.40000000002</v>
      </c>
      <c r="I1653" s="2"/>
      <c r="J1653" s="17"/>
      <c r="K1653" s="17"/>
      <c r="L1653" s="17"/>
    </row>
    <row r="1654" spans="1:12">
      <c r="A1654" s="45"/>
      <c r="B1654" s="43"/>
      <c r="C1654" s="14"/>
      <c r="D1654" s="20"/>
      <c r="F1654" s="20"/>
      <c r="H1654" s="25"/>
      <c r="I1654" s="2"/>
      <c r="J1654" s="17"/>
      <c r="K1654" s="17"/>
      <c r="L1654" s="17"/>
    </row>
    <row r="1655" spans="1:12">
      <c r="A1655" s="45"/>
      <c r="B1655" s="46"/>
      <c r="C1655" s="14" t="s">
        <v>770</v>
      </c>
      <c r="D1655" s="20"/>
      <c r="F1655" s="20"/>
      <c r="H1655" s="20"/>
      <c r="I1655" s="2"/>
      <c r="J1655" s="17"/>
      <c r="K1655" s="17"/>
      <c r="L1655" s="17"/>
    </row>
    <row r="1656" spans="1:12">
      <c r="A1656" s="45"/>
      <c r="B1656" s="43">
        <v>1</v>
      </c>
      <c r="C1656" s="19" t="s">
        <v>638</v>
      </c>
      <c r="D1656" s="20">
        <v>4</v>
      </c>
      <c r="E1656" s="21">
        <v>1</v>
      </c>
      <c r="F1656" s="20">
        <f>D1656*E1656</f>
        <v>4</v>
      </c>
      <c r="G1656" s="21">
        <v>140000</v>
      </c>
      <c r="H1656" s="20">
        <f>F1656*G1656</f>
        <v>560000</v>
      </c>
      <c r="I1656" s="2"/>
      <c r="J1656" s="17"/>
      <c r="K1656" s="17"/>
      <c r="L1656" s="17"/>
    </row>
    <row r="1657" spans="1:12">
      <c r="A1657" s="45"/>
      <c r="B1657" s="43">
        <v>2</v>
      </c>
      <c r="C1657" s="19" t="s">
        <v>76</v>
      </c>
      <c r="D1657" s="20">
        <v>4</v>
      </c>
      <c r="E1657" s="21">
        <v>1</v>
      </c>
      <c r="F1657" s="20">
        <f t="shared" ref="F1657:F1660" si="186">D1657*E1657</f>
        <v>4</v>
      </c>
      <c r="G1657" s="21">
        <v>30770</v>
      </c>
      <c r="H1657" s="20">
        <f t="shared" ref="H1657:H1660" si="187">F1657*G1657</f>
        <v>123080</v>
      </c>
      <c r="I1657" s="2"/>
      <c r="J1657" s="17"/>
      <c r="K1657" s="17"/>
      <c r="L1657" s="17"/>
    </row>
    <row r="1658" spans="1:12">
      <c r="A1658" s="45"/>
      <c r="B1658" s="43">
        <v>3</v>
      </c>
      <c r="C1658" s="19" t="s">
        <v>364</v>
      </c>
      <c r="D1658" s="20">
        <v>4</v>
      </c>
      <c r="E1658" s="21">
        <v>1</v>
      </c>
      <c r="F1658" s="20">
        <f t="shared" si="186"/>
        <v>4</v>
      </c>
      <c r="G1658" s="21">
        <v>30770</v>
      </c>
      <c r="H1658" s="20">
        <f t="shared" si="187"/>
        <v>123080</v>
      </c>
      <c r="I1658" s="2"/>
      <c r="J1658" s="17"/>
      <c r="K1658" s="17"/>
      <c r="L1658" s="17"/>
    </row>
    <row r="1659" spans="1:12">
      <c r="A1659" s="45"/>
      <c r="B1659" s="43">
        <v>4</v>
      </c>
      <c r="C1659" s="19" t="s">
        <v>614</v>
      </c>
      <c r="D1659" s="20">
        <v>8</v>
      </c>
      <c r="E1659" s="21">
        <v>1</v>
      </c>
      <c r="F1659" s="20">
        <f t="shared" si="186"/>
        <v>8</v>
      </c>
      <c r="G1659" s="21">
        <v>30770</v>
      </c>
      <c r="H1659" s="20">
        <f t="shared" si="187"/>
        <v>246160</v>
      </c>
      <c r="I1659" s="2"/>
      <c r="J1659" s="17"/>
      <c r="K1659" s="17"/>
      <c r="L1659" s="17"/>
    </row>
    <row r="1660" spans="1:12">
      <c r="A1660" s="45"/>
      <c r="B1660" s="43">
        <v>5</v>
      </c>
      <c r="C1660" s="19" t="s">
        <v>771</v>
      </c>
      <c r="D1660" s="20">
        <v>1</v>
      </c>
      <c r="E1660" s="21">
        <v>1</v>
      </c>
      <c r="F1660" s="20">
        <f t="shared" si="186"/>
        <v>1</v>
      </c>
      <c r="G1660" s="21">
        <v>1200000</v>
      </c>
      <c r="H1660" s="20">
        <f t="shared" si="187"/>
        <v>1200000</v>
      </c>
      <c r="I1660" s="2"/>
      <c r="J1660" s="17"/>
      <c r="K1660" s="17"/>
      <c r="L1660" s="17"/>
    </row>
    <row r="1661" spans="1:12">
      <c r="A1661" s="45"/>
      <c r="B1661" s="43">
        <v>6</v>
      </c>
      <c r="C1661" s="19"/>
      <c r="D1661" s="20">
        <v>0</v>
      </c>
      <c r="E1661" s="21">
        <v>1</v>
      </c>
      <c r="F1661" s="20">
        <f>D1661*E1661</f>
        <v>0</v>
      </c>
      <c r="G1661" s="21">
        <v>102</v>
      </c>
      <c r="H1661" s="20">
        <f>F1661*G1661</f>
        <v>0</v>
      </c>
      <c r="I1661" s="2"/>
      <c r="J1661" s="17"/>
      <c r="K1661" s="17"/>
      <c r="L1661" s="17"/>
    </row>
    <row r="1662" spans="1:12">
      <c r="A1662" s="45"/>
      <c r="B1662" s="43"/>
      <c r="C1662" s="14" t="s">
        <v>772</v>
      </c>
      <c r="D1662" s="20"/>
      <c r="F1662" s="20"/>
      <c r="H1662" s="25">
        <f>SUM(H1656:H1661)</f>
        <v>2252320</v>
      </c>
      <c r="I1662" s="2"/>
      <c r="J1662" s="17"/>
      <c r="K1662" s="17"/>
      <c r="L1662" s="17"/>
    </row>
    <row r="1663" spans="1:12">
      <c r="A1663" s="45"/>
      <c r="B1663" s="43"/>
      <c r="C1663" s="14"/>
      <c r="D1663" s="20"/>
      <c r="F1663" s="20"/>
      <c r="H1663" s="25"/>
      <c r="I1663" s="2"/>
      <c r="J1663" s="17"/>
      <c r="K1663" s="17"/>
      <c r="L1663" s="17"/>
    </row>
    <row r="1664" spans="1:12">
      <c r="A1664" s="45"/>
      <c r="B1664" s="46"/>
      <c r="C1664" s="14" t="s">
        <v>773</v>
      </c>
      <c r="D1664" s="20"/>
      <c r="F1664" s="20"/>
      <c r="H1664" s="25">
        <f>H1591+H1599+H1607+H1616+H1634+H1642+H1653+H1662</f>
        <v>2582482.4</v>
      </c>
      <c r="I1664" s="2"/>
      <c r="J1664" s="17"/>
      <c r="K1664" s="17"/>
      <c r="L1664" s="17"/>
    </row>
    <row r="1665" spans="1:12">
      <c r="C1665" s="19"/>
      <c r="D1665" s="20"/>
      <c r="F1665" s="20"/>
      <c r="H1665" s="20"/>
      <c r="I1665" s="2"/>
      <c r="J1665" s="17"/>
      <c r="K1665" s="17"/>
      <c r="L1665" s="17"/>
    </row>
    <row r="1666" spans="1:12" ht="39">
      <c r="A1666" s="50" t="s">
        <v>663</v>
      </c>
      <c r="B1666" s="48" t="s">
        <v>774</v>
      </c>
      <c r="C1666" s="14" t="s">
        <v>775</v>
      </c>
      <c r="D1666" s="20"/>
      <c r="F1666" s="20"/>
      <c r="H1666" s="20"/>
      <c r="I1666" s="2"/>
      <c r="J1666" s="17"/>
      <c r="K1666" s="17"/>
      <c r="L1666" s="17"/>
    </row>
    <row r="1667" spans="1:12">
      <c r="A1667" s="50"/>
      <c r="B1667" s="49">
        <v>1</v>
      </c>
      <c r="C1667" s="19"/>
      <c r="D1667" s="20">
        <v>0</v>
      </c>
      <c r="E1667" s="21">
        <v>1</v>
      </c>
      <c r="F1667" s="20">
        <f>D1667*E1667</f>
        <v>0</v>
      </c>
      <c r="G1667" s="21">
        <v>101</v>
      </c>
      <c r="H1667" s="20">
        <f>F1667*G1667</f>
        <v>0</v>
      </c>
      <c r="I1667" s="2"/>
      <c r="J1667" s="17"/>
      <c r="K1667" s="17"/>
      <c r="L1667" s="17"/>
    </row>
    <row r="1668" spans="1:12">
      <c r="A1668" s="50"/>
      <c r="B1668" s="49">
        <v>2</v>
      </c>
      <c r="C1668" s="19"/>
      <c r="D1668" s="20">
        <v>0</v>
      </c>
      <c r="E1668" s="21">
        <v>1</v>
      </c>
      <c r="F1668" s="20">
        <f t="shared" ref="F1668:F1670" si="188">D1668*E1668</f>
        <v>0</v>
      </c>
      <c r="G1668" s="21">
        <v>102</v>
      </c>
      <c r="H1668" s="20">
        <f t="shared" ref="H1668:H1670" si="189">F1668*G1668</f>
        <v>0</v>
      </c>
      <c r="I1668" s="2"/>
      <c r="J1668" s="17"/>
      <c r="K1668" s="17"/>
      <c r="L1668" s="17"/>
    </row>
    <row r="1669" spans="1:12">
      <c r="A1669" s="50"/>
      <c r="B1669" s="49">
        <v>3</v>
      </c>
      <c r="C1669" s="19"/>
      <c r="D1669" s="20">
        <v>0</v>
      </c>
      <c r="E1669" s="21">
        <v>1</v>
      </c>
      <c r="F1669" s="20">
        <f t="shared" si="188"/>
        <v>0</v>
      </c>
      <c r="G1669" s="21">
        <v>103</v>
      </c>
      <c r="H1669" s="20">
        <f t="shared" si="189"/>
        <v>0</v>
      </c>
      <c r="I1669" s="2"/>
      <c r="J1669" s="17"/>
      <c r="K1669" s="17"/>
      <c r="L1669" s="17"/>
    </row>
    <row r="1670" spans="1:12">
      <c r="A1670" s="50"/>
      <c r="B1670" s="49">
        <v>4</v>
      </c>
      <c r="C1670" s="19"/>
      <c r="D1670" s="20">
        <v>0</v>
      </c>
      <c r="E1670" s="21">
        <v>1</v>
      </c>
      <c r="F1670" s="20">
        <f t="shared" si="188"/>
        <v>0</v>
      </c>
      <c r="G1670" s="21">
        <v>104</v>
      </c>
      <c r="H1670" s="20">
        <f t="shared" si="189"/>
        <v>0</v>
      </c>
      <c r="I1670" s="2"/>
      <c r="J1670" s="17"/>
      <c r="K1670" s="17"/>
      <c r="L1670" s="17"/>
    </row>
    <row r="1671" spans="1:12">
      <c r="A1671" s="50"/>
      <c r="B1671" s="49">
        <v>5</v>
      </c>
      <c r="C1671" s="19"/>
      <c r="D1671" s="20">
        <v>0</v>
      </c>
      <c r="E1671" s="21">
        <v>1</v>
      </c>
      <c r="F1671" s="20">
        <f>D1671*E1671</f>
        <v>0</v>
      </c>
      <c r="G1671" s="21">
        <v>102</v>
      </c>
      <c r="H1671" s="20">
        <f>F1671*G1671</f>
        <v>0</v>
      </c>
      <c r="I1671" s="2"/>
      <c r="J1671" s="17"/>
      <c r="K1671" s="17"/>
      <c r="L1671" s="17"/>
    </row>
    <row r="1672" spans="1:12">
      <c r="A1672" s="50"/>
      <c r="B1672" s="49"/>
      <c r="C1672" s="14" t="s">
        <v>776</v>
      </c>
      <c r="D1672" s="20"/>
      <c r="F1672" s="20"/>
      <c r="H1672" s="25">
        <f>SUM(H1667:H1671)</f>
        <v>0</v>
      </c>
      <c r="I1672" s="2"/>
      <c r="J1672" s="17"/>
      <c r="K1672" s="17"/>
      <c r="L1672" s="17"/>
    </row>
    <row r="1673" spans="1:12">
      <c r="A1673" s="50"/>
      <c r="B1673" s="48"/>
      <c r="C1673" s="14"/>
      <c r="D1673" s="20"/>
      <c r="F1673" s="20"/>
      <c r="H1673" s="20"/>
      <c r="I1673" s="2"/>
      <c r="J1673" s="17"/>
      <c r="K1673" s="17"/>
      <c r="L1673" s="17"/>
    </row>
    <row r="1674" spans="1:12">
      <c r="A1674" s="50"/>
      <c r="B1674" s="51"/>
      <c r="C1674" s="14" t="s">
        <v>777</v>
      </c>
      <c r="D1674" s="20"/>
      <c r="F1674" s="20"/>
      <c r="H1674" s="20"/>
      <c r="I1674" s="2"/>
      <c r="J1674" s="17"/>
      <c r="K1674" s="17"/>
      <c r="L1674" s="17"/>
    </row>
    <row r="1675" spans="1:12">
      <c r="A1675" s="50"/>
      <c r="B1675" s="49">
        <v>1</v>
      </c>
      <c r="C1675" s="19"/>
      <c r="D1675" s="20">
        <v>0</v>
      </c>
      <c r="E1675" s="21">
        <v>1</v>
      </c>
      <c r="F1675" s="20">
        <f>D1675*E1675</f>
        <v>0</v>
      </c>
      <c r="G1675" s="21">
        <v>101</v>
      </c>
      <c r="H1675" s="20">
        <f>F1675*G1675</f>
        <v>0</v>
      </c>
      <c r="I1675" s="2"/>
      <c r="J1675" s="17"/>
      <c r="K1675" s="17"/>
      <c r="L1675" s="17"/>
    </row>
    <row r="1676" spans="1:12">
      <c r="A1676" s="50"/>
      <c r="B1676" s="49">
        <v>2</v>
      </c>
      <c r="C1676" s="19"/>
      <c r="D1676" s="20">
        <v>0</v>
      </c>
      <c r="E1676" s="21">
        <v>1</v>
      </c>
      <c r="F1676" s="20">
        <f t="shared" ref="F1676:F1678" si="190">D1676*E1676</f>
        <v>0</v>
      </c>
      <c r="G1676" s="21">
        <v>102</v>
      </c>
      <c r="H1676" s="20">
        <f t="shared" ref="H1676:H1678" si="191">F1676*G1676</f>
        <v>0</v>
      </c>
      <c r="I1676" s="2"/>
      <c r="J1676" s="17"/>
      <c r="K1676" s="17"/>
      <c r="L1676" s="17"/>
    </row>
    <row r="1677" spans="1:12">
      <c r="A1677" s="50"/>
      <c r="B1677" s="49">
        <v>3</v>
      </c>
      <c r="C1677" s="19"/>
      <c r="D1677" s="20">
        <v>0</v>
      </c>
      <c r="E1677" s="21">
        <v>1</v>
      </c>
      <c r="F1677" s="20">
        <f t="shared" si="190"/>
        <v>0</v>
      </c>
      <c r="G1677" s="21">
        <v>103</v>
      </c>
      <c r="H1677" s="20">
        <f t="shared" si="191"/>
        <v>0</v>
      </c>
      <c r="I1677" s="2"/>
      <c r="J1677" s="17"/>
      <c r="K1677" s="17"/>
      <c r="L1677" s="17"/>
    </row>
    <row r="1678" spans="1:12">
      <c r="A1678" s="50"/>
      <c r="B1678" s="49">
        <v>4</v>
      </c>
      <c r="C1678" s="19"/>
      <c r="D1678" s="20">
        <v>0</v>
      </c>
      <c r="E1678" s="21">
        <v>1</v>
      </c>
      <c r="F1678" s="20">
        <f t="shared" si="190"/>
        <v>0</v>
      </c>
      <c r="G1678" s="21">
        <v>104</v>
      </c>
      <c r="H1678" s="20">
        <f t="shared" si="191"/>
        <v>0</v>
      </c>
      <c r="I1678" s="2"/>
      <c r="J1678" s="17"/>
      <c r="K1678" s="17"/>
      <c r="L1678" s="17"/>
    </row>
    <row r="1679" spans="1:12">
      <c r="A1679" s="50"/>
      <c r="B1679" s="49">
        <v>5</v>
      </c>
      <c r="C1679" s="19"/>
      <c r="D1679" s="20">
        <v>0</v>
      </c>
      <c r="E1679" s="21">
        <v>1</v>
      </c>
      <c r="F1679" s="20">
        <f>D1679*E1679</f>
        <v>0</v>
      </c>
      <c r="G1679" s="21">
        <v>102</v>
      </c>
      <c r="H1679" s="20">
        <f>F1679*G1679</f>
        <v>0</v>
      </c>
      <c r="I1679" s="2"/>
      <c r="J1679" s="17"/>
      <c r="K1679" s="17"/>
      <c r="L1679" s="17"/>
    </row>
    <row r="1680" spans="1:12">
      <c r="A1680" s="50"/>
      <c r="B1680" s="49"/>
      <c r="C1680" s="14" t="s">
        <v>778</v>
      </c>
      <c r="D1680" s="20"/>
      <c r="F1680" s="20"/>
      <c r="H1680" s="25">
        <f>SUM(H1675:H1679)</f>
        <v>0</v>
      </c>
      <c r="I1680" s="2"/>
      <c r="J1680" s="17"/>
      <c r="K1680" s="17"/>
      <c r="L1680" s="17"/>
    </row>
    <row r="1681" spans="1:12">
      <c r="A1681" s="50"/>
      <c r="B1681" s="51"/>
      <c r="C1681" s="14"/>
      <c r="D1681" s="20"/>
      <c r="F1681" s="20"/>
      <c r="H1681" s="20"/>
      <c r="I1681" s="2"/>
      <c r="J1681" s="17"/>
      <c r="K1681" s="17"/>
      <c r="L1681" s="17"/>
    </row>
    <row r="1682" spans="1:12">
      <c r="A1682" s="50"/>
      <c r="B1682" s="51"/>
      <c r="C1682" s="14" t="s">
        <v>779</v>
      </c>
      <c r="D1682" s="20"/>
      <c r="F1682" s="20"/>
      <c r="H1682" s="20"/>
      <c r="I1682" s="2"/>
      <c r="J1682" s="17"/>
      <c r="K1682" s="17"/>
      <c r="L1682" s="17"/>
    </row>
    <row r="1683" spans="1:12">
      <c r="A1683" s="50"/>
      <c r="B1683" s="49">
        <v>1</v>
      </c>
      <c r="C1683" s="19"/>
      <c r="D1683" s="20">
        <v>0</v>
      </c>
      <c r="E1683" s="21">
        <v>1</v>
      </c>
      <c r="F1683" s="20">
        <f>D1683*E1683</f>
        <v>0</v>
      </c>
      <c r="G1683" s="21">
        <v>101</v>
      </c>
      <c r="H1683" s="20">
        <f>F1683*G1683</f>
        <v>0</v>
      </c>
      <c r="I1683" s="2"/>
      <c r="J1683" s="17"/>
      <c r="K1683" s="17"/>
      <c r="L1683" s="17"/>
    </row>
    <row r="1684" spans="1:12">
      <c r="A1684" s="50"/>
      <c r="B1684" s="49">
        <v>2</v>
      </c>
      <c r="C1684" s="19"/>
      <c r="D1684" s="20">
        <v>0</v>
      </c>
      <c r="E1684" s="21">
        <v>1</v>
      </c>
      <c r="F1684" s="20">
        <f t="shared" ref="F1684:F1686" si="192">D1684*E1684</f>
        <v>0</v>
      </c>
      <c r="G1684" s="21">
        <v>102</v>
      </c>
      <c r="H1684" s="20">
        <f t="shared" ref="H1684:H1686" si="193">F1684*G1684</f>
        <v>0</v>
      </c>
      <c r="I1684" s="2"/>
      <c r="J1684" s="17"/>
      <c r="K1684" s="17"/>
      <c r="L1684" s="17"/>
    </row>
    <row r="1685" spans="1:12">
      <c r="A1685" s="50"/>
      <c r="B1685" s="49">
        <v>3</v>
      </c>
      <c r="C1685" s="19"/>
      <c r="D1685" s="20">
        <v>0</v>
      </c>
      <c r="E1685" s="21">
        <v>1</v>
      </c>
      <c r="F1685" s="20">
        <f t="shared" si="192"/>
        <v>0</v>
      </c>
      <c r="G1685" s="21">
        <v>103</v>
      </c>
      <c r="H1685" s="20">
        <f t="shared" si="193"/>
        <v>0</v>
      </c>
      <c r="I1685" s="2"/>
      <c r="J1685" s="17"/>
      <c r="K1685" s="17"/>
      <c r="L1685" s="17"/>
    </row>
    <row r="1686" spans="1:12">
      <c r="A1686" s="50"/>
      <c r="B1686" s="49">
        <v>4</v>
      </c>
      <c r="C1686" s="19"/>
      <c r="D1686" s="20">
        <v>0</v>
      </c>
      <c r="E1686" s="21">
        <v>1</v>
      </c>
      <c r="F1686" s="20">
        <f t="shared" si="192"/>
        <v>0</v>
      </c>
      <c r="G1686" s="21">
        <v>104</v>
      </c>
      <c r="H1686" s="20">
        <f t="shared" si="193"/>
        <v>0</v>
      </c>
      <c r="I1686" s="2"/>
      <c r="J1686" s="17"/>
      <c r="K1686" s="17"/>
      <c r="L1686" s="17"/>
    </row>
    <row r="1687" spans="1:12">
      <c r="A1687" s="50"/>
      <c r="B1687" s="49">
        <v>5</v>
      </c>
      <c r="C1687" s="19"/>
      <c r="D1687" s="20">
        <v>0</v>
      </c>
      <c r="E1687" s="21">
        <v>1</v>
      </c>
      <c r="F1687" s="20">
        <f>D1687*E1687</f>
        <v>0</v>
      </c>
      <c r="G1687" s="21">
        <v>102</v>
      </c>
      <c r="H1687" s="20">
        <f>F1687*G1687</f>
        <v>0</v>
      </c>
      <c r="I1687" s="2"/>
      <c r="J1687" s="17"/>
      <c r="K1687" s="17"/>
      <c r="L1687" s="17"/>
    </row>
    <row r="1688" spans="1:12">
      <c r="A1688" s="50"/>
      <c r="B1688" s="49"/>
      <c r="C1688" s="14" t="s">
        <v>780</v>
      </c>
      <c r="D1688" s="20"/>
      <c r="F1688" s="20"/>
      <c r="H1688" s="25">
        <f>SUM(H1683:H1687)</f>
        <v>0</v>
      </c>
      <c r="I1688" s="2"/>
      <c r="J1688" s="17"/>
      <c r="K1688" s="17"/>
      <c r="L1688" s="17"/>
    </row>
    <row r="1689" spans="1:12">
      <c r="A1689" s="50"/>
      <c r="B1689" s="51"/>
      <c r="C1689" s="14"/>
      <c r="D1689" s="20"/>
      <c r="F1689" s="20"/>
      <c r="H1689" s="20"/>
      <c r="I1689" s="2"/>
      <c r="J1689" s="17"/>
      <c r="K1689" s="17"/>
      <c r="L1689" s="17"/>
    </row>
    <row r="1690" spans="1:12">
      <c r="A1690" s="50"/>
      <c r="B1690" s="51"/>
      <c r="C1690" s="14" t="s">
        <v>781</v>
      </c>
      <c r="D1690" s="20"/>
      <c r="F1690" s="20"/>
      <c r="H1690" s="20"/>
      <c r="I1690" s="2"/>
      <c r="J1690" s="17"/>
      <c r="K1690" s="17"/>
      <c r="L1690" s="17"/>
    </row>
    <row r="1691" spans="1:12">
      <c r="A1691" s="50"/>
      <c r="B1691" s="49">
        <v>1</v>
      </c>
      <c r="C1691" s="19"/>
      <c r="D1691" s="20">
        <v>0</v>
      </c>
      <c r="E1691" s="21">
        <v>1</v>
      </c>
      <c r="F1691" s="20">
        <f>D1691*E1691</f>
        <v>0</v>
      </c>
      <c r="G1691" s="21">
        <v>101</v>
      </c>
      <c r="H1691" s="20">
        <f>F1691*G1691</f>
        <v>0</v>
      </c>
      <c r="I1691" s="2"/>
      <c r="J1691" s="17"/>
      <c r="K1691" s="17"/>
      <c r="L1691" s="17"/>
    </row>
    <row r="1692" spans="1:12">
      <c r="A1692" s="50"/>
      <c r="B1692" s="49">
        <v>2</v>
      </c>
      <c r="C1692" s="19"/>
      <c r="D1692" s="20">
        <v>0</v>
      </c>
      <c r="E1692" s="21">
        <v>1</v>
      </c>
      <c r="F1692" s="20">
        <f t="shared" ref="F1692:F1695" si="194">D1692*E1692</f>
        <v>0</v>
      </c>
      <c r="G1692" s="21">
        <v>102</v>
      </c>
      <c r="H1692" s="20">
        <f t="shared" ref="H1692:H1695" si="195">F1692*G1692</f>
        <v>0</v>
      </c>
      <c r="I1692" s="2"/>
      <c r="J1692" s="17"/>
      <c r="K1692" s="17"/>
      <c r="L1692" s="17"/>
    </row>
    <row r="1693" spans="1:12">
      <c r="A1693" s="50"/>
      <c r="B1693" s="49">
        <v>3</v>
      </c>
      <c r="C1693" s="19"/>
      <c r="D1693" s="20">
        <v>0</v>
      </c>
      <c r="E1693" s="21">
        <v>1</v>
      </c>
      <c r="F1693" s="20">
        <f t="shared" si="194"/>
        <v>0</v>
      </c>
      <c r="G1693" s="21">
        <v>103</v>
      </c>
      <c r="H1693" s="20">
        <f t="shared" si="195"/>
        <v>0</v>
      </c>
      <c r="I1693" s="2"/>
      <c r="J1693" s="17"/>
      <c r="K1693" s="17"/>
      <c r="L1693" s="17"/>
    </row>
    <row r="1694" spans="1:12">
      <c r="A1694" s="50"/>
      <c r="B1694" s="49">
        <v>4</v>
      </c>
      <c r="C1694" s="19"/>
      <c r="D1694" s="20">
        <v>0</v>
      </c>
      <c r="E1694" s="21">
        <v>1</v>
      </c>
      <c r="F1694" s="20">
        <f t="shared" si="194"/>
        <v>0</v>
      </c>
      <c r="G1694" s="21">
        <v>104</v>
      </c>
      <c r="H1694" s="20">
        <f t="shared" si="195"/>
        <v>0</v>
      </c>
      <c r="I1694" s="2"/>
      <c r="J1694" s="17"/>
      <c r="K1694" s="17"/>
      <c r="L1694" s="17"/>
    </row>
    <row r="1695" spans="1:12">
      <c r="A1695" s="50"/>
      <c r="B1695" s="49">
        <v>5</v>
      </c>
      <c r="C1695" s="19"/>
      <c r="D1695" s="20">
        <v>0</v>
      </c>
      <c r="E1695" s="21">
        <v>1</v>
      </c>
      <c r="F1695" s="20">
        <f t="shared" si="194"/>
        <v>0</v>
      </c>
      <c r="G1695" s="21">
        <v>105</v>
      </c>
      <c r="H1695" s="20">
        <f t="shared" si="195"/>
        <v>0</v>
      </c>
      <c r="I1695" s="2"/>
      <c r="J1695" s="17"/>
      <c r="K1695" s="17"/>
      <c r="L1695" s="17"/>
    </row>
    <row r="1696" spans="1:12">
      <c r="A1696" s="50"/>
      <c r="B1696" s="49"/>
      <c r="C1696" s="19"/>
      <c r="D1696" s="20">
        <v>0</v>
      </c>
      <c r="E1696" s="21">
        <v>1</v>
      </c>
      <c r="F1696" s="20">
        <f>D1696*E1696</f>
        <v>0</v>
      </c>
      <c r="G1696" s="21">
        <v>102</v>
      </c>
      <c r="H1696" s="20">
        <f>F1696*G1696</f>
        <v>0</v>
      </c>
      <c r="I1696" s="2"/>
      <c r="J1696" s="17"/>
      <c r="K1696" s="17"/>
      <c r="L1696" s="17"/>
    </row>
    <row r="1697" spans="1:12">
      <c r="A1697" s="50"/>
      <c r="B1697" s="51"/>
      <c r="C1697" s="14" t="s">
        <v>782</v>
      </c>
      <c r="D1697" s="20"/>
      <c r="F1697" s="20"/>
      <c r="H1697" s="25">
        <f>SUM(H1691:H1696)</f>
        <v>0</v>
      </c>
      <c r="I1697" s="2"/>
      <c r="J1697" s="17"/>
      <c r="K1697" s="17"/>
      <c r="L1697" s="17"/>
    </row>
    <row r="1698" spans="1:12">
      <c r="A1698" s="50"/>
      <c r="B1698" s="51"/>
      <c r="C1698" s="14"/>
      <c r="D1698" s="20"/>
      <c r="F1698" s="20"/>
      <c r="H1698" s="20"/>
      <c r="I1698" s="2"/>
      <c r="J1698" s="17"/>
      <c r="K1698" s="17"/>
      <c r="L1698" s="17"/>
    </row>
    <row r="1699" spans="1:12">
      <c r="A1699" s="50"/>
      <c r="B1699" s="49">
        <v>1</v>
      </c>
      <c r="C1699" s="14" t="s">
        <v>783</v>
      </c>
      <c r="D1699" s="20"/>
      <c r="F1699" s="20"/>
      <c r="H1699" s="20"/>
      <c r="I1699" s="2"/>
      <c r="J1699" s="17"/>
      <c r="K1699" s="17"/>
      <c r="L1699" s="17"/>
    </row>
    <row r="1700" spans="1:12">
      <c r="A1700" s="50"/>
      <c r="B1700" s="49">
        <v>2</v>
      </c>
      <c r="C1700" s="19" t="s">
        <v>496</v>
      </c>
      <c r="D1700" s="20">
        <v>0</v>
      </c>
      <c r="E1700" s="21">
        <v>1</v>
      </c>
      <c r="F1700" s="20">
        <f>D1700*E1700</f>
        <v>0</v>
      </c>
      <c r="G1700" s="21">
        <f>K43</f>
        <v>5384.6153846153802</v>
      </c>
      <c r="H1700" s="20">
        <f>F1700*G1700</f>
        <v>0</v>
      </c>
      <c r="I1700" s="2"/>
      <c r="J1700" s="17"/>
      <c r="K1700" s="17"/>
      <c r="L1700" s="17"/>
    </row>
    <row r="1701" spans="1:12">
      <c r="A1701" s="50"/>
      <c r="B1701" s="49">
        <v>3</v>
      </c>
      <c r="C1701" s="19" t="s">
        <v>497</v>
      </c>
      <c r="D1701" s="20">
        <v>0</v>
      </c>
      <c r="E1701" s="21">
        <v>1</v>
      </c>
      <c r="F1701" s="20">
        <f t="shared" ref="F1701:F1713" si="196">D1701*E1701</f>
        <v>0</v>
      </c>
      <c r="G1701" s="69">
        <f>K44</f>
        <v>8307.6923076923104</v>
      </c>
      <c r="H1701" s="20">
        <f t="shared" ref="H1701:H1713" si="197">F1701*G1701</f>
        <v>0</v>
      </c>
      <c r="I1701" s="2"/>
      <c r="J1701" s="17"/>
      <c r="K1701" s="17"/>
      <c r="L1701" s="17"/>
    </row>
    <row r="1702" spans="1:12">
      <c r="A1702" s="50"/>
      <c r="B1702" s="49">
        <v>4</v>
      </c>
      <c r="C1702" s="19" t="s">
        <v>606</v>
      </c>
      <c r="D1702" s="20">
        <v>0</v>
      </c>
      <c r="E1702" s="21">
        <v>1</v>
      </c>
      <c r="F1702" s="20">
        <f t="shared" si="196"/>
        <v>0</v>
      </c>
      <c r="G1702" s="21">
        <v>60.769230769230766</v>
      </c>
      <c r="H1702" s="20">
        <f t="shared" si="197"/>
        <v>0</v>
      </c>
      <c r="I1702" s="2"/>
      <c r="J1702" s="17"/>
      <c r="K1702" s="17"/>
      <c r="L1702" s="17"/>
    </row>
    <row r="1703" spans="1:12">
      <c r="A1703" s="50"/>
      <c r="B1703" s="49">
        <v>5</v>
      </c>
      <c r="C1703" s="19" t="s">
        <v>503</v>
      </c>
      <c r="D1703" s="20">
        <v>0</v>
      </c>
      <c r="E1703" s="21">
        <v>1</v>
      </c>
      <c r="F1703" s="20">
        <f t="shared" si="196"/>
        <v>0</v>
      </c>
      <c r="G1703" s="21">
        <v>40</v>
      </c>
      <c r="H1703" s="20">
        <f t="shared" si="197"/>
        <v>0</v>
      </c>
      <c r="I1703" s="2"/>
      <c r="J1703" s="17"/>
      <c r="K1703" s="17"/>
      <c r="L1703" s="17"/>
    </row>
    <row r="1704" spans="1:12">
      <c r="A1704" s="50"/>
      <c r="B1704" s="49">
        <v>6</v>
      </c>
      <c r="C1704" s="19" t="s">
        <v>504</v>
      </c>
      <c r="D1704" s="20">
        <v>0</v>
      </c>
      <c r="E1704" s="21">
        <v>0.42599999999999999</v>
      </c>
      <c r="F1704" s="20">
        <f t="shared" si="196"/>
        <v>0</v>
      </c>
      <c r="G1704" s="21">
        <v>49000</v>
      </c>
      <c r="H1704" s="20">
        <f t="shared" si="197"/>
        <v>0</v>
      </c>
      <c r="I1704" s="2"/>
      <c r="J1704" s="17"/>
      <c r="K1704" s="17"/>
      <c r="L1704" s="17"/>
    </row>
    <row r="1705" spans="1:12">
      <c r="A1705" s="50"/>
      <c r="B1705" s="49">
        <v>7</v>
      </c>
      <c r="C1705" s="19" t="s">
        <v>507</v>
      </c>
      <c r="D1705" s="20">
        <v>0</v>
      </c>
      <c r="E1705" s="21">
        <v>1</v>
      </c>
      <c r="F1705" s="20">
        <f t="shared" si="196"/>
        <v>0</v>
      </c>
      <c r="G1705" s="21">
        <v>230.76923076923077</v>
      </c>
      <c r="H1705" s="20">
        <f t="shared" si="197"/>
        <v>0</v>
      </c>
      <c r="I1705" s="2"/>
      <c r="J1705" s="17"/>
      <c r="K1705" s="17"/>
      <c r="L1705" s="17"/>
    </row>
    <row r="1706" spans="1:12">
      <c r="A1706" s="50"/>
      <c r="B1706" s="49">
        <v>8</v>
      </c>
      <c r="C1706" s="19" t="s">
        <v>508</v>
      </c>
      <c r="D1706" s="20">
        <v>0</v>
      </c>
      <c r="E1706" s="21">
        <v>0.14399999999999999</v>
      </c>
      <c r="F1706" s="20">
        <f t="shared" si="196"/>
        <v>0</v>
      </c>
      <c r="G1706" s="21">
        <v>9000</v>
      </c>
      <c r="H1706" s="20">
        <f t="shared" si="197"/>
        <v>0</v>
      </c>
      <c r="I1706" s="2"/>
      <c r="J1706" s="17"/>
      <c r="K1706" s="17"/>
      <c r="L1706" s="17"/>
    </row>
    <row r="1707" spans="1:12">
      <c r="A1707" s="50"/>
      <c r="B1707" s="49">
        <v>9</v>
      </c>
      <c r="C1707" s="19" t="s">
        <v>352</v>
      </c>
      <c r="D1707" s="20">
        <v>0</v>
      </c>
      <c r="E1707" s="21">
        <v>0.58199999999999996</v>
      </c>
      <c r="F1707" s="20">
        <f t="shared" si="196"/>
        <v>0</v>
      </c>
      <c r="G1707" s="21">
        <v>177.69230769230768</v>
      </c>
      <c r="H1707" s="20">
        <f t="shared" si="197"/>
        <v>0</v>
      </c>
      <c r="I1707" s="2"/>
      <c r="J1707" s="17"/>
      <c r="K1707" s="17"/>
      <c r="L1707" s="17"/>
    </row>
    <row r="1708" spans="1:12">
      <c r="A1708" s="50"/>
      <c r="B1708" s="49">
        <v>10</v>
      </c>
      <c r="C1708" s="19" t="s">
        <v>45</v>
      </c>
      <c r="D1708" s="20">
        <v>0</v>
      </c>
      <c r="E1708" s="21">
        <v>0.58199999999999996</v>
      </c>
      <c r="F1708" s="20">
        <f t="shared" si="196"/>
        <v>0</v>
      </c>
      <c r="G1708" s="21">
        <v>77.692307692307693</v>
      </c>
      <c r="H1708" s="20">
        <f t="shared" si="197"/>
        <v>0</v>
      </c>
      <c r="I1708" s="2"/>
      <c r="J1708" s="17"/>
      <c r="K1708" s="17"/>
      <c r="L1708" s="17"/>
    </row>
    <row r="1709" spans="1:12">
      <c r="A1709" s="50"/>
      <c r="B1709" s="49">
        <v>11</v>
      </c>
      <c r="C1709" s="19" t="s">
        <v>351</v>
      </c>
      <c r="D1709" s="20">
        <v>0</v>
      </c>
      <c r="E1709" s="21">
        <v>0.58199999999999996</v>
      </c>
      <c r="F1709" s="20">
        <f t="shared" si="196"/>
        <v>0</v>
      </c>
      <c r="G1709" s="21">
        <v>264.61538461538458</v>
      </c>
      <c r="H1709" s="20">
        <f t="shared" si="197"/>
        <v>0</v>
      </c>
      <c r="I1709" s="2"/>
      <c r="J1709" s="17"/>
      <c r="K1709" s="17"/>
      <c r="L1709" s="17"/>
    </row>
    <row r="1710" spans="1:12">
      <c r="A1710" s="50"/>
      <c r="B1710" s="49">
        <v>12</v>
      </c>
      <c r="C1710" s="19"/>
      <c r="D1710" s="20"/>
      <c r="E1710" s="21">
        <v>0.58199999999999996</v>
      </c>
      <c r="F1710" s="20">
        <f t="shared" si="196"/>
        <v>0</v>
      </c>
      <c r="G1710" s="21">
        <v>101</v>
      </c>
      <c r="H1710" s="20">
        <f t="shared" si="197"/>
        <v>0</v>
      </c>
      <c r="I1710" s="2"/>
      <c r="J1710" s="17"/>
      <c r="K1710" s="17"/>
      <c r="L1710" s="17"/>
    </row>
    <row r="1711" spans="1:12">
      <c r="A1711" s="50"/>
      <c r="B1711" s="49">
        <v>13</v>
      </c>
      <c r="C1711" s="19"/>
      <c r="D1711" s="20"/>
      <c r="E1711" s="21">
        <v>0.58199999999999996</v>
      </c>
      <c r="F1711" s="20">
        <f t="shared" si="196"/>
        <v>0</v>
      </c>
      <c r="G1711" s="21">
        <v>344</v>
      </c>
      <c r="H1711" s="20">
        <f t="shared" si="197"/>
        <v>0</v>
      </c>
      <c r="I1711" s="2"/>
      <c r="J1711" s="17"/>
      <c r="K1711" s="17"/>
      <c r="L1711" s="17"/>
    </row>
    <row r="1712" spans="1:12">
      <c r="A1712" s="50"/>
      <c r="B1712" s="49">
        <v>14</v>
      </c>
      <c r="C1712" s="19"/>
      <c r="D1712" s="20">
        <v>0</v>
      </c>
      <c r="E1712" s="21">
        <v>0</v>
      </c>
      <c r="F1712" s="20">
        <f t="shared" si="196"/>
        <v>0</v>
      </c>
      <c r="G1712" s="21">
        <v>110</v>
      </c>
      <c r="H1712" s="20">
        <f t="shared" si="197"/>
        <v>0</v>
      </c>
      <c r="I1712" s="2"/>
      <c r="J1712" s="17"/>
      <c r="K1712" s="17"/>
      <c r="L1712" s="17"/>
    </row>
    <row r="1713" spans="1:12">
      <c r="A1713" s="50"/>
      <c r="B1713" s="49"/>
      <c r="C1713" s="19"/>
      <c r="D1713" s="20">
        <v>0</v>
      </c>
      <c r="E1713" s="21">
        <v>0</v>
      </c>
      <c r="F1713" s="20">
        <f t="shared" si="196"/>
        <v>0</v>
      </c>
      <c r="G1713" s="21">
        <v>111</v>
      </c>
      <c r="H1713" s="20">
        <f t="shared" si="197"/>
        <v>0</v>
      </c>
      <c r="I1713" s="2"/>
      <c r="J1713" s="17"/>
      <c r="K1713" s="17"/>
      <c r="L1713" s="17"/>
    </row>
    <row r="1714" spans="1:12">
      <c r="A1714" s="50"/>
      <c r="B1714" s="51"/>
      <c r="C1714" s="19"/>
      <c r="D1714" s="20">
        <v>0</v>
      </c>
      <c r="E1714" s="21">
        <v>0</v>
      </c>
      <c r="F1714" s="20">
        <f>D1714*E1714</f>
        <v>0</v>
      </c>
      <c r="G1714" s="21">
        <v>102</v>
      </c>
      <c r="H1714" s="20">
        <f>F1714*G1714</f>
        <v>0</v>
      </c>
      <c r="I1714" s="2"/>
      <c r="J1714" s="17"/>
      <c r="K1714" s="17"/>
      <c r="L1714" s="17"/>
    </row>
    <row r="1715" spans="1:12">
      <c r="A1715" s="50"/>
      <c r="B1715" s="51"/>
      <c r="C1715" s="14" t="s">
        <v>784</v>
      </c>
      <c r="D1715" s="20"/>
      <c r="F1715" s="20"/>
      <c r="H1715" s="25">
        <f>SUM(H1700:H1714)</f>
        <v>0</v>
      </c>
      <c r="I1715" s="2"/>
      <c r="J1715" s="17"/>
      <c r="K1715" s="17"/>
      <c r="L1715" s="17"/>
    </row>
    <row r="1716" spans="1:12">
      <c r="A1716" s="50"/>
      <c r="B1716" s="49">
        <v>1</v>
      </c>
      <c r="C1716" s="14"/>
      <c r="D1716" s="20"/>
      <c r="F1716" s="20"/>
      <c r="H1716" s="20"/>
      <c r="I1716" s="2"/>
      <c r="J1716" s="17"/>
      <c r="K1716" s="17"/>
      <c r="L1716" s="17"/>
    </row>
    <row r="1717" spans="1:12">
      <c r="A1717" s="50"/>
      <c r="B1717" s="49">
        <v>2</v>
      </c>
      <c r="C1717" s="14" t="s">
        <v>785</v>
      </c>
      <c r="D1717" s="20"/>
      <c r="F1717" s="20"/>
      <c r="H1717" s="20"/>
      <c r="I1717" s="2"/>
      <c r="J1717" s="17"/>
      <c r="K1717" s="17"/>
      <c r="L1717" s="17"/>
    </row>
    <row r="1718" spans="1:12">
      <c r="A1718" s="50"/>
      <c r="B1718" s="49">
        <v>3</v>
      </c>
      <c r="C1718" s="19" t="s">
        <v>284</v>
      </c>
      <c r="D1718" s="20">
        <v>1</v>
      </c>
      <c r="E1718" s="21">
        <v>1</v>
      </c>
      <c r="F1718" s="20">
        <f>D1718*E1718</f>
        <v>1</v>
      </c>
      <c r="G1718" s="21">
        <v>40000</v>
      </c>
      <c r="H1718" s="20">
        <f>F1718*G1718</f>
        <v>40000</v>
      </c>
      <c r="I1718" s="2"/>
      <c r="J1718" s="17"/>
      <c r="K1718" s="17"/>
      <c r="L1718" s="17"/>
    </row>
    <row r="1719" spans="1:12">
      <c r="A1719" s="50"/>
      <c r="B1719" s="49">
        <v>4</v>
      </c>
      <c r="C1719" s="19"/>
      <c r="D1719" s="20">
        <v>0</v>
      </c>
      <c r="E1719" s="21">
        <v>1</v>
      </c>
      <c r="F1719" s="20">
        <f t="shared" ref="F1719:F1721" si="198">D1719*E1719</f>
        <v>0</v>
      </c>
      <c r="G1719" s="21">
        <v>400000</v>
      </c>
      <c r="H1719" s="20">
        <f t="shared" ref="H1719:H1721" si="199">F1719*G1719</f>
        <v>0</v>
      </c>
      <c r="I1719" s="2"/>
      <c r="J1719" s="17"/>
      <c r="K1719" s="17"/>
      <c r="L1719" s="17"/>
    </row>
    <row r="1720" spans="1:12">
      <c r="A1720" s="50"/>
      <c r="B1720" s="49">
        <v>5</v>
      </c>
      <c r="C1720" s="19"/>
      <c r="D1720" s="20">
        <v>0</v>
      </c>
      <c r="E1720" s="21">
        <v>1</v>
      </c>
      <c r="F1720" s="20">
        <f t="shared" si="198"/>
        <v>0</v>
      </c>
      <c r="G1720" s="21">
        <v>103</v>
      </c>
      <c r="H1720" s="20">
        <f t="shared" si="199"/>
        <v>0</v>
      </c>
      <c r="I1720" s="2"/>
      <c r="J1720" s="17"/>
      <c r="K1720" s="17"/>
      <c r="L1720" s="17"/>
    </row>
    <row r="1721" spans="1:12">
      <c r="A1721" s="50"/>
      <c r="B1721" s="49"/>
      <c r="C1721" s="19"/>
      <c r="D1721" s="20">
        <v>0</v>
      </c>
      <c r="E1721" s="21">
        <v>1</v>
      </c>
      <c r="F1721" s="20">
        <f t="shared" si="198"/>
        <v>0</v>
      </c>
      <c r="G1721" s="21">
        <v>104</v>
      </c>
      <c r="H1721" s="20">
        <f t="shared" si="199"/>
        <v>0</v>
      </c>
      <c r="I1721" s="2"/>
      <c r="J1721" s="17"/>
      <c r="K1721" s="17"/>
      <c r="L1721" s="17"/>
    </row>
    <row r="1722" spans="1:12">
      <c r="A1722" s="50"/>
      <c r="B1722" s="51"/>
      <c r="C1722" s="19"/>
      <c r="D1722" s="20">
        <v>0</v>
      </c>
      <c r="E1722" s="21">
        <v>1</v>
      </c>
      <c r="F1722" s="20">
        <f>D1722*E1722</f>
        <v>0</v>
      </c>
      <c r="G1722" s="21">
        <v>102</v>
      </c>
      <c r="H1722" s="20">
        <f>F1722*G1722</f>
        <v>0</v>
      </c>
      <c r="I1722" s="2"/>
      <c r="J1722" s="17"/>
      <c r="K1722" s="17"/>
      <c r="L1722" s="17"/>
    </row>
    <row r="1723" spans="1:12">
      <c r="A1723" s="50"/>
      <c r="B1723" s="52"/>
      <c r="C1723" s="14" t="s">
        <v>786</v>
      </c>
      <c r="D1723" s="20"/>
      <c r="F1723" s="20"/>
      <c r="H1723" s="25">
        <f>SUM(H1718:H1722)</f>
        <v>40000</v>
      </c>
      <c r="I1723" s="2"/>
      <c r="J1723" s="17"/>
      <c r="K1723" s="17"/>
      <c r="L1723" s="17"/>
    </row>
    <row r="1724" spans="1:12">
      <c r="A1724" s="50"/>
      <c r="B1724" s="49">
        <v>1</v>
      </c>
      <c r="C1724" s="14"/>
      <c r="D1724" s="20"/>
      <c r="F1724" s="20"/>
      <c r="H1724" s="20"/>
      <c r="I1724" s="2"/>
      <c r="J1724" s="17"/>
      <c r="K1724" s="17"/>
      <c r="L1724" s="17"/>
    </row>
    <row r="1725" spans="1:12">
      <c r="A1725" s="50"/>
      <c r="B1725" s="49">
        <v>2</v>
      </c>
      <c r="C1725" s="14" t="s">
        <v>787</v>
      </c>
      <c r="D1725" s="20"/>
      <c r="F1725" s="20"/>
      <c r="H1725" s="20"/>
      <c r="I1725" s="2"/>
      <c r="J1725" s="17"/>
      <c r="K1725" s="17"/>
      <c r="L1725" s="17"/>
    </row>
    <row r="1726" spans="1:12">
      <c r="A1726" s="50"/>
      <c r="B1726" s="49">
        <v>3</v>
      </c>
      <c r="C1726" s="19" t="s">
        <v>219</v>
      </c>
      <c r="D1726" s="20">
        <v>4</v>
      </c>
      <c r="E1726" s="21">
        <v>1</v>
      </c>
      <c r="F1726" s="20">
        <f>D1726*E1726</f>
        <v>4</v>
      </c>
      <c r="G1726" s="69">
        <v>12507</v>
      </c>
      <c r="H1726" s="20">
        <f>F1726*G1726</f>
        <v>50028</v>
      </c>
      <c r="I1726" s="2"/>
      <c r="J1726" s="17"/>
      <c r="K1726" s="17"/>
      <c r="L1726" s="17"/>
    </row>
    <row r="1727" spans="1:12">
      <c r="A1727" s="50"/>
      <c r="B1727" s="49">
        <v>4</v>
      </c>
      <c r="C1727" s="19" t="s">
        <v>64</v>
      </c>
      <c r="D1727" s="20">
        <v>4</v>
      </c>
      <c r="E1727" s="21">
        <v>1</v>
      </c>
      <c r="F1727" s="20">
        <f t="shared" ref="F1727:F1732" si="200">D1727*E1727</f>
        <v>4</v>
      </c>
      <c r="G1727" s="69">
        <v>12507</v>
      </c>
      <c r="H1727" s="20">
        <f t="shared" ref="H1727:H1732" si="201">F1727*G1727</f>
        <v>50028</v>
      </c>
      <c r="I1727" s="2"/>
      <c r="J1727" s="17"/>
      <c r="K1727" s="17"/>
      <c r="L1727" s="17"/>
    </row>
    <row r="1728" spans="1:12">
      <c r="A1728" s="50"/>
      <c r="B1728" s="49">
        <v>5</v>
      </c>
      <c r="C1728" s="19" t="s">
        <v>65</v>
      </c>
      <c r="D1728" s="20">
        <v>4</v>
      </c>
      <c r="E1728" s="21">
        <v>1</v>
      </c>
      <c r="F1728" s="20">
        <f t="shared" si="200"/>
        <v>4</v>
      </c>
      <c r="G1728" s="69">
        <v>12507</v>
      </c>
      <c r="H1728" s="20">
        <f t="shared" si="201"/>
        <v>50028</v>
      </c>
      <c r="I1728" s="2"/>
      <c r="J1728" s="17"/>
      <c r="K1728" s="17"/>
      <c r="L1728" s="17"/>
    </row>
    <row r="1729" spans="1:12">
      <c r="A1729" s="50"/>
      <c r="B1729" s="49">
        <v>6</v>
      </c>
      <c r="C1729" s="19" t="s">
        <v>358</v>
      </c>
      <c r="D1729" s="20">
        <v>4</v>
      </c>
      <c r="E1729" s="21">
        <v>1</v>
      </c>
      <c r="F1729" s="20">
        <f t="shared" si="200"/>
        <v>4</v>
      </c>
      <c r="G1729" s="69">
        <v>12507</v>
      </c>
      <c r="H1729" s="20">
        <f t="shared" si="201"/>
        <v>50028</v>
      </c>
      <c r="I1729" s="2"/>
      <c r="J1729" s="17"/>
      <c r="K1729" s="17"/>
      <c r="L1729" s="17"/>
    </row>
    <row r="1730" spans="1:12">
      <c r="A1730" s="50"/>
      <c r="B1730" s="49">
        <v>7</v>
      </c>
      <c r="C1730" s="19" t="s">
        <v>222</v>
      </c>
      <c r="D1730" s="20">
        <v>7.2</v>
      </c>
      <c r="E1730" s="21">
        <v>1</v>
      </c>
      <c r="F1730" s="20">
        <f t="shared" si="200"/>
        <v>7.2</v>
      </c>
      <c r="G1730" s="69">
        <v>12507</v>
      </c>
      <c r="H1730" s="20">
        <f t="shared" si="201"/>
        <v>90050.400000000009</v>
      </c>
      <c r="I1730" s="2"/>
      <c r="J1730" s="17"/>
      <c r="K1730" s="17"/>
      <c r="L1730" s="17"/>
    </row>
    <row r="1731" spans="1:12">
      <c r="A1731" s="50"/>
      <c r="B1731" s="49">
        <v>8</v>
      </c>
      <c r="C1731" s="19" t="s">
        <v>360</v>
      </c>
      <c r="D1731" s="20">
        <v>0</v>
      </c>
      <c r="E1731" s="21">
        <v>1</v>
      </c>
      <c r="F1731" s="20">
        <f t="shared" si="200"/>
        <v>0</v>
      </c>
      <c r="G1731" s="69">
        <v>31769</v>
      </c>
      <c r="H1731" s="20">
        <f t="shared" si="201"/>
        <v>0</v>
      </c>
      <c r="I1731" s="2"/>
      <c r="J1731" s="17"/>
      <c r="K1731" s="17"/>
      <c r="L1731" s="17"/>
    </row>
    <row r="1732" spans="1:12">
      <c r="A1732" s="50"/>
      <c r="B1732" s="49">
        <v>9</v>
      </c>
      <c r="C1732" s="19"/>
      <c r="D1732" s="20"/>
      <c r="E1732" s="21">
        <v>1</v>
      </c>
      <c r="F1732" s="20">
        <f t="shared" si="200"/>
        <v>0</v>
      </c>
      <c r="G1732" s="69">
        <v>250000</v>
      </c>
      <c r="H1732" s="20">
        <f t="shared" si="201"/>
        <v>0</v>
      </c>
      <c r="I1732" s="2"/>
      <c r="J1732" s="17"/>
      <c r="K1732" s="17"/>
      <c r="L1732" s="17"/>
    </row>
    <row r="1733" spans="1:12">
      <c r="A1733" s="50"/>
      <c r="B1733" s="49">
        <v>10</v>
      </c>
      <c r="C1733" s="19"/>
      <c r="D1733" s="20">
        <v>0</v>
      </c>
      <c r="E1733" s="21">
        <v>0</v>
      </c>
      <c r="F1733" s="20">
        <f>D1733*E1733</f>
        <v>0</v>
      </c>
      <c r="G1733" s="21">
        <v>102</v>
      </c>
      <c r="H1733" s="20">
        <f>F1733*G1733</f>
        <v>0</v>
      </c>
      <c r="I1733" s="2"/>
      <c r="J1733" s="17"/>
      <c r="K1733" s="17"/>
      <c r="L1733" s="17"/>
    </row>
    <row r="1734" spans="1:12">
      <c r="A1734" s="50"/>
      <c r="B1734" s="49"/>
      <c r="C1734" s="14" t="s">
        <v>788</v>
      </c>
      <c r="D1734" s="20"/>
      <c r="F1734" s="20"/>
      <c r="H1734" s="25">
        <f>SUM(H1726:H1733)</f>
        <v>290162.40000000002</v>
      </c>
      <c r="I1734" s="2"/>
      <c r="J1734" s="17"/>
      <c r="K1734" s="17"/>
      <c r="L1734" s="17"/>
    </row>
    <row r="1735" spans="1:12">
      <c r="A1735" s="50"/>
      <c r="B1735" s="49"/>
      <c r="C1735" s="14"/>
      <c r="D1735" s="20"/>
      <c r="F1735" s="20"/>
      <c r="H1735" s="25"/>
      <c r="I1735" s="2"/>
      <c r="J1735" s="17"/>
      <c r="K1735" s="17"/>
      <c r="L1735" s="17"/>
    </row>
    <row r="1736" spans="1:12">
      <c r="A1736" s="50"/>
      <c r="B1736" s="51"/>
      <c r="C1736" s="14" t="s">
        <v>789</v>
      </c>
      <c r="D1736" s="20"/>
      <c r="F1736" s="20"/>
      <c r="H1736" s="20"/>
      <c r="I1736" s="2"/>
      <c r="J1736" s="17"/>
      <c r="K1736" s="17"/>
      <c r="L1736" s="17"/>
    </row>
    <row r="1737" spans="1:12">
      <c r="A1737" s="50"/>
      <c r="B1737" s="49">
        <v>1</v>
      </c>
      <c r="C1737" s="19" t="s">
        <v>790</v>
      </c>
      <c r="D1737" s="20">
        <v>4</v>
      </c>
      <c r="E1737" s="21">
        <v>1</v>
      </c>
      <c r="F1737" s="20">
        <f>D1737*E1737</f>
        <v>4</v>
      </c>
      <c r="G1737" s="21">
        <v>140000</v>
      </c>
      <c r="H1737" s="20">
        <f>F1737*G1737</f>
        <v>560000</v>
      </c>
      <c r="I1737" s="2"/>
      <c r="J1737" s="17"/>
      <c r="K1737" s="17"/>
      <c r="L1737" s="17"/>
    </row>
    <row r="1738" spans="1:12">
      <c r="A1738" s="50"/>
      <c r="B1738" s="49">
        <v>2</v>
      </c>
      <c r="C1738" s="19" t="s">
        <v>76</v>
      </c>
      <c r="D1738" s="20">
        <v>4</v>
      </c>
      <c r="E1738" s="21">
        <v>1</v>
      </c>
      <c r="F1738" s="20">
        <f t="shared" ref="F1738:F1741" si="202">D1738*E1738</f>
        <v>4</v>
      </c>
      <c r="G1738" s="21">
        <v>30770</v>
      </c>
      <c r="H1738" s="20">
        <f t="shared" ref="H1738:H1741" si="203">F1738*G1738</f>
        <v>123080</v>
      </c>
      <c r="I1738" s="2"/>
      <c r="J1738" s="17"/>
      <c r="K1738" s="17"/>
      <c r="L1738" s="17"/>
    </row>
    <row r="1739" spans="1:12">
      <c r="A1739" s="50"/>
      <c r="B1739" s="49">
        <v>3</v>
      </c>
      <c r="C1739" s="19" t="s">
        <v>364</v>
      </c>
      <c r="D1739" s="20">
        <v>4</v>
      </c>
      <c r="E1739" s="21">
        <v>1</v>
      </c>
      <c r="F1739" s="20">
        <f t="shared" si="202"/>
        <v>4</v>
      </c>
      <c r="G1739" s="21">
        <v>30770</v>
      </c>
      <c r="H1739" s="20">
        <f t="shared" si="203"/>
        <v>123080</v>
      </c>
      <c r="I1739" s="2"/>
      <c r="J1739" s="17"/>
      <c r="K1739" s="17"/>
      <c r="L1739" s="17"/>
    </row>
    <row r="1740" spans="1:12">
      <c r="A1740" s="50"/>
      <c r="B1740" s="49">
        <v>4</v>
      </c>
      <c r="C1740" s="19" t="s">
        <v>614</v>
      </c>
      <c r="D1740" s="20">
        <v>8</v>
      </c>
      <c r="E1740" s="21">
        <v>1</v>
      </c>
      <c r="F1740" s="20">
        <f t="shared" si="202"/>
        <v>8</v>
      </c>
      <c r="G1740" s="21">
        <v>30770</v>
      </c>
      <c r="H1740" s="20">
        <f t="shared" si="203"/>
        <v>246160</v>
      </c>
      <c r="I1740" s="2"/>
      <c r="J1740" s="17"/>
      <c r="K1740" s="17"/>
      <c r="L1740" s="17"/>
    </row>
    <row r="1741" spans="1:12">
      <c r="A1741" s="50"/>
      <c r="B1741" s="49">
        <v>6</v>
      </c>
      <c r="C1741" s="19" t="s">
        <v>771</v>
      </c>
      <c r="D1741" s="20">
        <v>1</v>
      </c>
      <c r="E1741" s="21">
        <v>1</v>
      </c>
      <c r="F1741" s="20">
        <f t="shared" si="202"/>
        <v>1</v>
      </c>
      <c r="G1741" s="21">
        <v>1200000</v>
      </c>
      <c r="H1741" s="20">
        <f t="shared" si="203"/>
        <v>1200000</v>
      </c>
      <c r="I1741" s="2"/>
      <c r="J1741" s="94"/>
      <c r="K1741" s="17"/>
      <c r="L1741" s="17"/>
    </row>
    <row r="1742" spans="1:12">
      <c r="A1742" s="50"/>
      <c r="B1742" s="49">
        <v>7</v>
      </c>
      <c r="C1742" s="19"/>
      <c r="D1742" s="20">
        <v>0</v>
      </c>
      <c r="E1742" s="21">
        <v>1</v>
      </c>
      <c r="F1742" s="20">
        <f>D1742*E1742</f>
        <v>0</v>
      </c>
      <c r="G1742" s="21">
        <v>102</v>
      </c>
      <c r="H1742" s="20">
        <f>F1742*G1742</f>
        <v>0</v>
      </c>
      <c r="I1742" s="2"/>
      <c r="J1742" s="17"/>
      <c r="K1742" s="17"/>
      <c r="L1742" s="17"/>
    </row>
    <row r="1743" spans="1:12">
      <c r="A1743" s="50"/>
      <c r="B1743" s="49">
        <v>8</v>
      </c>
      <c r="C1743" s="14" t="s">
        <v>791</v>
      </c>
      <c r="D1743" s="20"/>
      <c r="F1743" s="20"/>
      <c r="H1743" s="25">
        <f>SUM(H1737:H1742)</f>
        <v>2252320</v>
      </c>
      <c r="I1743" s="2"/>
      <c r="J1743" s="17"/>
      <c r="K1743" s="17"/>
      <c r="L1743" s="17"/>
    </row>
    <row r="1744" spans="1:12">
      <c r="A1744" s="50"/>
      <c r="B1744" s="49">
        <v>9</v>
      </c>
      <c r="C1744" s="14"/>
      <c r="D1744" s="20"/>
      <c r="F1744" s="20"/>
      <c r="H1744" s="25"/>
      <c r="I1744" s="2"/>
      <c r="J1744" s="17"/>
      <c r="K1744" s="17"/>
      <c r="L1744" s="17"/>
    </row>
    <row r="1745" spans="1:12">
      <c r="A1745" s="50"/>
      <c r="B1745" s="49">
        <v>10</v>
      </c>
      <c r="C1745" s="14" t="s">
        <v>792</v>
      </c>
      <c r="D1745" s="20"/>
      <c r="F1745" s="20"/>
      <c r="H1745" s="25">
        <f>H1672+H1680+H1688+H1697+H1715+H1723+H1734+H1743</f>
        <v>2582482.4</v>
      </c>
      <c r="I1745" s="2"/>
      <c r="J1745" s="17"/>
      <c r="K1745" s="17"/>
      <c r="L1745" s="17"/>
    </row>
    <row r="1746" spans="1:12">
      <c r="A1746" s="32"/>
      <c r="B1746" s="70"/>
      <c r="C1746" s="19"/>
      <c r="D1746" s="20"/>
      <c r="F1746" s="20"/>
      <c r="H1746" s="20"/>
      <c r="I1746" s="2"/>
      <c r="J1746" s="17"/>
      <c r="K1746" s="17"/>
      <c r="L1746" s="17"/>
    </row>
    <row r="1747" spans="1:12" ht="15">
      <c r="A1747" s="178" t="s">
        <v>793</v>
      </c>
      <c r="B1747" s="178"/>
      <c r="C1747" s="14" t="s">
        <v>26</v>
      </c>
      <c r="D1747" s="20"/>
      <c r="F1747" s="20"/>
      <c r="H1747" s="20"/>
      <c r="I1747" s="2"/>
      <c r="J1747" s="17"/>
      <c r="K1747" s="17"/>
      <c r="L1747" s="17"/>
    </row>
    <row r="1748" spans="1:12">
      <c r="A1748" s="54"/>
      <c r="B1748" s="55">
        <v>1</v>
      </c>
      <c r="C1748" s="19" t="s">
        <v>794</v>
      </c>
      <c r="D1748" s="20">
        <v>0</v>
      </c>
      <c r="E1748" s="21">
        <f>5.5*60</f>
        <v>330</v>
      </c>
      <c r="F1748" s="20">
        <f>D1748*E1748</f>
        <v>0</v>
      </c>
      <c r="G1748" s="21">
        <v>2.39</v>
      </c>
      <c r="H1748" s="20">
        <f>F1748*G1748</f>
        <v>0</v>
      </c>
      <c r="I1748" s="2"/>
      <c r="J1748" s="17"/>
      <c r="K1748" s="17"/>
      <c r="L1748" s="17"/>
    </row>
    <row r="1749" spans="1:12">
      <c r="A1749" s="54"/>
      <c r="B1749" s="55">
        <v>2</v>
      </c>
      <c r="C1749" s="19"/>
      <c r="D1749" s="20">
        <v>0</v>
      </c>
      <c r="E1749" s="21">
        <v>1</v>
      </c>
      <c r="F1749" s="20">
        <f>D1749*E1749</f>
        <v>0</v>
      </c>
      <c r="G1749" s="21">
        <v>102</v>
      </c>
      <c r="H1749" s="20">
        <f>F1749*G1749</f>
        <v>0</v>
      </c>
      <c r="I1749" s="2"/>
      <c r="J1749" s="17"/>
      <c r="K1749" s="17"/>
      <c r="L1749" s="17"/>
    </row>
    <row r="1750" spans="1:12">
      <c r="A1750" s="54"/>
      <c r="B1750" s="55"/>
      <c r="C1750" s="14" t="s">
        <v>795</v>
      </c>
      <c r="D1750" s="20"/>
      <c r="F1750" s="20"/>
      <c r="H1750" s="25">
        <f>SUM(H1748:H1749)</f>
        <v>0</v>
      </c>
      <c r="I1750" s="2"/>
      <c r="J1750" s="17"/>
      <c r="K1750" s="17"/>
      <c r="L1750" s="17"/>
    </row>
    <row r="1751" spans="1:12">
      <c r="A1751" s="54"/>
      <c r="B1751" s="56"/>
      <c r="C1751" s="14"/>
      <c r="D1751" s="20"/>
      <c r="F1751" s="20"/>
      <c r="H1751" s="20"/>
      <c r="I1751" s="2"/>
      <c r="J1751" s="17"/>
      <c r="K1751" s="17"/>
      <c r="L1751" s="17"/>
    </row>
    <row r="1752" spans="1:12">
      <c r="A1752" s="54"/>
      <c r="B1752" s="57"/>
      <c r="C1752" s="14" t="s">
        <v>28</v>
      </c>
      <c r="D1752" s="20"/>
      <c r="F1752" s="20"/>
      <c r="H1752" s="20"/>
      <c r="I1752" s="2"/>
      <c r="J1752" s="17"/>
      <c r="K1752" s="17"/>
      <c r="L1752" s="17"/>
    </row>
    <row r="1753" spans="1:12">
      <c r="A1753" s="54"/>
      <c r="B1753" s="55">
        <v>1</v>
      </c>
      <c r="C1753" s="19"/>
      <c r="D1753" s="20">
        <v>0</v>
      </c>
      <c r="E1753" s="21">
        <v>1</v>
      </c>
      <c r="F1753" s="20">
        <f>D1753*E1753</f>
        <v>0</v>
      </c>
      <c r="G1753" s="21">
        <v>101</v>
      </c>
      <c r="H1753" s="20">
        <f>F1753*G1753</f>
        <v>0</v>
      </c>
      <c r="I1753" s="2"/>
      <c r="J1753" s="17"/>
      <c r="K1753" s="17"/>
      <c r="L1753" s="17"/>
    </row>
    <row r="1754" spans="1:12">
      <c r="A1754" s="54"/>
      <c r="B1754" s="55">
        <v>2</v>
      </c>
      <c r="C1754" s="19"/>
      <c r="D1754" s="20">
        <v>0</v>
      </c>
      <c r="E1754" s="21">
        <v>1</v>
      </c>
      <c r="F1754" s="20">
        <f>D1754*E1754</f>
        <v>0</v>
      </c>
      <c r="G1754" s="21">
        <v>102</v>
      </c>
      <c r="H1754" s="20">
        <f>F1754*G1754</f>
        <v>0</v>
      </c>
      <c r="I1754" s="2"/>
      <c r="J1754" s="17"/>
      <c r="K1754" s="17"/>
      <c r="L1754" s="17"/>
    </row>
    <row r="1755" spans="1:12">
      <c r="A1755" s="54"/>
      <c r="B1755" s="55"/>
      <c r="C1755" s="14" t="s">
        <v>796</v>
      </c>
      <c r="D1755" s="20"/>
      <c r="F1755" s="20"/>
      <c r="H1755" s="25">
        <f>SUM(H1753:H1754)</f>
        <v>0</v>
      </c>
      <c r="I1755" s="2"/>
      <c r="J1755" s="17"/>
      <c r="K1755" s="17"/>
      <c r="L1755" s="17"/>
    </row>
    <row r="1756" spans="1:12">
      <c r="A1756" s="54"/>
      <c r="B1756" s="57"/>
      <c r="C1756" s="14"/>
      <c r="D1756" s="20"/>
      <c r="F1756" s="20"/>
      <c r="H1756" s="20"/>
      <c r="I1756" s="2"/>
      <c r="J1756" s="17"/>
      <c r="K1756" s="17"/>
      <c r="L1756" s="17"/>
    </row>
    <row r="1757" spans="1:12">
      <c r="A1757" s="54"/>
      <c r="B1757" s="57"/>
      <c r="C1757" s="14" t="s">
        <v>29</v>
      </c>
      <c r="D1757" s="20"/>
      <c r="F1757" s="20"/>
      <c r="H1757" s="20"/>
      <c r="I1757" s="2"/>
      <c r="J1757" s="17"/>
      <c r="K1757" s="17"/>
      <c r="L1757" s="17"/>
    </row>
    <row r="1758" spans="1:12">
      <c r="A1758" s="54"/>
      <c r="B1758" s="55">
        <v>1</v>
      </c>
      <c r="C1758" s="19"/>
      <c r="D1758" s="20">
        <v>0</v>
      </c>
      <c r="E1758" s="21">
        <v>1</v>
      </c>
      <c r="F1758" s="20">
        <f>D1758*E1758</f>
        <v>0</v>
      </c>
      <c r="G1758" s="21">
        <v>101</v>
      </c>
      <c r="H1758" s="20">
        <f>F1758*G1758</f>
        <v>0</v>
      </c>
      <c r="I1758" s="2"/>
      <c r="J1758" s="17"/>
      <c r="K1758" s="17"/>
      <c r="L1758" s="17"/>
    </row>
    <row r="1759" spans="1:12">
      <c r="A1759" s="54"/>
      <c r="B1759" s="55">
        <v>2</v>
      </c>
      <c r="C1759" s="19"/>
      <c r="D1759" s="20">
        <v>0</v>
      </c>
      <c r="E1759" s="21">
        <v>1</v>
      </c>
      <c r="F1759" s="20">
        <f>D1759*E1759</f>
        <v>0</v>
      </c>
      <c r="G1759" s="21">
        <v>102</v>
      </c>
      <c r="H1759" s="20">
        <f>F1759*G1759</f>
        <v>0</v>
      </c>
      <c r="I1759" s="2"/>
      <c r="J1759" s="17"/>
      <c r="K1759" s="17"/>
      <c r="L1759" s="17"/>
    </row>
    <row r="1760" spans="1:12">
      <c r="A1760" s="54"/>
      <c r="B1760" s="55"/>
      <c r="C1760" s="14" t="s">
        <v>797</v>
      </c>
      <c r="D1760" s="20"/>
      <c r="F1760" s="20"/>
      <c r="H1760" s="25">
        <f>SUM(H1758:H1759)</f>
        <v>0</v>
      </c>
      <c r="I1760" s="2"/>
      <c r="J1760" s="17"/>
      <c r="K1760" s="17"/>
      <c r="L1760" s="17"/>
    </row>
    <row r="1761" spans="1:12">
      <c r="A1761" s="54"/>
      <c r="B1761" s="57"/>
      <c r="C1761" s="14"/>
      <c r="D1761" s="20"/>
      <c r="F1761" s="20"/>
      <c r="H1761" s="20"/>
      <c r="I1761" s="2"/>
      <c r="J1761" s="17"/>
      <c r="K1761" s="17"/>
      <c r="L1761" s="17"/>
    </row>
    <row r="1762" spans="1:12">
      <c r="A1762" s="54"/>
      <c r="B1762" s="57"/>
      <c r="C1762" s="14" t="s">
        <v>30</v>
      </c>
      <c r="D1762" s="20"/>
      <c r="F1762" s="20"/>
      <c r="H1762" s="20"/>
      <c r="I1762" s="2"/>
      <c r="J1762" s="17"/>
      <c r="K1762" s="17"/>
      <c r="L1762" s="17"/>
    </row>
    <row r="1763" spans="1:12">
      <c r="A1763" s="54"/>
      <c r="B1763" s="55">
        <v>1</v>
      </c>
      <c r="C1763" s="19"/>
      <c r="D1763" s="20">
        <v>0</v>
      </c>
      <c r="E1763" s="21">
        <v>1</v>
      </c>
      <c r="F1763" s="20">
        <f>D1763*E1763</f>
        <v>0</v>
      </c>
      <c r="G1763" s="21">
        <v>101</v>
      </c>
      <c r="H1763" s="20">
        <f>F1763*G1763</f>
        <v>0</v>
      </c>
      <c r="I1763" s="2"/>
      <c r="J1763" s="17"/>
      <c r="K1763" s="17"/>
      <c r="L1763" s="17"/>
    </row>
    <row r="1764" spans="1:12">
      <c r="A1764" s="54"/>
      <c r="B1764" s="55">
        <v>2</v>
      </c>
      <c r="C1764" s="19"/>
      <c r="D1764" s="20">
        <v>0</v>
      </c>
      <c r="E1764" s="21">
        <v>1</v>
      </c>
      <c r="F1764" s="20">
        <f>D1764*E1764</f>
        <v>0</v>
      </c>
      <c r="G1764" s="21">
        <v>102</v>
      </c>
      <c r="H1764" s="20">
        <f>F1764*G1764</f>
        <v>0</v>
      </c>
      <c r="I1764" s="2"/>
      <c r="J1764" s="17"/>
      <c r="K1764" s="17"/>
      <c r="L1764" s="17"/>
    </row>
    <row r="1765" spans="1:12">
      <c r="A1765" s="54"/>
      <c r="B1765" s="55"/>
      <c r="C1765" s="14" t="s">
        <v>798</v>
      </c>
      <c r="D1765" s="20"/>
      <c r="F1765" s="20"/>
      <c r="H1765" s="25">
        <f>SUM(H1763:H1764)</f>
        <v>0</v>
      </c>
      <c r="I1765" s="2"/>
      <c r="J1765" s="17"/>
      <c r="K1765" s="17"/>
      <c r="L1765" s="17"/>
    </row>
    <row r="1766" spans="1:12">
      <c r="A1766" s="54"/>
      <c r="B1766" s="57"/>
      <c r="C1766" s="14"/>
      <c r="D1766" s="20"/>
      <c r="F1766" s="20"/>
      <c r="H1766" s="20"/>
      <c r="I1766" s="2"/>
      <c r="J1766" s="17"/>
      <c r="K1766" s="17"/>
      <c r="L1766" s="17"/>
    </row>
    <row r="1767" spans="1:12">
      <c r="A1767" s="54"/>
      <c r="B1767" s="57"/>
      <c r="C1767" s="14" t="s">
        <v>32</v>
      </c>
      <c r="D1767" s="20"/>
      <c r="F1767" s="20"/>
      <c r="H1767" s="20"/>
      <c r="I1767" s="2"/>
      <c r="J1767" s="17"/>
      <c r="K1767" s="17"/>
      <c r="L1767" s="17"/>
    </row>
    <row r="1768" spans="1:12">
      <c r="A1768" s="54"/>
      <c r="B1768" s="55">
        <v>1</v>
      </c>
      <c r="C1768" s="19" t="s">
        <v>799</v>
      </c>
      <c r="D1768" s="20">
        <v>0</v>
      </c>
      <c r="E1768" s="21">
        <f>5.5*60</f>
        <v>330</v>
      </c>
      <c r="F1768" s="20">
        <f>D1768*E1768</f>
        <v>0</v>
      </c>
      <c r="G1768" s="21">
        <v>2.1</v>
      </c>
      <c r="H1768" s="20">
        <f>F1768*G1768</f>
        <v>0</v>
      </c>
      <c r="I1768" s="2"/>
      <c r="J1768" s="17"/>
      <c r="K1768" s="17"/>
      <c r="L1768" s="17"/>
    </row>
    <row r="1769" spans="1:12">
      <c r="A1769" s="54"/>
      <c r="B1769" s="55">
        <v>2</v>
      </c>
      <c r="C1769" s="19"/>
      <c r="D1769" s="20">
        <v>0</v>
      </c>
      <c r="E1769" s="21">
        <v>1</v>
      </c>
      <c r="F1769" s="20">
        <f>D1769*E1769</f>
        <v>0</v>
      </c>
      <c r="G1769" s="21">
        <v>102</v>
      </c>
      <c r="H1769" s="20">
        <f>F1769*G1769</f>
        <v>0</v>
      </c>
      <c r="I1769" s="2"/>
      <c r="J1769" s="17"/>
      <c r="K1769" s="17"/>
      <c r="L1769" s="17"/>
    </row>
    <row r="1770" spans="1:12">
      <c r="A1770" s="54"/>
      <c r="B1770" s="55"/>
      <c r="C1770" s="14" t="s">
        <v>800</v>
      </c>
      <c r="D1770" s="20"/>
      <c r="F1770" s="20"/>
      <c r="H1770" s="25">
        <f>SUM(H1768:H1769)</f>
        <v>0</v>
      </c>
      <c r="I1770" s="2"/>
      <c r="J1770" s="17"/>
      <c r="K1770" s="17"/>
      <c r="L1770" s="17"/>
    </row>
    <row r="1771" spans="1:12">
      <c r="A1771" s="54"/>
      <c r="B1771" s="57"/>
      <c r="C1771" s="14"/>
      <c r="D1771" s="20"/>
      <c r="F1771" s="20"/>
      <c r="H1771" s="20"/>
      <c r="I1771" s="2"/>
      <c r="J1771" s="17"/>
      <c r="K1771" s="17"/>
      <c r="L1771" s="17"/>
    </row>
    <row r="1772" spans="1:12">
      <c r="A1772" s="54"/>
      <c r="B1772" s="57"/>
      <c r="C1772" s="14" t="s">
        <v>33</v>
      </c>
      <c r="D1772" s="20"/>
      <c r="F1772" s="20"/>
      <c r="H1772" s="20"/>
      <c r="I1772" s="2"/>
      <c r="J1772" s="17"/>
      <c r="K1772" s="17"/>
      <c r="L1772" s="17"/>
    </row>
    <row r="1773" spans="1:12">
      <c r="A1773" s="54"/>
      <c r="B1773" s="55">
        <v>1</v>
      </c>
      <c r="C1773" s="19"/>
      <c r="D1773" s="20">
        <v>0</v>
      </c>
      <c r="E1773" s="21">
        <v>1</v>
      </c>
      <c r="F1773" s="20">
        <f>D1773*E1773</f>
        <v>0</v>
      </c>
      <c r="G1773" s="21">
        <v>101</v>
      </c>
      <c r="H1773" s="20">
        <f>F1773*G1773</f>
        <v>0</v>
      </c>
      <c r="I1773" s="2"/>
      <c r="J1773" s="17"/>
      <c r="K1773" s="17"/>
      <c r="L1773" s="17"/>
    </row>
    <row r="1774" spans="1:12">
      <c r="A1774" s="54"/>
      <c r="B1774" s="55">
        <v>2</v>
      </c>
      <c r="C1774" s="19"/>
      <c r="D1774" s="20">
        <v>0</v>
      </c>
      <c r="E1774" s="21">
        <v>1</v>
      </c>
      <c r="F1774" s="20">
        <f>D1774*E1774</f>
        <v>0</v>
      </c>
      <c r="G1774" s="21">
        <v>102</v>
      </c>
      <c r="H1774" s="20">
        <f>F1774*G1774</f>
        <v>0</v>
      </c>
      <c r="I1774" s="2"/>
      <c r="J1774" s="17"/>
      <c r="K1774" s="17"/>
      <c r="L1774" s="17"/>
    </row>
    <row r="1775" spans="1:12">
      <c r="A1775" s="54"/>
      <c r="B1775" s="55"/>
      <c r="C1775" s="14" t="s">
        <v>801</v>
      </c>
      <c r="D1775" s="20"/>
      <c r="F1775" s="20"/>
      <c r="H1775" s="25">
        <f>SUM(H1773:H1774)</f>
        <v>0</v>
      </c>
      <c r="I1775" s="2"/>
      <c r="J1775" s="17"/>
      <c r="K1775" s="17"/>
      <c r="L1775" s="17"/>
    </row>
    <row r="1776" spans="1:12">
      <c r="A1776" s="54"/>
      <c r="B1776" s="57"/>
      <c r="C1776" s="14"/>
      <c r="D1776" s="20"/>
      <c r="F1776" s="20"/>
      <c r="H1776" s="20"/>
      <c r="I1776" s="2"/>
      <c r="J1776" s="17"/>
      <c r="K1776" s="17"/>
      <c r="L1776" s="17"/>
    </row>
    <row r="1777" spans="1:12">
      <c r="A1777" s="54"/>
      <c r="B1777" s="57"/>
      <c r="C1777" s="14" t="s">
        <v>35</v>
      </c>
      <c r="D1777" s="20"/>
      <c r="F1777" s="20"/>
      <c r="H1777" s="20"/>
      <c r="I1777" s="2"/>
      <c r="J1777" s="17"/>
      <c r="K1777" s="17"/>
      <c r="L1777" s="17"/>
    </row>
    <row r="1778" spans="1:12">
      <c r="A1778" s="54"/>
      <c r="B1778" s="55">
        <v>1</v>
      </c>
      <c r="C1778" s="19"/>
      <c r="D1778" s="20">
        <v>0</v>
      </c>
      <c r="E1778" s="21">
        <v>1</v>
      </c>
      <c r="F1778" s="20">
        <f>D1778*E1778</f>
        <v>0</v>
      </c>
      <c r="G1778" s="21">
        <v>101</v>
      </c>
      <c r="H1778" s="20">
        <f>F1778*G1778</f>
        <v>0</v>
      </c>
      <c r="I1778" s="2"/>
      <c r="J1778" s="17"/>
      <c r="K1778" s="17"/>
      <c r="L1778" s="17"/>
    </row>
    <row r="1779" spans="1:12">
      <c r="A1779" s="54"/>
      <c r="B1779" s="55">
        <v>2</v>
      </c>
      <c r="C1779" s="19"/>
      <c r="D1779" s="20">
        <v>0</v>
      </c>
      <c r="E1779" s="21">
        <v>1</v>
      </c>
      <c r="F1779" s="20">
        <f>D1779*E1779</f>
        <v>0</v>
      </c>
      <c r="G1779" s="21">
        <v>102</v>
      </c>
      <c r="H1779" s="20">
        <f>F1779*G1779</f>
        <v>0</v>
      </c>
      <c r="I1779" s="2"/>
      <c r="J1779" s="17"/>
      <c r="K1779" s="17"/>
      <c r="L1779" s="17"/>
    </row>
    <row r="1780" spans="1:12">
      <c r="A1780" s="54"/>
      <c r="B1780" s="55"/>
      <c r="C1780" s="14" t="s">
        <v>802</v>
      </c>
      <c r="D1780" s="20"/>
      <c r="F1780" s="20"/>
      <c r="H1780" s="25">
        <f>SUM(H1778:H1779)</f>
        <v>0</v>
      </c>
      <c r="I1780" s="2"/>
      <c r="J1780" s="17"/>
      <c r="K1780" s="17"/>
      <c r="L1780" s="17"/>
    </row>
    <row r="1781" spans="1:12">
      <c r="A1781" s="54"/>
      <c r="B1781" s="58"/>
      <c r="C1781" s="19"/>
      <c r="D1781" s="20"/>
      <c r="F1781" s="20"/>
      <c r="H1781" s="20"/>
      <c r="I1781" s="2"/>
      <c r="J1781" s="17"/>
      <c r="K1781" s="17"/>
      <c r="L1781" s="17"/>
    </row>
    <row r="1782" spans="1:12">
      <c r="A1782" s="32"/>
      <c r="B1782" s="70"/>
      <c r="C1782" s="19"/>
      <c r="D1782" s="20"/>
      <c r="F1782" s="20"/>
      <c r="H1782" s="20"/>
      <c r="I1782" s="2"/>
      <c r="J1782" s="17"/>
      <c r="K1782" s="17"/>
      <c r="L1782" s="17"/>
    </row>
    <row r="1783" spans="1:12">
      <c r="A1783" s="32"/>
      <c r="B1783" s="70"/>
      <c r="C1783" s="19"/>
      <c r="D1783" s="20"/>
      <c r="F1783" s="20"/>
      <c r="H1783" s="20"/>
      <c r="I1783" s="2"/>
      <c r="J1783" s="17"/>
      <c r="K1783" s="17"/>
      <c r="L1783" s="17"/>
    </row>
    <row r="1784" spans="1:12">
      <c r="A1784" s="32"/>
      <c r="B1784" s="70"/>
      <c r="C1784" s="19"/>
      <c r="D1784" s="20"/>
      <c r="F1784" s="20"/>
      <c r="H1784" s="20"/>
      <c r="I1784" s="2"/>
      <c r="J1784" s="17"/>
      <c r="K1784" s="17"/>
      <c r="L1784" s="17"/>
    </row>
    <row r="1785" spans="1:12">
      <c r="A1785" s="32"/>
      <c r="B1785" s="70"/>
      <c r="C1785" s="19"/>
      <c r="D1785" s="20"/>
      <c r="F1785" s="20"/>
      <c r="H1785" s="20"/>
      <c r="I1785" s="2"/>
      <c r="J1785" s="17"/>
      <c r="K1785" s="17"/>
      <c r="L1785" s="17"/>
    </row>
    <row r="1786" spans="1:12">
      <c r="F1786" s="20"/>
      <c r="H1786" s="20"/>
      <c r="I1786" s="2"/>
      <c r="J1786" s="17"/>
      <c r="K1786" s="17"/>
      <c r="L1786" s="17"/>
    </row>
    <row r="1787" spans="1:12">
      <c r="H1787" s="20"/>
      <c r="I1787" s="2"/>
      <c r="J1787" s="17"/>
      <c r="K1787" s="17"/>
      <c r="L1787" s="17"/>
    </row>
    <row r="1788" spans="1:12">
      <c r="H1788" s="20"/>
      <c r="I1788" s="2"/>
      <c r="J1788" s="17"/>
      <c r="K1788" s="17"/>
      <c r="L1788" s="17"/>
    </row>
    <row r="1789" spans="1:12">
      <c r="H1789" s="20"/>
    </row>
  </sheetData>
  <mergeCells count="6">
    <mergeCell ref="A1747:B1747"/>
    <mergeCell ref="B1:H1"/>
    <mergeCell ref="J1:L1"/>
    <mergeCell ref="A3:A4"/>
    <mergeCell ref="A214:A215"/>
    <mergeCell ref="A758:A7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0A97-5BD4-4C6A-A0B3-7EA3C2C5C7A3}">
  <sheetPr>
    <tabColor theme="8" tint="0.39997558519241921"/>
  </sheetPr>
  <dimension ref="A1:AE1789"/>
  <sheetViews>
    <sheetView topLeftCell="A7" zoomScale="150" zoomScaleNormal="90" workbookViewId="0">
      <selection activeCell="J39" sqref="J39:L39"/>
    </sheetView>
  </sheetViews>
  <sheetFormatPr baseColWidth="10" defaultColWidth="8.83203125" defaultRowHeight="17"/>
  <cols>
    <col min="1" max="1" width="20.83203125" style="53" customWidth="1"/>
    <col min="2" max="2" width="29.83203125" style="59" customWidth="1"/>
    <col min="3" max="3" width="36.33203125" style="39" bestFit="1" customWidth="1"/>
    <col min="4" max="4" width="12.83203125" style="41" customWidth="1"/>
    <col min="5" max="5" width="12.83203125" style="21" customWidth="1"/>
    <col min="6" max="6" width="12.83203125" style="41" customWidth="1"/>
    <col min="7" max="7" width="14.1640625" style="21" bestFit="1" customWidth="1"/>
    <col min="8" max="8" width="17.83203125" style="41" bestFit="1" customWidth="1"/>
    <col min="9" max="9" width="11.33203125" bestFit="1" customWidth="1"/>
    <col min="10" max="10" width="43.83203125" style="60" customWidth="1"/>
    <col min="11" max="11" width="16.83203125" style="60" customWidth="1"/>
    <col min="12" max="12" width="14.83203125" style="60" customWidth="1"/>
    <col min="13" max="31" width="8.83203125" style="2"/>
  </cols>
  <sheetData>
    <row r="1" spans="1:12" ht="20" customHeight="1">
      <c r="A1"/>
      <c r="B1" s="179" t="s">
        <v>803</v>
      </c>
      <c r="C1" s="179"/>
      <c r="D1" s="179"/>
      <c r="E1" s="179"/>
      <c r="F1" s="179"/>
      <c r="G1" s="179"/>
      <c r="H1" s="180"/>
      <c r="I1" s="1"/>
      <c r="J1" s="179" t="s">
        <v>804</v>
      </c>
      <c r="K1" s="179"/>
      <c r="L1" s="179"/>
    </row>
    <row r="2" spans="1:12" ht="76.75" customHeight="1">
      <c r="A2" s="3"/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3"/>
      <c r="J2" s="11" t="s">
        <v>9</v>
      </c>
      <c r="K2" s="12" t="s">
        <v>10</v>
      </c>
      <c r="L2" s="12" t="s">
        <v>11</v>
      </c>
    </row>
    <row r="3" spans="1:12" ht="26">
      <c r="A3" s="181" t="s">
        <v>233</v>
      </c>
      <c r="B3" s="13" t="s">
        <v>234</v>
      </c>
      <c r="C3" s="14" t="s">
        <v>14</v>
      </c>
      <c r="D3" s="15"/>
      <c r="E3" s="16"/>
      <c r="F3" s="15"/>
      <c r="G3" s="16"/>
      <c r="H3" s="15"/>
      <c r="I3" s="2"/>
      <c r="J3" s="17"/>
      <c r="K3" s="17"/>
      <c r="L3" s="17"/>
    </row>
    <row r="4" spans="1:12" ht="17.5" customHeight="1">
      <c r="A4" s="181"/>
      <c r="B4" s="18">
        <v>1</v>
      </c>
      <c r="C4" s="19"/>
      <c r="D4" s="20">
        <v>0</v>
      </c>
      <c r="E4" s="21">
        <v>1</v>
      </c>
      <c r="F4" s="20">
        <f>D4*E4</f>
        <v>0</v>
      </c>
      <c r="G4" s="21">
        <v>101</v>
      </c>
      <c r="H4" s="20">
        <f>F4*G4</f>
        <v>0</v>
      </c>
      <c r="I4" s="2"/>
      <c r="J4" s="17" t="s">
        <v>235</v>
      </c>
      <c r="K4" s="22">
        <f>H6+H55+H174+H217+H304+H499+(H593*K22)+(H676*K23)+H761+H810+H907+H965+(H1058*K25)+(H1144*K26)+H1224+H1274+H1367+(H1424*K28)+(H1506*K29)+(H1591*K31)+(H1672*K32)</f>
        <v>1533248.75</v>
      </c>
      <c r="L4" s="23">
        <f>K4/$K$19</f>
        <v>8.9873451499753204E-2</v>
      </c>
    </row>
    <row r="5" spans="1:12" ht="17.5" customHeight="1">
      <c r="A5" s="24"/>
      <c r="B5" s="18">
        <v>2</v>
      </c>
      <c r="C5" s="19"/>
      <c r="D5" s="20">
        <v>0</v>
      </c>
      <c r="E5" s="21">
        <v>1</v>
      </c>
      <c r="F5" s="20">
        <f>D5*E5</f>
        <v>0</v>
      </c>
      <c r="G5" s="21">
        <v>102</v>
      </c>
      <c r="H5" s="20">
        <f>F5*G5</f>
        <v>0</v>
      </c>
      <c r="I5" s="2"/>
      <c r="J5" s="17" t="s">
        <v>236</v>
      </c>
      <c r="K5" s="22">
        <f>H11+H60+H179+H222+H320+H504+(H602*K22)+(H685*K23)+H766+H815+H912+H973+(H1066*K25)+(H1152*K26)+H1229+H1279+H1372+(H1432*K28)+(H1514*K29)+(H1599*K31)+(H1680*K32)</f>
        <v>15204.679614275417</v>
      </c>
      <c r="L5" s="23">
        <f t="shared" ref="L5:L18" si="0">K5/$K$19</f>
        <v>8.9124288272393376E-4</v>
      </c>
    </row>
    <row r="6" spans="1:12" ht="17.5" customHeight="1">
      <c r="A6" s="24"/>
      <c r="B6" s="18"/>
      <c r="C6" s="14" t="s">
        <v>17</v>
      </c>
      <c r="D6" s="20"/>
      <c r="F6" s="20"/>
      <c r="H6" s="25">
        <f>SUM(H4:H5)</f>
        <v>0</v>
      </c>
      <c r="I6" s="2"/>
      <c r="J6" s="17" t="s">
        <v>237</v>
      </c>
      <c r="K6" s="22">
        <f>H16+H65+H184+H227+H347+H509+(H607*K22)+(H694*K23)+H771+H820+H917+H982+(H1074*K25)+(H1160*K26)+H1234+H1284+H1377+(H1440*K28)+(H1522*K29)+(H1607*K31)+(H1688*K32)</f>
        <v>7299.7233237202581</v>
      </c>
      <c r="L6" s="23">
        <f t="shared" si="0"/>
        <v>4.2788316644379451E-4</v>
      </c>
    </row>
    <row r="7" spans="1:12" ht="17.5" customHeight="1">
      <c r="A7" s="24"/>
      <c r="B7" s="26"/>
      <c r="C7" s="14"/>
      <c r="D7" s="20"/>
      <c r="F7" s="20"/>
      <c r="H7" s="20"/>
      <c r="I7" s="2"/>
      <c r="J7" s="17" t="s">
        <v>238</v>
      </c>
      <c r="K7" s="22">
        <f>H21+H70+H189+H232+H427+H520+(H616*K22)+(H704*K23)+H776+H825+H922+H997+(H1082*K25)+(H1169*K26)+H1239+H1289+H1382+(H1448*K28)+(H1530*K29)+(H1616*K31)+(H1697*K32)</f>
        <v>4683027.1900000004</v>
      </c>
      <c r="L7" s="23">
        <f t="shared" si="0"/>
        <v>0.27450197955973588</v>
      </c>
    </row>
    <row r="8" spans="1:12" ht="14.5" customHeight="1">
      <c r="A8" s="24"/>
      <c r="B8" s="26"/>
      <c r="C8" s="14" t="s">
        <v>20</v>
      </c>
      <c r="D8" s="20"/>
      <c r="F8" s="20"/>
      <c r="H8" s="20"/>
      <c r="I8" s="2"/>
      <c r="J8" s="17" t="s">
        <v>239</v>
      </c>
      <c r="K8" s="22">
        <f>H26+H75+H194+H245+H460+H544+(H632*K22)+(H720*K23)+H781+H830+H939+H1012+(H1101*K25)+(H1187*K26)+H1244+H1294+H1399+(H1465*K28)+(H1547*K29)+(H1634*K31)+(H1715*K32)</f>
        <v>326402.82051199995</v>
      </c>
      <c r="L8" s="23">
        <f t="shared" si="0"/>
        <v>1.9132543273665072E-2</v>
      </c>
    </row>
    <row r="9" spans="1:12" ht="14.5" customHeight="1">
      <c r="A9" s="24"/>
      <c r="B9" s="18">
        <v>1</v>
      </c>
      <c r="C9" s="19"/>
      <c r="D9" s="20">
        <v>0</v>
      </c>
      <c r="E9" s="21">
        <v>1</v>
      </c>
      <c r="F9" s="20">
        <f>D9*E9</f>
        <v>0</v>
      </c>
      <c r="G9" s="21">
        <v>101</v>
      </c>
      <c r="H9" s="20">
        <f>F9*G9</f>
        <v>0</v>
      </c>
      <c r="I9" s="2"/>
      <c r="J9" s="17" t="s">
        <v>240</v>
      </c>
      <c r="K9" s="22">
        <f>H31+H86+H199+H253+H468+H552+(H640*K22)+(H730*K23)+H786+H847+H944+H1020+(H1109*K25)+(H1195*K26)+H1249+H1308+H1404+(H1473*K28)+(H1555*K29)+(H1642*K31)+(H1723*K32)</f>
        <v>695000</v>
      </c>
      <c r="L9" s="23">
        <f t="shared" si="0"/>
        <v>4.0738366029862069E-2</v>
      </c>
    </row>
    <row r="10" spans="1:12" ht="14.5" customHeight="1">
      <c r="A10" s="24"/>
      <c r="B10" s="18">
        <v>2</v>
      </c>
      <c r="C10" s="19"/>
      <c r="D10" s="20">
        <v>0</v>
      </c>
      <c r="E10" s="21">
        <v>1</v>
      </c>
      <c r="F10" s="20">
        <f>D10*E10</f>
        <v>0</v>
      </c>
      <c r="G10" s="21">
        <v>102</v>
      </c>
      <c r="H10" s="20">
        <f>F10*G10</f>
        <v>0</v>
      </c>
      <c r="I10" s="2"/>
      <c r="J10" s="17" t="s">
        <v>241</v>
      </c>
      <c r="K10" s="22">
        <f>H36+H135+H204+H268+H484+H570+(H653*K22)+(H742*K23)+H791+H895+H949+H1032+(H1120*K25)+(H1206*K26)+H1254+H1355+H1409+(H1483*K28)+(H1568*K29)+(H1653*K31)+(H1734*K32)</f>
        <v>1552840.5</v>
      </c>
      <c r="L10" s="23">
        <f t="shared" si="0"/>
        <v>9.1021848453228818E-2</v>
      </c>
    </row>
    <row r="11" spans="1:12" ht="14.5" customHeight="1">
      <c r="A11" s="24"/>
      <c r="B11" s="18"/>
      <c r="C11" s="14" t="s">
        <v>24</v>
      </c>
      <c r="D11" s="20"/>
      <c r="F11" s="20"/>
      <c r="H11" s="25">
        <f>SUM(H9:H10)</f>
        <v>0</v>
      </c>
      <c r="I11" s="2"/>
      <c r="J11" s="17" t="s">
        <v>242</v>
      </c>
      <c r="K11" s="22">
        <f>H48+H148+H209+H281+H492+H583+(H666*K22)+(H753*K23)+H803+H900+H954+H1045+(H1134*K25)+(H1216*K26)+H1267+H1360+H1414+(H1495*K28)+(H1581*K29)+(H1662*K31)+(H1743*K32)</f>
        <v>8247061.6500000004</v>
      </c>
      <c r="L11" s="23">
        <f t="shared" si="0"/>
        <v>0.48341268513458741</v>
      </c>
    </row>
    <row r="12" spans="1:12" ht="14.5" customHeight="1">
      <c r="A12" s="24"/>
      <c r="B12" s="26"/>
      <c r="C12" s="14"/>
      <c r="D12" s="20"/>
      <c r="F12" s="20"/>
      <c r="H12" s="20"/>
      <c r="I12" s="2"/>
      <c r="J12" s="27" t="s">
        <v>26</v>
      </c>
      <c r="K12" s="22">
        <f>H1750</f>
        <v>0</v>
      </c>
      <c r="L12" s="23">
        <f t="shared" si="0"/>
        <v>0</v>
      </c>
    </row>
    <row r="13" spans="1:12" ht="14.5" customHeight="1">
      <c r="A13" s="24"/>
      <c r="B13" s="26"/>
      <c r="C13" s="14" t="s">
        <v>27</v>
      </c>
      <c r="D13" s="20"/>
      <c r="F13" s="20"/>
      <c r="H13" s="20"/>
      <c r="I13" s="2"/>
      <c r="J13" s="27" t="s">
        <v>28</v>
      </c>
      <c r="K13" s="22">
        <f>H1755</f>
        <v>0</v>
      </c>
      <c r="L13" s="23">
        <f t="shared" si="0"/>
        <v>0</v>
      </c>
    </row>
    <row r="14" spans="1:12" ht="14.5" customHeight="1">
      <c r="A14" s="24"/>
      <c r="B14" s="18">
        <v>1</v>
      </c>
      <c r="C14" s="19"/>
      <c r="D14" s="20">
        <v>0</v>
      </c>
      <c r="E14" s="21">
        <v>1</v>
      </c>
      <c r="F14" s="20">
        <f>D14*E14</f>
        <v>0</v>
      </c>
      <c r="G14" s="21">
        <v>101</v>
      </c>
      <c r="H14" s="20">
        <f>F14*G14</f>
        <v>0</v>
      </c>
      <c r="I14" s="2"/>
      <c r="J14" s="27" t="s">
        <v>29</v>
      </c>
      <c r="K14" s="22">
        <f>H1760</f>
        <v>0</v>
      </c>
      <c r="L14" s="23">
        <f t="shared" si="0"/>
        <v>0</v>
      </c>
    </row>
    <row r="15" spans="1:12" ht="14.5" customHeight="1">
      <c r="A15" s="24"/>
      <c r="B15" s="18">
        <v>2</v>
      </c>
      <c r="C15" s="19"/>
      <c r="D15" s="20">
        <v>0</v>
      </c>
      <c r="E15" s="21">
        <v>1</v>
      </c>
      <c r="F15" s="20">
        <f>D15*E15</f>
        <v>0</v>
      </c>
      <c r="G15" s="21">
        <v>102</v>
      </c>
      <c r="H15" s="20">
        <f>F15*G15</f>
        <v>0</v>
      </c>
      <c r="I15" s="2"/>
      <c r="J15" s="27" t="s">
        <v>30</v>
      </c>
      <c r="K15" s="22">
        <f>H1765</f>
        <v>0</v>
      </c>
      <c r="L15" s="23">
        <f t="shared" si="0"/>
        <v>0</v>
      </c>
    </row>
    <row r="16" spans="1:12" ht="14.5" customHeight="1">
      <c r="A16" s="24"/>
      <c r="B16" s="18"/>
      <c r="C16" s="14" t="s">
        <v>31</v>
      </c>
      <c r="D16" s="20"/>
      <c r="F16" s="20"/>
      <c r="H16" s="25">
        <f>SUM(H14:H15)</f>
        <v>0</v>
      </c>
      <c r="I16" s="2"/>
      <c r="J16" s="27" t="s">
        <v>32</v>
      </c>
      <c r="K16" s="22">
        <f>H1770</f>
        <v>0</v>
      </c>
      <c r="L16" s="23">
        <f t="shared" si="0"/>
        <v>0</v>
      </c>
    </row>
    <row r="17" spans="1:12" ht="14.5" customHeight="1">
      <c r="A17" s="24"/>
      <c r="B17" s="26"/>
      <c r="C17" s="14"/>
      <c r="D17" s="20"/>
      <c r="F17" s="20"/>
      <c r="H17" s="20"/>
      <c r="I17" s="2"/>
      <c r="J17" s="27" t="s">
        <v>33</v>
      </c>
      <c r="K17" s="22">
        <f>H1775</f>
        <v>0</v>
      </c>
      <c r="L17" s="23">
        <f t="shared" si="0"/>
        <v>0</v>
      </c>
    </row>
    <row r="18" spans="1:12" ht="14.5" customHeight="1">
      <c r="A18" s="24"/>
      <c r="B18" s="26"/>
      <c r="C18" s="14" t="s">
        <v>34</v>
      </c>
      <c r="D18" s="20"/>
      <c r="F18" s="20"/>
      <c r="H18" s="20"/>
      <c r="I18" s="2"/>
      <c r="J18" s="27" t="s">
        <v>35</v>
      </c>
      <c r="K18" s="22">
        <f>H1780</f>
        <v>0</v>
      </c>
      <c r="L18" s="23">
        <f t="shared" si="0"/>
        <v>0</v>
      </c>
    </row>
    <row r="19" spans="1:12" ht="14.5" customHeight="1">
      <c r="A19" s="24"/>
      <c r="B19" s="18">
        <v>1</v>
      </c>
      <c r="C19" s="19"/>
      <c r="D19" s="20">
        <v>0</v>
      </c>
      <c r="E19" s="21">
        <v>1</v>
      </c>
      <c r="F19" s="20">
        <f>D19*E19</f>
        <v>0</v>
      </c>
      <c r="G19" s="21">
        <v>101</v>
      </c>
      <c r="H19" s="20">
        <f>F19*G19</f>
        <v>0</v>
      </c>
      <c r="I19" s="2"/>
      <c r="J19" s="28" t="s">
        <v>36</v>
      </c>
      <c r="K19" s="74">
        <f>SUM(K4:K18)</f>
        <v>17060085.313449994</v>
      </c>
      <c r="L19" s="75">
        <f>SUM(L4:L18)</f>
        <v>1.0000000000000002</v>
      </c>
    </row>
    <row r="20" spans="1:12" ht="14.5" customHeight="1">
      <c r="A20" s="24"/>
      <c r="B20" s="18">
        <v>2</v>
      </c>
      <c r="C20" s="19"/>
      <c r="D20" s="20">
        <v>0</v>
      </c>
      <c r="E20" s="21">
        <v>1</v>
      </c>
      <c r="F20" s="20">
        <f>D20*E20</f>
        <v>0</v>
      </c>
      <c r="G20" s="21">
        <v>102</v>
      </c>
      <c r="H20" s="20">
        <f>F20*G20</f>
        <v>0</v>
      </c>
      <c r="I20" s="2"/>
      <c r="J20" s="17"/>
      <c r="K20" s="17"/>
      <c r="L20" s="17"/>
    </row>
    <row r="21" spans="1:12" ht="14.5" customHeight="1">
      <c r="A21" s="24"/>
      <c r="B21" s="18"/>
      <c r="C21" s="14" t="s">
        <v>37</v>
      </c>
      <c r="D21" s="20"/>
      <c r="F21" s="20"/>
      <c r="H21" s="25">
        <f>SUM(H19:H20)</f>
        <v>0</v>
      </c>
      <c r="I21" s="2"/>
      <c r="J21" s="17" t="s">
        <v>243</v>
      </c>
      <c r="K21" s="17" t="s">
        <v>244</v>
      </c>
      <c r="L21" s="17"/>
    </row>
    <row r="22" spans="1:12" ht="14.5" customHeight="1">
      <c r="A22" s="24"/>
      <c r="B22" s="26"/>
      <c r="C22" s="14"/>
      <c r="D22" s="20"/>
      <c r="F22" s="20"/>
      <c r="H22" s="20"/>
      <c r="I22" s="2"/>
      <c r="J22" s="61" t="s">
        <v>245</v>
      </c>
      <c r="K22" s="62">
        <v>5.8000000000000003E-2</v>
      </c>
      <c r="L22" s="17"/>
    </row>
    <row r="23" spans="1:12" ht="14.5" customHeight="1">
      <c r="A23" s="24"/>
      <c r="B23" s="26"/>
      <c r="C23" s="14" t="s">
        <v>41</v>
      </c>
      <c r="D23" s="20"/>
      <c r="F23" s="20"/>
      <c r="H23" s="20"/>
      <c r="I23" s="2"/>
      <c r="J23" s="61" t="s">
        <v>246</v>
      </c>
      <c r="K23" s="62">
        <v>5.8000000000000003E-2</v>
      </c>
      <c r="L23" s="17"/>
    </row>
    <row r="24" spans="1:12" ht="14.5" customHeight="1">
      <c r="A24" s="24"/>
      <c r="B24" s="18">
        <v>1</v>
      </c>
      <c r="C24" s="19"/>
      <c r="D24" s="20">
        <v>0</v>
      </c>
      <c r="E24" s="21">
        <v>1</v>
      </c>
      <c r="F24" s="20">
        <f>D24*E24</f>
        <v>0</v>
      </c>
      <c r="G24" s="21">
        <v>101</v>
      </c>
      <c r="H24" s="20">
        <f>F24*G24</f>
        <v>0</v>
      </c>
      <c r="I24" s="2"/>
      <c r="J24" s="17"/>
      <c r="K24" s="63"/>
      <c r="L24" s="17"/>
    </row>
    <row r="25" spans="1:12" ht="14.5" customHeight="1">
      <c r="A25" s="24"/>
      <c r="B25" s="18">
        <v>2</v>
      </c>
      <c r="C25" s="19"/>
      <c r="D25" s="20">
        <v>0</v>
      </c>
      <c r="E25" s="21">
        <v>1</v>
      </c>
      <c r="F25" s="20">
        <f>D25*E25</f>
        <v>0</v>
      </c>
      <c r="G25" s="21">
        <v>102</v>
      </c>
      <c r="H25" s="20">
        <f>F25*G25</f>
        <v>0</v>
      </c>
      <c r="I25" s="2"/>
      <c r="J25" s="64" t="s">
        <v>247</v>
      </c>
      <c r="K25" s="65">
        <v>0.02</v>
      </c>
      <c r="L25" s="17"/>
    </row>
    <row r="26" spans="1:12" ht="14.5" customHeight="1">
      <c r="A26" s="24"/>
      <c r="B26" s="18"/>
      <c r="C26" s="14" t="s">
        <v>59</v>
      </c>
      <c r="D26" s="20"/>
      <c r="F26" s="20"/>
      <c r="H26" s="25">
        <f>SUM(H24:H25)</f>
        <v>0</v>
      </c>
      <c r="I26" s="2"/>
      <c r="J26" s="64" t="s">
        <v>248</v>
      </c>
      <c r="K26" s="65">
        <v>0.03</v>
      </c>
      <c r="L26" s="17"/>
    </row>
    <row r="27" spans="1:12" ht="14.5" customHeight="1">
      <c r="A27" s="24"/>
      <c r="B27" s="26"/>
      <c r="C27" s="14"/>
      <c r="D27" s="20"/>
      <c r="F27" s="20"/>
      <c r="H27" s="20"/>
      <c r="I27" s="2"/>
      <c r="J27" s="17"/>
      <c r="K27" s="63"/>
      <c r="L27" s="17"/>
    </row>
    <row r="28" spans="1:12" ht="14.5" customHeight="1">
      <c r="A28" s="24"/>
      <c r="B28" s="26"/>
      <c r="C28" s="14" t="s">
        <v>60</v>
      </c>
      <c r="D28" s="20"/>
      <c r="F28" s="20"/>
      <c r="H28" s="20"/>
      <c r="I28" s="2"/>
      <c r="J28" s="66" t="s">
        <v>249</v>
      </c>
      <c r="K28" s="67">
        <v>0.02</v>
      </c>
      <c r="L28" s="17"/>
    </row>
    <row r="29" spans="1:12" ht="14.5" customHeight="1">
      <c r="A29" s="24"/>
      <c r="B29" s="18">
        <v>1</v>
      </c>
      <c r="C29" s="19"/>
      <c r="D29" s="20">
        <v>0</v>
      </c>
      <c r="E29" s="21">
        <v>1</v>
      </c>
      <c r="F29" s="20">
        <f>D29*E29</f>
        <v>0</v>
      </c>
      <c r="G29" s="21">
        <v>101</v>
      </c>
      <c r="H29" s="20">
        <f>F29*G29</f>
        <v>0</v>
      </c>
      <c r="I29" s="2"/>
      <c r="J29" s="66" t="s">
        <v>250</v>
      </c>
      <c r="K29" s="67">
        <v>0.03</v>
      </c>
      <c r="L29" s="17"/>
    </row>
    <row r="30" spans="1:12" ht="14.5" customHeight="1">
      <c r="A30" s="24"/>
      <c r="B30" s="18">
        <v>2</v>
      </c>
      <c r="C30" s="19"/>
      <c r="D30" s="20">
        <v>0</v>
      </c>
      <c r="E30" s="21">
        <v>1</v>
      </c>
      <c r="F30" s="20">
        <f>D30*E30</f>
        <v>0</v>
      </c>
      <c r="G30" s="21">
        <v>102</v>
      </c>
      <c r="H30" s="20">
        <f>F30*G30</f>
        <v>0</v>
      </c>
      <c r="I30" s="2"/>
      <c r="J30" s="17"/>
      <c r="K30" s="17"/>
      <c r="L30" s="17"/>
    </row>
    <row r="31" spans="1:12" ht="14.5" customHeight="1">
      <c r="A31" s="24"/>
      <c r="B31" s="18"/>
      <c r="C31" s="14" t="s">
        <v>61</v>
      </c>
      <c r="D31" s="20"/>
      <c r="F31" s="20"/>
      <c r="H31" s="25">
        <f>SUM(H29:H30)</f>
        <v>0</v>
      </c>
      <c r="I31" s="2"/>
      <c r="J31" s="64" t="s">
        <v>251</v>
      </c>
      <c r="K31" s="65">
        <v>2.9000000000000001E-2</v>
      </c>
      <c r="L31" s="17"/>
    </row>
    <row r="32" spans="1:12" ht="14.5" customHeight="1">
      <c r="A32" s="24"/>
      <c r="B32" s="26"/>
      <c r="C32" s="14"/>
      <c r="D32" s="20"/>
      <c r="F32" s="20"/>
      <c r="H32" s="20"/>
      <c r="I32" s="2"/>
      <c r="J32" s="66" t="s">
        <v>252</v>
      </c>
      <c r="K32" s="67">
        <v>2.9000000000000001E-2</v>
      </c>
      <c r="L32" s="17"/>
    </row>
    <row r="33" spans="1:12" ht="14.5" customHeight="1">
      <c r="A33" s="24"/>
      <c r="B33" s="26"/>
      <c r="C33" s="14" t="s">
        <v>62</v>
      </c>
      <c r="D33" s="20"/>
      <c r="F33" s="20"/>
      <c r="H33" s="20"/>
      <c r="I33" s="2"/>
      <c r="J33" s="17"/>
      <c r="K33" s="17"/>
      <c r="L33" s="17"/>
    </row>
    <row r="34" spans="1:12" ht="14.5" customHeight="1">
      <c r="A34" s="24"/>
      <c r="B34" s="18">
        <v>1</v>
      </c>
      <c r="C34" s="19"/>
      <c r="D34" s="20">
        <v>0</v>
      </c>
      <c r="E34" s="21">
        <v>1</v>
      </c>
      <c r="F34" s="20">
        <f>D34*E34</f>
        <v>0</v>
      </c>
      <c r="G34" s="21">
        <v>101</v>
      </c>
      <c r="H34" s="20">
        <f>F34*G34</f>
        <v>0</v>
      </c>
      <c r="I34" s="2"/>
      <c r="J34" s="176" t="s">
        <v>253</v>
      </c>
      <c r="K34" s="176" t="s">
        <v>254</v>
      </c>
      <c r="L34" s="176" t="s">
        <v>805</v>
      </c>
    </row>
    <row r="35" spans="1:12" ht="14.5" customHeight="1">
      <c r="A35" s="24"/>
      <c r="B35" s="18">
        <v>2</v>
      </c>
      <c r="C35" s="19"/>
      <c r="D35" s="20">
        <v>0</v>
      </c>
      <c r="E35" s="21">
        <v>1</v>
      </c>
      <c r="F35" s="20">
        <f>D35*E35</f>
        <v>0</v>
      </c>
      <c r="G35" s="21">
        <v>102</v>
      </c>
      <c r="H35" s="20">
        <f>F35*G35</f>
        <v>0</v>
      </c>
      <c r="I35" s="2"/>
      <c r="J35" s="17" t="s">
        <v>262</v>
      </c>
      <c r="K35" s="94">
        <f>H50+H150+H211</f>
        <v>3106505.9</v>
      </c>
      <c r="L35" s="94">
        <v>3106505.9</v>
      </c>
    </row>
    <row r="36" spans="1:12" ht="14.5" customHeight="1">
      <c r="A36" s="24"/>
      <c r="B36" s="18"/>
      <c r="C36" s="14" t="s">
        <v>74</v>
      </c>
      <c r="D36" s="20"/>
      <c r="F36" s="20"/>
      <c r="H36" s="25">
        <f>SUM(H34:H35)</f>
        <v>0</v>
      </c>
      <c r="I36" s="2"/>
      <c r="J36" s="17" t="s">
        <v>806</v>
      </c>
      <c r="K36" s="171">
        <f>H283+H494+H585</f>
        <v>13453449.413449995</v>
      </c>
      <c r="L36" s="171">
        <v>11268949.413449995</v>
      </c>
    </row>
    <row r="37" spans="1:12" ht="14.5" customHeight="1">
      <c r="A37" s="24"/>
      <c r="B37" s="18"/>
      <c r="C37" s="14"/>
      <c r="D37" s="20"/>
      <c r="F37" s="20"/>
      <c r="H37" s="25"/>
      <c r="I37" s="2"/>
      <c r="J37" s="17" t="s">
        <v>264</v>
      </c>
      <c r="K37" s="171">
        <f>H805+H902</f>
        <v>392406</v>
      </c>
      <c r="L37" s="171">
        <v>392406</v>
      </c>
    </row>
    <row r="38" spans="1:12" ht="14.5" customHeight="1">
      <c r="A38" s="24"/>
      <c r="B38" s="26"/>
      <c r="C38" s="14" t="s">
        <v>75</v>
      </c>
      <c r="D38" s="20"/>
      <c r="F38" s="20"/>
      <c r="H38" s="20"/>
      <c r="I38" s="2"/>
      <c r="J38" s="17" t="s">
        <v>807</v>
      </c>
      <c r="K38" s="94">
        <f>H1269+H1362</f>
        <v>107724</v>
      </c>
      <c r="L38" s="94">
        <f>K38</f>
        <v>107724</v>
      </c>
    </row>
    <row r="39" spans="1:12" ht="14.5" customHeight="1">
      <c r="A39" s="24"/>
      <c r="B39" s="18">
        <v>1</v>
      </c>
      <c r="C39" s="19" t="s">
        <v>76</v>
      </c>
      <c r="D39" s="20">
        <v>4</v>
      </c>
      <c r="E39" s="21">
        <v>1</v>
      </c>
      <c r="F39" s="20">
        <f>D39*E39</f>
        <v>4</v>
      </c>
      <c r="G39" s="21">
        <v>23079</v>
      </c>
      <c r="H39" s="20">
        <f>F39*G39</f>
        <v>92316</v>
      </c>
      <c r="I39" s="2"/>
      <c r="J39" s="17"/>
      <c r="K39" s="171"/>
      <c r="L39" s="171"/>
    </row>
    <row r="40" spans="1:12" ht="14.5" customHeight="1">
      <c r="A40" s="24"/>
      <c r="B40" s="18">
        <v>2</v>
      </c>
      <c r="C40" s="19" t="s">
        <v>267</v>
      </c>
      <c r="D40" s="20">
        <v>1</v>
      </c>
      <c r="E40" s="21">
        <v>1</v>
      </c>
      <c r="F40" s="20">
        <f t="shared" ref="F40:F47" si="1">D40*E40</f>
        <v>1</v>
      </c>
      <c r="G40" s="21">
        <v>23079</v>
      </c>
      <c r="H40" s="20">
        <f t="shared" ref="H40:H47" si="2">F40*G40</f>
        <v>23079</v>
      </c>
      <c r="I40" s="2"/>
      <c r="J40" s="17"/>
      <c r="K40" s="17"/>
      <c r="L40" s="17"/>
    </row>
    <row r="41" spans="1:12" ht="14.5" customHeight="1">
      <c r="A41" s="24"/>
      <c r="B41" s="18">
        <v>3</v>
      </c>
      <c r="C41" s="19" t="s">
        <v>268</v>
      </c>
      <c r="D41" s="20">
        <v>1</v>
      </c>
      <c r="E41" s="21">
        <v>1</v>
      </c>
      <c r="F41" s="20">
        <f t="shared" si="1"/>
        <v>1</v>
      </c>
      <c r="G41" s="21">
        <v>23079</v>
      </c>
      <c r="H41" s="20">
        <f t="shared" si="2"/>
        <v>23079</v>
      </c>
      <c r="I41" s="2"/>
      <c r="J41" s="17"/>
      <c r="K41" s="17"/>
      <c r="L41" s="17"/>
    </row>
    <row r="42" spans="1:12" ht="14.5" customHeight="1">
      <c r="A42" s="24"/>
      <c r="B42" s="18">
        <v>4</v>
      </c>
      <c r="C42" s="19" t="s">
        <v>269</v>
      </c>
      <c r="D42" s="20">
        <v>1</v>
      </c>
      <c r="E42" s="21">
        <v>1</v>
      </c>
      <c r="F42" s="20">
        <f t="shared" si="1"/>
        <v>1</v>
      </c>
      <c r="G42" s="21">
        <v>23079</v>
      </c>
      <c r="H42" s="20">
        <f t="shared" si="2"/>
        <v>23079</v>
      </c>
      <c r="I42" s="2"/>
      <c r="J42" s="17"/>
      <c r="K42" s="17"/>
      <c r="L42" s="17"/>
    </row>
    <row r="43" spans="1:12" ht="14.5" customHeight="1">
      <c r="A43" s="24"/>
      <c r="B43" s="18">
        <v>5</v>
      </c>
      <c r="C43" s="19" t="s">
        <v>272</v>
      </c>
      <c r="D43" s="20">
        <v>1</v>
      </c>
      <c r="E43" s="21">
        <v>1</v>
      </c>
      <c r="F43" s="20">
        <f t="shared" si="1"/>
        <v>1</v>
      </c>
      <c r="G43" s="21">
        <v>23079</v>
      </c>
      <c r="H43" s="20">
        <f t="shared" si="2"/>
        <v>23079</v>
      </c>
      <c r="I43" s="2"/>
      <c r="J43" s="17"/>
      <c r="K43" s="17"/>
      <c r="L43" s="17"/>
    </row>
    <row r="44" spans="1:12" ht="14.5" customHeight="1">
      <c r="A44" s="24"/>
      <c r="B44" s="18">
        <v>6</v>
      </c>
      <c r="C44" s="19" t="s">
        <v>274</v>
      </c>
      <c r="D44" s="20">
        <v>1</v>
      </c>
      <c r="E44" s="21">
        <v>1</v>
      </c>
      <c r="F44" s="20">
        <f t="shared" si="1"/>
        <v>1</v>
      </c>
      <c r="G44" s="21">
        <v>23079</v>
      </c>
      <c r="H44" s="20">
        <f t="shared" si="2"/>
        <v>23079</v>
      </c>
      <c r="I44" s="2"/>
      <c r="J44" s="17"/>
      <c r="K44" s="17"/>
      <c r="L44" s="17"/>
    </row>
    <row r="45" spans="1:12" ht="14.5" customHeight="1">
      <c r="A45" s="24"/>
      <c r="B45" s="18">
        <v>7</v>
      </c>
      <c r="C45" s="19" t="s">
        <v>77</v>
      </c>
      <c r="D45" s="20">
        <v>4</v>
      </c>
      <c r="E45" s="21">
        <v>1</v>
      </c>
      <c r="F45" s="20">
        <f t="shared" si="1"/>
        <v>4</v>
      </c>
      <c r="G45" s="21">
        <v>23079</v>
      </c>
      <c r="H45" s="20">
        <f t="shared" si="2"/>
        <v>92316</v>
      </c>
      <c r="I45" s="2"/>
      <c r="J45" s="17"/>
      <c r="K45" s="17"/>
      <c r="L45" s="17"/>
    </row>
    <row r="46" spans="1:12" ht="14.5" customHeight="1">
      <c r="A46" s="24"/>
      <c r="B46" s="18">
        <v>8</v>
      </c>
      <c r="C46" s="19" t="s">
        <v>276</v>
      </c>
      <c r="D46" s="20">
        <v>0.35</v>
      </c>
      <c r="E46" s="21">
        <v>1</v>
      </c>
      <c r="F46" s="20">
        <f t="shared" si="1"/>
        <v>0.35</v>
      </c>
      <c r="G46" s="21">
        <v>23079</v>
      </c>
      <c r="H46" s="20">
        <f t="shared" si="2"/>
        <v>8077.65</v>
      </c>
      <c r="I46" s="2"/>
      <c r="J46" s="17"/>
      <c r="K46" s="17"/>
      <c r="L46" s="17"/>
    </row>
    <row r="47" spans="1:12" ht="17.5" customHeight="1">
      <c r="A47" s="24"/>
      <c r="B47" s="18"/>
      <c r="C47" s="19"/>
      <c r="D47" s="20">
        <v>0</v>
      </c>
      <c r="E47" s="21">
        <v>1</v>
      </c>
      <c r="F47" s="20">
        <f t="shared" si="1"/>
        <v>0</v>
      </c>
      <c r="G47" s="21">
        <v>0</v>
      </c>
      <c r="H47" s="20">
        <f t="shared" si="2"/>
        <v>0</v>
      </c>
      <c r="I47" s="2"/>
      <c r="J47" s="17"/>
      <c r="K47" s="17"/>
      <c r="L47" s="17"/>
    </row>
    <row r="48" spans="1:12" ht="14.5" customHeight="1">
      <c r="A48" s="24"/>
      <c r="B48" s="18"/>
      <c r="C48" s="14" t="s">
        <v>79</v>
      </c>
      <c r="D48" s="20"/>
      <c r="F48" s="20"/>
      <c r="H48" s="25">
        <f>SUM(H39:H47)</f>
        <v>308104.65000000002</v>
      </c>
      <c r="I48" s="2"/>
      <c r="J48" s="17"/>
      <c r="K48" s="17"/>
      <c r="L48" s="17"/>
    </row>
    <row r="49" spans="1:12" ht="14.5" customHeight="1">
      <c r="A49" s="24"/>
      <c r="B49" s="18"/>
      <c r="C49" s="14"/>
      <c r="D49" s="20"/>
      <c r="F49" s="20"/>
      <c r="H49" s="25"/>
      <c r="I49" s="2"/>
      <c r="J49" s="17"/>
      <c r="K49" s="17"/>
      <c r="L49" s="17"/>
    </row>
    <row r="50" spans="1:12" ht="14.5" customHeight="1">
      <c r="A50" s="24"/>
      <c r="B50" s="18"/>
      <c r="C50" s="14" t="s">
        <v>80</v>
      </c>
      <c r="D50" s="20"/>
      <c r="F50" s="20"/>
      <c r="H50" s="25">
        <f>H6+H11+H16+H21+H26+H31+H36+H48</f>
        <v>308104.65000000002</v>
      </c>
      <c r="I50" s="2"/>
      <c r="J50" s="17"/>
      <c r="K50" s="17"/>
      <c r="L50" s="17"/>
    </row>
    <row r="51" spans="1:12" ht="14.5" customHeight="1">
      <c r="A51" s="24"/>
      <c r="B51" s="26"/>
      <c r="C51" s="14"/>
      <c r="D51" s="20"/>
      <c r="F51" s="20"/>
      <c r="H51" s="20"/>
      <c r="I51" s="2"/>
      <c r="J51" s="17"/>
      <c r="K51" s="17"/>
      <c r="L51" s="17"/>
    </row>
    <row r="52" spans="1:12">
      <c r="A52" s="29"/>
      <c r="B52" s="13" t="s">
        <v>280</v>
      </c>
      <c r="C52" s="14" t="s">
        <v>82</v>
      </c>
      <c r="D52" s="20"/>
      <c r="F52" s="20"/>
      <c r="H52" s="20"/>
      <c r="I52" s="2"/>
      <c r="J52" s="17"/>
      <c r="K52" s="17"/>
      <c r="L52" s="17"/>
    </row>
    <row r="53" spans="1:12">
      <c r="A53" s="29"/>
      <c r="B53" s="18">
        <v>1</v>
      </c>
      <c r="C53" s="19"/>
      <c r="D53" s="20">
        <v>0</v>
      </c>
      <c r="E53" s="21">
        <v>1</v>
      </c>
      <c r="F53" s="20">
        <f>D53*E53</f>
        <v>0</v>
      </c>
      <c r="G53" s="21">
        <v>101</v>
      </c>
      <c r="H53" s="20">
        <f>F53*G53</f>
        <v>0</v>
      </c>
      <c r="I53" s="2"/>
      <c r="J53" s="17"/>
      <c r="K53" s="17"/>
      <c r="L53" s="17"/>
    </row>
    <row r="54" spans="1:12">
      <c r="A54" s="29"/>
      <c r="B54" s="18">
        <v>2</v>
      </c>
      <c r="C54" s="19"/>
      <c r="D54" s="20">
        <v>0</v>
      </c>
      <c r="E54" s="21">
        <v>1</v>
      </c>
      <c r="F54" s="20">
        <f>D54*E54</f>
        <v>0</v>
      </c>
      <c r="G54" s="21">
        <v>102</v>
      </c>
      <c r="H54" s="20">
        <f>F54*G54</f>
        <v>0</v>
      </c>
      <c r="I54" s="2"/>
      <c r="J54" s="17"/>
      <c r="K54" s="17"/>
      <c r="L54" s="17"/>
    </row>
    <row r="55" spans="1:12">
      <c r="A55" s="29"/>
      <c r="B55" s="18"/>
      <c r="C55" s="14" t="s">
        <v>83</v>
      </c>
      <c r="D55" s="20"/>
      <c r="F55" s="20"/>
      <c r="H55" s="25">
        <f>SUM(H53:H54)</f>
        <v>0</v>
      </c>
      <c r="I55" s="2"/>
      <c r="J55" s="17"/>
      <c r="K55" s="17"/>
      <c r="L55" s="17"/>
    </row>
    <row r="56" spans="1:12">
      <c r="A56" s="29"/>
      <c r="B56" s="18"/>
      <c r="C56" s="14"/>
      <c r="D56" s="20"/>
      <c r="F56" s="20"/>
      <c r="H56" s="20"/>
      <c r="I56" s="2"/>
      <c r="J56" s="17"/>
      <c r="K56" s="17"/>
      <c r="L56" s="17"/>
    </row>
    <row r="57" spans="1:12">
      <c r="A57" s="29"/>
      <c r="B57" s="26"/>
      <c r="C57" s="14" t="s">
        <v>84</v>
      </c>
      <c r="D57" s="20"/>
      <c r="F57" s="20"/>
      <c r="H57" s="20"/>
      <c r="I57" s="2"/>
      <c r="J57" s="17"/>
      <c r="K57" s="17"/>
      <c r="L57" s="17"/>
    </row>
    <row r="58" spans="1:12">
      <c r="A58" s="29"/>
      <c r="B58" s="18">
        <v>1</v>
      </c>
      <c r="C58" s="19"/>
      <c r="D58" s="20">
        <v>0</v>
      </c>
      <c r="E58" s="21">
        <v>1</v>
      </c>
      <c r="F58" s="20">
        <f>D58*E58</f>
        <v>0</v>
      </c>
      <c r="G58" s="21">
        <v>101</v>
      </c>
      <c r="H58" s="20">
        <f>F58*G58</f>
        <v>0</v>
      </c>
      <c r="I58" s="2"/>
      <c r="J58" s="17"/>
      <c r="K58" s="17"/>
      <c r="L58" s="17"/>
    </row>
    <row r="59" spans="1:12">
      <c r="A59" s="29"/>
      <c r="B59" s="18">
        <v>2</v>
      </c>
      <c r="C59" s="19"/>
      <c r="D59" s="20">
        <v>0</v>
      </c>
      <c r="E59" s="21">
        <v>1</v>
      </c>
      <c r="F59" s="20">
        <f>D59*E59</f>
        <v>0</v>
      </c>
      <c r="G59" s="21">
        <v>102</v>
      </c>
      <c r="H59" s="20">
        <f>F59*G59</f>
        <v>0</v>
      </c>
      <c r="I59" s="2"/>
      <c r="J59" s="17"/>
      <c r="K59" s="17"/>
      <c r="L59" s="17"/>
    </row>
    <row r="60" spans="1:12">
      <c r="A60" s="29"/>
      <c r="B60" s="18"/>
      <c r="C60" s="14" t="s">
        <v>85</v>
      </c>
      <c r="D60" s="20"/>
      <c r="F60" s="20"/>
      <c r="H60" s="25">
        <f>SUM(H58:H59)</f>
        <v>0</v>
      </c>
      <c r="I60" s="2"/>
      <c r="J60" s="17"/>
      <c r="K60" s="17"/>
      <c r="L60" s="17"/>
    </row>
    <row r="61" spans="1:12">
      <c r="A61" s="29"/>
      <c r="B61" s="18"/>
      <c r="C61" s="14"/>
      <c r="D61" s="20"/>
      <c r="F61" s="20"/>
      <c r="H61" s="20"/>
      <c r="I61" s="2"/>
      <c r="J61" s="17"/>
      <c r="K61" s="17"/>
      <c r="L61" s="17"/>
    </row>
    <row r="62" spans="1:12">
      <c r="A62" s="29"/>
      <c r="B62" s="26"/>
      <c r="C62" s="14" t="s">
        <v>86</v>
      </c>
      <c r="D62" s="20"/>
      <c r="F62" s="20"/>
      <c r="H62" s="20"/>
      <c r="I62" s="2"/>
      <c r="J62" s="17"/>
      <c r="K62" s="17"/>
      <c r="L62" s="17"/>
    </row>
    <row r="63" spans="1:12">
      <c r="A63" s="29"/>
      <c r="B63" s="18">
        <v>1</v>
      </c>
      <c r="C63" s="19"/>
      <c r="D63" s="20">
        <v>0</v>
      </c>
      <c r="E63" s="21">
        <v>1</v>
      </c>
      <c r="F63" s="20">
        <f>D63*E63</f>
        <v>0</v>
      </c>
      <c r="G63" s="21">
        <v>101</v>
      </c>
      <c r="H63" s="20">
        <f>F63*G63</f>
        <v>0</v>
      </c>
      <c r="I63" s="2"/>
      <c r="J63" s="17"/>
      <c r="K63" s="17"/>
      <c r="L63" s="17"/>
    </row>
    <row r="64" spans="1:12">
      <c r="A64" s="29"/>
      <c r="B64" s="18">
        <v>2</v>
      </c>
      <c r="C64" s="19"/>
      <c r="D64" s="20">
        <v>0</v>
      </c>
      <c r="E64" s="21">
        <v>1</v>
      </c>
      <c r="F64" s="20">
        <f>D64*E64</f>
        <v>0</v>
      </c>
      <c r="G64" s="21">
        <v>102</v>
      </c>
      <c r="H64" s="20">
        <f>F64*G64</f>
        <v>0</v>
      </c>
      <c r="I64" s="2"/>
      <c r="J64" s="17"/>
      <c r="K64" s="17"/>
      <c r="L64" s="17"/>
    </row>
    <row r="65" spans="1:12">
      <c r="A65" s="29"/>
      <c r="B65" s="18"/>
      <c r="C65" s="14" t="s">
        <v>87</v>
      </c>
      <c r="D65" s="20"/>
      <c r="F65" s="20"/>
      <c r="H65" s="25">
        <f>SUM(H63:H64)</f>
        <v>0</v>
      </c>
      <c r="I65" s="2"/>
      <c r="J65" s="17"/>
      <c r="K65" s="17"/>
      <c r="L65" s="17"/>
    </row>
    <row r="66" spans="1:12">
      <c r="A66" s="29"/>
      <c r="B66" s="26"/>
      <c r="C66" s="14"/>
      <c r="D66" s="20"/>
      <c r="F66" s="20"/>
      <c r="H66" s="20"/>
      <c r="I66" s="2"/>
      <c r="J66" s="17"/>
      <c r="K66" s="17"/>
      <c r="L66" s="17"/>
    </row>
    <row r="67" spans="1:12">
      <c r="A67" s="29"/>
      <c r="B67" s="26"/>
      <c r="C67" s="14" t="s">
        <v>88</v>
      </c>
      <c r="D67" s="20"/>
      <c r="F67" s="20"/>
      <c r="H67" s="20"/>
      <c r="I67" s="2"/>
      <c r="J67" s="17"/>
      <c r="K67" s="17"/>
      <c r="L67" s="17"/>
    </row>
    <row r="68" spans="1:12">
      <c r="A68" s="29"/>
      <c r="B68" s="18">
        <v>1</v>
      </c>
      <c r="C68" s="19"/>
      <c r="D68" s="20">
        <v>0</v>
      </c>
      <c r="E68" s="21">
        <v>1</v>
      </c>
      <c r="F68" s="20">
        <f>D68*E68</f>
        <v>0</v>
      </c>
      <c r="G68" s="21">
        <v>101</v>
      </c>
      <c r="H68" s="20">
        <f>F68*G68</f>
        <v>0</v>
      </c>
      <c r="I68" s="2"/>
      <c r="J68" s="17"/>
      <c r="K68" s="17"/>
      <c r="L68" s="17"/>
    </row>
    <row r="69" spans="1:12">
      <c r="A69" s="29"/>
      <c r="B69" s="18">
        <v>2</v>
      </c>
      <c r="C69" s="19"/>
      <c r="D69" s="20">
        <v>0</v>
      </c>
      <c r="E69" s="21">
        <v>1</v>
      </c>
      <c r="F69" s="20">
        <f>D69*E69</f>
        <v>0</v>
      </c>
      <c r="G69" s="21">
        <v>102</v>
      </c>
      <c r="H69" s="20">
        <f>F69*G69</f>
        <v>0</v>
      </c>
      <c r="I69" s="2"/>
      <c r="J69" s="17"/>
      <c r="K69" s="17"/>
      <c r="L69" s="17"/>
    </row>
    <row r="70" spans="1:12">
      <c r="A70" s="29"/>
      <c r="B70" s="18"/>
      <c r="C70" s="14" t="s">
        <v>90</v>
      </c>
      <c r="D70" s="20"/>
      <c r="F70" s="20"/>
      <c r="H70" s="25">
        <f>SUM(H68:H69)</f>
        <v>0</v>
      </c>
      <c r="I70" s="2"/>
      <c r="J70" s="17"/>
      <c r="K70" s="17"/>
      <c r="L70" s="17"/>
    </row>
    <row r="71" spans="1:12">
      <c r="A71" s="29"/>
      <c r="B71" s="26"/>
      <c r="C71" s="14"/>
      <c r="D71" s="20"/>
      <c r="F71" s="20"/>
      <c r="H71" s="20"/>
      <c r="I71" s="2"/>
      <c r="J71" s="17"/>
      <c r="K71" s="17"/>
      <c r="L71" s="17"/>
    </row>
    <row r="72" spans="1:12">
      <c r="A72" s="29"/>
      <c r="B72" s="26"/>
      <c r="C72" s="14" t="s">
        <v>91</v>
      </c>
      <c r="D72" s="20"/>
      <c r="F72" s="20"/>
      <c r="H72" s="20"/>
      <c r="I72" s="2"/>
      <c r="J72" s="17"/>
      <c r="K72" s="17"/>
      <c r="L72" s="17"/>
    </row>
    <row r="73" spans="1:12">
      <c r="A73" s="29"/>
      <c r="B73" s="18">
        <v>1</v>
      </c>
      <c r="C73" s="19"/>
      <c r="D73" s="20">
        <v>0</v>
      </c>
      <c r="E73" s="21">
        <v>1</v>
      </c>
      <c r="F73" s="20">
        <f>D73*E73</f>
        <v>0</v>
      </c>
      <c r="G73" s="21">
        <v>101</v>
      </c>
      <c r="H73" s="20">
        <f>F73*G73</f>
        <v>0</v>
      </c>
      <c r="I73" s="2"/>
      <c r="J73" s="17"/>
      <c r="K73" s="17"/>
      <c r="L73" s="17"/>
    </row>
    <row r="74" spans="1:12">
      <c r="A74" s="29"/>
      <c r="B74" s="18">
        <v>2</v>
      </c>
      <c r="C74" s="19"/>
      <c r="D74" s="20">
        <v>0</v>
      </c>
      <c r="E74" s="21">
        <v>1</v>
      </c>
      <c r="F74" s="20">
        <f>D74*E74</f>
        <v>0</v>
      </c>
      <c r="G74" s="21">
        <v>102</v>
      </c>
      <c r="H74" s="20">
        <f>F74*G74</f>
        <v>0</v>
      </c>
      <c r="I74" s="2"/>
      <c r="J74" s="17"/>
      <c r="K74" s="17"/>
      <c r="L74" s="17"/>
    </row>
    <row r="75" spans="1:12">
      <c r="A75" s="29"/>
      <c r="B75" s="18"/>
      <c r="C75" s="14" t="s">
        <v>92</v>
      </c>
      <c r="D75" s="20"/>
      <c r="F75" s="20"/>
      <c r="H75" s="25">
        <f>SUM(H73:H74)</f>
        <v>0</v>
      </c>
      <c r="I75" s="2"/>
      <c r="J75" s="17"/>
      <c r="K75" s="17"/>
      <c r="L75" s="17"/>
    </row>
    <row r="76" spans="1:12">
      <c r="A76" s="29"/>
      <c r="B76" s="26"/>
      <c r="C76" s="14"/>
      <c r="D76" s="20"/>
      <c r="F76" s="20"/>
      <c r="H76" s="20"/>
      <c r="I76" s="2"/>
      <c r="J76" s="17"/>
      <c r="K76" s="17"/>
      <c r="L76" s="17"/>
    </row>
    <row r="77" spans="1:12">
      <c r="A77" s="29"/>
      <c r="B77" s="26"/>
      <c r="C77" s="14" t="s">
        <v>93</v>
      </c>
      <c r="D77" s="20"/>
      <c r="F77" s="20"/>
      <c r="H77" s="20"/>
      <c r="I77" s="2"/>
      <c r="J77" s="17"/>
      <c r="K77" s="17"/>
      <c r="L77" s="17"/>
    </row>
    <row r="78" spans="1:12">
      <c r="A78" s="29"/>
      <c r="B78" s="18">
        <v>1</v>
      </c>
      <c r="C78" s="19" t="s">
        <v>281</v>
      </c>
      <c r="D78" s="20">
        <v>1</v>
      </c>
      <c r="E78" s="21">
        <v>1</v>
      </c>
      <c r="F78" s="20">
        <f>D78*E78</f>
        <v>1</v>
      </c>
      <c r="G78" s="21">
        <v>25000</v>
      </c>
      <c r="H78" s="20">
        <f>F78*G78</f>
        <v>25000</v>
      </c>
      <c r="I78" s="2"/>
      <c r="J78" s="17"/>
      <c r="K78" s="17"/>
      <c r="L78" s="17"/>
    </row>
    <row r="79" spans="1:12">
      <c r="A79" s="29"/>
      <c r="B79" s="18">
        <v>2</v>
      </c>
      <c r="C79" s="19" t="s">
        <v>282</v>
      </c>
      <c r="D79" s="20">
        <v>0</v>
      </c>
      <c r="E79" s="21">
        <v>1</v>
      </c>
      <c r="F79" s="20">
        <f t="shared" ref="F79:F82" si="3">D79*E79</f>
        <v>0</v>
      </c>
      <c r="G79" s="21">
        <v>25000</v>
      </c>
      <c r="H79" s="20">
        <f t="shared" ref="H79:H82" si="4">F79*G79</f>
        <v>0</v>
      </c>
      <c r="I79" s="2"/>
      <c r="J79" s="17"/>
      <c r="K79" s="17"/>
      <c r="L79" s="17"/>
    </row>
    <row r="80" spans="1:12">
      <c r="A80" s="29"/>
      <c r="B80" s="18">
        <v>3</v>
      </c>
      <c r="C80" s="19" t="s">
        <v>283</v>
      </c>
      <c r="D80" s="20">
        <v>1</v>
      </c>
      <c r="E80" s="21">
        <v>1</v>
      </c>
      <c r="F80" s="20">
        <f t="shared" si="3"/>
        <v>1</v>
      </c>
      <c r="G80" s="21">
        <v>50000</v>
      </c>
      <c r="H80" s="20">
        <f t="shared" si="4"/>
        <v>50000</v>
      </c>
      <c r="I80" s="2"/>
      <c r="J80" s="17"/>
      <c r="K80" s="17"/>
      <c r="L80" s="17"/>
    </row>
    <row r="81" spans="1:12">
      <c r="A81" s="29"/>
      <c r="B81" s="18">
        <v>4</v>
      </c>
      <c r="C81" s="19" t="s">
        <v>284</v>
      </c>
      <c r="D81" s="20">
        <v>1</v>
      </c>
      <c r="E81" s="21">
        <v>1</v>
      </c>
      <c r="F81" s="20">
        <f t="shared" si="3"/>
        <v>1</v>
      </c>
      <c r="G81" s="21">
        <v>40000</v>
      </c>
      <c r="H81" s="20">
        <f t="shared" si="4"/>
        <v>40000</v>
      </c>
      <c r="I81" s="2"/>
      <c r="J81" s="17"/>
      <c r="K81" s="17"/>
      <c r="L81" s="17"/>
    </row>
    <row r="82" spans="1:12">
      <c r="A82" s="29"/>
      <c r="B82" s="18">
        <v>5</v>
      </c>
      <c r="C82" s="40" t="s">
        <v>285</v>
      </c>
      <c r="D82" s="68">
        <v>1</v>
      </c>
      <c r="E82" s="69">
        <v>1</v>
      </c>
      <c r="F82" s="68">
        <f t="shared" si="3"/>
        <v>1</v>
      </c>
      <c r="G82" s="69">
        <v>290000</v>
      </c>
      <c r="H82" s="68">
        <f t="shared" si="4"/>
        <v>290000</v>
      </c>
      <c r="I82" s="2"/>
      <c r="J82" s="17"/>
      <c r="K82" s="17"/>
      <c r="L82" s="17"/>
    </row>
    <row r="83" spans="1:12">
      <c r="A83" s="29"/>
      <c r="B83" s="18">
        <v>6</v>
      </c>
      <c r="C83" s="40" t="s">
        <v>286</v>
      </c>
      <c r="D83" s="68">
        <v>1</v>
      </c>
      <c r="E83" s="69">
        <v>1</v>
      </c>
      <c r="F83" s="68">
        <f>D83*E83</f>
        <v>1</v>
      </c>
      <c r="G83" s="69">
        <v>250000</v>
      </c>
      <c r="H83" s="68">
        <f>F83*G83</f>
        <v>250000</v>
      </c>
      <c r="I83" s="2"/>
      <c r="J83" s="17"/>
      <c r="K83" s="17"/>
      <c r="L83" s="17"/>
    </row>
    <row r="84" spans="1:12">
      <c r="A84" s="29"/>
      <c r="B84" s="18">
        <v>7</v>
      </c>
      <c r="C84" s="19"/>
      <c r="D84" s="20">
        <v>0</v>
      </c>
      <c r="E84" s="21">
        <v>1</v>
      </c>
      <c r="F84" s="20">
        <f t="shared" ref="F84" si="5">D84*E84</f>
        <v>0</v>
      </c>
      <c r="G84" s="21">
        <v>107</v>
      </c>
      <c r="H84" s="20">
        <f t="shared" ref="H84" si="6">F84*G84</f>
        <v>0</v>
      </c>
      <c r="I84" s="2"/>
      <c r="J84" s="17"/>
      <c r="K84" s="17"/>
      <c r="L84" s="17"/>
    </row>
    <row r="85" spans="1:12">
      <c r="A85" s="29"/>
      <c r="B85" s="18">
        <v>8</v>
      </c>
      <c r="C85" s="19"/>
      <c r="D85" s="20">
        <v>0</v>
      </c>
      <c r="E85" s="21">
        <v>1</v>
      </c>
      <c r="F85" s="20">
        <f>D85*E85</f>
        <v>0</v>
      </c>
      <c r="G85" s="21">
        <v>102</v>
      </c>
      <c r="H85" s="20">
        <f>F85*G85</f>
        <v>0</v>
      </c>
      <c r="I85" s="2"/>
      <c r="J85" s="17"/>
      <c r="K85" s="17"/>
      <c r="L85" s="17"/>
    </row>
    <row r="86" spans="1:12">
      <c r="A86" s="29"/>
      <c r="B86" s="18"/>
      <c r="C86" s="14" t="s">
        <v>96</v>
      </c>
      <c r="D86" s="20"/>
      <c r="F86" s="20"/>
      <c r="H86" s="25">
        <f>SUM(H78:H85)</f>
        <v>655000</v>
      </c>
      <c r="I86" s="2"/>
      <c r="J86" s="17"/>
      <c r="K86" s="17"/>
      <c r="L86" s="17"/>
    </row>
    <row r="87" spans="1:12">
      <c r="A87" s="29"/>
      <c r="B87" s="26"/>
      <c r="C87" s="14"/>
      <c r="D87" s="20"/>
      <c r="F87" s="20"/>
      <c r="H87" s="20"/>
      <c r="I87" s="2"/>
      <c r="J87" s="17"/>
      <c r="K87" s="17"/>
      <c r="L87" s="17"/>
    </row>
    <row r="88" spans="1:12">
      <c r="A88" s="29"/>
      <c r="B88" s="26"/>
      <c r="C88" s="14" t="s">
        <v>97</v>
      </c>
      <c r="D88" s="20"/>
      <c r="F88" s="20"/>
      <c r="H88" s="20"/>
      <c r="I88" s="2"/>
      <c r="J88" s="17"/>
      <c r="K88" s="17"/>
      <c r="L88" s="17"/>
    </row>
    <row r="89" spans="1:12">
      <c r="A89" s="29"/>
      <c r="B89" s="18">
        <v>1</v>
      </c>
      <c r="C89" s="19" t="s">
        <v>287</v>
      </c>
      <c r="D89" s="20">
        <v>1</v>
      </c>
      <c r="E89" s="21">
        <v>1</v>
      </c>
      <c r="F89" s="20">
        <f>D89*E89</f>
        <v>1</v>
      </c>
      <c r="G89" s="69">
        <v>22076</v>
      </c>
      <c r="H89" s="20">
        <f>F89*G89</f>
        <v>22076</v>
      </c>
      <c r="I89" s="2"/>
      <c r="J89" s="17"/>
      <c r="K89" s="17"/>
      <c r="L89" s="17"/>
    </row>
    <row r="90" spans="1:12">
      <c r="A90" s="29"/>
      <c r="B90" s="18">
        <v>2</v>
      </c>
      <c r="C90" s="19" t="s">
        <v>219</v>
      </c>
      <c r="D90" s="20">
        <v>1</v>
      </c>
      <c r="E90" s="21">
        <v>1</v>
      </c>
      <c r="F90" s="20">
        <f t="shared" ref="F90:F134" si="7">D90*E90</f>
        <v>1</v>
      </c>
      <c r="G90" s="69">
        <v>12507</v>
      </c>
      <c r="H90" s="20">
        <f t="shared" ref="H90:H134" si="8">F90*G90</f>
        <v>12507</v>
      </c>
      <c r="I90" s="2"/>
      <c r="J90" s="17"/>
      <c r="K90" s="17"/>
      <c r="L90" s="17"/>
    </row>
    <row r="91" spans="1:12">
      <c r="A91" s="29"/>
      <c r="B91" s="18">
        <v>3</v>
      </c>
      <c r="C91" s="19" t="s">
        <v>223</v>
      </c>
      <c r="D91" s="20">
        <v>1</v>
      </c>
      <c r="E91" s="21">
        <v>1</v>
      </c>
      <c r="F91" s="20">
        <f t="shared" si="7"/>
        <v>1</v>
      </c>
      <c r="G91" s="69">
        <v>31769</v>
      </c>
      <c r="H91" s="20">
        <f t="shared" si="8"/>
        <v>31769</v>
      </c>
      <c r="I91" s="2"/>
      <c r="J91" s="17"/>
      <c r="K91" s="17"/>
      <c r="L91" s="17"/>
    </row>
    <row r="92" spans="1:12">
      <c r="A92" s="29"/>
      <c r="B92" s="18">
        <v>4</v>
      </c>
      <c r="C92" s="19" t="s">
        <v>288</v>
      </c>
      <c r="D92" s="20">
        <v>1</v>
      </c>
      <c r="E92" s="21">
        <v>1</v>
      </c>
      <c r="F92" s="20">
        <f t="shared" si="7"/>
        <v>1</v>
      </c>
      <c r="G92" s="69">
        <v>11538</v>
      </c>
      <c r="H92" s="20">
        <f t="shared" si="8"/>
        <v>11538</v>
      </c>
      <c r="I92" s="2"/>
      <c r="J92" s="17"/>
      <c r="K92" s="17"/>
      <c r="L92" s="17"/>
    </row>
    <row r="93" spans="1:12">
      <c r="A93" s="29"/>
      <c r="B93" s="18">
        <v>5</v>
      </c>
      <c r="C93" s="19" t="s">
        <v>220</v>
      </c>
      <c r="D93" s="20">
        <v>1</v>
      </c>
      <c r="E93" s="21">
        <v>1</v>
      </c>
      <c r="F93" s="20">
        <f t="shared" si="7"/>
        <v>1</v>
      </c>
      <c r="G93" s="69">
        <v>12507</v>
      </c>
      <c r="H93" s="20">
        <f t="shared" si="8"/>
        <v>12507</v>
      </c>
      <c r="I93" s="2"/>
      <c r="J93" s="17"/>
      <c r="K93" s="17"/>
      <c r="L93" s="17"/>
    </row>
    <row r="94" spans="1:12">
      <c r="A94" s="29"/>
      <c r="B94" s="18">
        <v>6</v>
      </c>
      <c r="C94" s="19" t="s">
        <v>221</v>
      </c>
      <c r="D94" s="20">
        <v>1</v>
      </c>
      <c r="E94" s="21">
        <v>1</v>
      </c>
      <c r="F94" s="20">
        <f t="shared" si="7"/>
        <v>1</v>
      </c>
      <c r="G94" s="69">
        <v>12507</v>
      </c>
      <c r="H94" s="20">
        <f t="shared" si="8"/>
        <v>12507</v>
      </c>
      <c r="I94" s="2"/>
      <c r="J94" s="17"/>
      <c r="K94" s="17"/>
      <c r="L94" s="17"/>
    </row>
    <row r="95" spans="1:12">
      <c r="A95" s="29"/>
      <c r="B95" s="18">
        <v>7</v>
      </c>
      <c r="C95" s="19" t="s">
        <v>289</v>
      </c>
      <c r="D95" s="20">
        <v>1</v>
      </c>
      <c r="E95" s="21">
        <v>1</v>
      </c>
      <c r="F95" s="20">
        <f t="shared" si="7"/>
        <v>1</v>
      </c>
      <c r="G95" s="69">
        <v>12507</v>
      </c>
      <c r="H95" s="20">
        <f t="shared" si="8"/>
        <v>12507</v>
      </c>
      <c r="I95" s="2"/>
      <c r="J95" s="17"/>
      <c r="K95" s="17"/>
      <c r="L95" s="17"/>
    </row>
    <row r="96" spans="1:12">
      <c r="A96" s="29"/>
      <c r="B96" s="18">
        <v>8</v>
      </c>
      <c r="C96" s="19" t="s">
        <v>290</v>
      </c>
      <c r="D96" s="20">
        <v>1</v>
      </c>
      <c r="E96" s="21">
        <v>1</v>
      </c>
      <c r="F96" s="20">
        <f t="shared" si="7"/>
        <v>1</v>
      </c>
      <c r="G96" s="69">
        <v>12507</v>
      </c>
      <c r="H96" s="20">
        <f t="shared" si="8"/>
        <v>12507</v>
      </c>
      <c r="I96" s="2"/>
      <c r="J96" s="17"/>
      <c r="K96" s="17"/>
      <c r="L96" s="17"/>
    </row>
    <row r="97" spans="1:12">
      <c r="A97" s="29"/>
      <c r="B97" s="18">
        <v>9</v>
      </c>
      <c r="C97" s="19" t="s">
        <v>291</v>
      </c>
      <c r="D97" s="20">
        <v>1</v>
      </c>
      <c r="E97" s="21">
        <v>1</v>
      </c>
      <c r="F97" s="20">
        <f t="shared" si="7"/>
        <v>1</v>
      </c>
      <c r="G97" s="69">
        <v>12507</v>
      </c>
      <c r="H97" s="20">
        <f t="shared" si="8"/>
        <v>12507</v>
      </c>
      <c r="I97" s="2"/>
      <c r="J97" s="17"/>
      <c r="K97" s="17"/>
      <c r="L97" s="17"/>
    </row>
    <row r="98" spans="1:12">
      <c r="A98" s="29"/>
      <c r="B98" s="18">
        <v>10</v>
      </c>
      <c r="C98" s="19" t="s">
        <v>292</v>
      </c>
      <c r="D98" s="20">
        <v>1</v>
      </c>
      <c r="E98" s="21">
        <v>1</v>
      </c>
      <c r="F98" s="20">
        <f t="shared" si="7"/>
        <v>1</v>
      </c>
      <c r="G98" s="69">
        <v>12507</v>
      </c>
      <c r="H98" s="20">
        <f t="shared" si="8"/>
        <v>12507</v>
      </c>
      <c r="I98" s="2"/>
      <c r="J98" s="17"/>
      <c r="K98" s="17"/>
      <c r="L98" s="17"/>
    </row>
    <row r="99" spans="1:12">
      <c r="A99" s="29"/>
      <c r="B99" s="18">
        <v>11</v>
      </c>
      <c r="C99" s="19" t="s">
        <v>293</v>
      </c>
      <c r="D99" s="20">
        <v>1</v>
      </c>
      <c r="E99" s="21">
        <v>1</v>
      </c>
      <c r="F99" s="20">
        <f t="shared" si="7"/>
        <v>1</v>
      </c>
      <c r="G99" s="69">
        <v>12507</v>
      </c>
      <c r="H99" s="20">
        <f t="shared" si="8"/>
        <v>12507</v>
      </c>
      <c r="I99" s="2"/>
      <c r="J99" s="17"/>
      <c r="K99" s="17"/>
      <c r="L99" s="17"/>
    </row>
    <row r="100" spans="1:12">
      <c r="A100" s="29"/>
      <c r="B100" s="18">
        <v>12</v>
      </c>
      <c r="C100" s="19" t="s">
        <v>294</v>
      </c>
      <c r="D100" s="20">
        <v>1</v>
      </c>
      <c r="E100" s="21">
        <v>1</v>
      </c>
      <c r="F100" s="20">
        <f t="shared" si="7"/>
        <v>1</v>
      </c>
      <c r="G100" s="69">
        <v>12507</v>
      </c>
      <c r="H100" s="20">
        <f t="shared" si="8"/>
        <v>12507</v>
      </c>
      <c r="I100" s="2"/>
      <c r="J100" s="17"/>
      <c r="K100" s="17"/>
      <c r="L100" s="17"/>
    </row>
    <row r="101" spans="1:12">
      <c r="A101" s="29"/>
      <c r="B101" s="18">
        <v>13</v>
      </c>
      <c r="C101" s="19" t="s">
        <v>295</v>
      </c>
      <c r="D101" s="20">
        <v>1</v>
      </c>
      <c r="E101" s="21">
        <v>1</v>
      </c>
      <c r="F101" s="20">
        <f t="shared" si="7"/>
        <v>1</v>
      </c>
      <c r="G101" s="69">
        <v>12507</v>
      </c>
      <c r="H101" s="20">
        <f t="shared" si="8"/>
        <v>12507</v>
      </c>
      <c r="I101" s="2"/>
      <c r="J101" s="17"/>
      <c r="K101" s="17"/>
      <c r="L101" s="17"/>
    </row>
    <row r="102" spans="1:12">
      <c r="A102" s="29"/>
      <c r="B102" s="18">
        <v>14</v>
      </c>
      <c r="C102" s="19" t="s">
        <v>296</v>
      </c>
      <c r="D102" s="20">
        <v>1</v>
      </c>
      <c r="E102" s="21">
        <v>1</v>
      </c>
      <c r="F102" s="20">
        <f t="shared" si="7"/>
        <v>1</v>
      </c>
      <c r="G102" s="69">
        <v>12507</v>
      </c>
      <c r="H102" s="20">
        <f t="shared" si="8"/>
        <v>12507</v>
      </c>
      <c r="I102" s="2"/>
      <c r="J102" s="17"/>
      <c r="K102" s="17"/>
      <c r="L102" s="17"/>
    </row>
    <row r="103" spans="1:12">
      <c r="A103" s="29"/>
      <c r="B103" s="18">
        <v>15</v>
      </c>
      <c r="C103" s="19" t="s">
        <v>297</v>
      </c>
      <c r="D103" s="20">
        <v>1</v>
      </c>
      <c r="E103" s="21">
        <v>1</v>
      </c>
      <c r="F103" s="20">
        <f t="shared" si="7"/>
        <v>1</v>
      </c>
      <c r="G103" s="69">
        <v>12507</v>
      </c>
      <c r="H103" s="20">
        <f t="shared" si="8"/>
        <v>12507</v>
      </c>
      <c r="I103" s="2"/>
      <c r="J103" s="17"/>
      <c r="K103" s="17"/>
      <c r="L103" s="17"/>
    </row>
    <row r="104" spans="1:12">
      <c r="A104" s="29"/>
      <c r="B104" s="18">
        <v>16</v>
      </c>
      <c r="C104" s="19" t="s">
        <v>298</v>
      </c>
      <c r="D104" s="20">
        <v>1</v>
      </c>
      <c r="E104" s="21">
        <v>1</v>
      </c>
      <c r="F104" s="20">
        <f t="shared" si="7"/>
        <v>1</v>
      </c>
      <c r="G104" s="69">
        <v>12507</v>
      </c>
      <c r="H104" s="20">
        <f t="shared" si="8"/>
        <v>12507</v>
      </c>
      <c r="I104" s="2"/>
      <c r="J104" s="17"/>
      <c r="K104" s="17"/>
      <c r="L104" s="17"/>
    </row>
    <row r="105" spans="1:12">
      <c r="A105" s="29"/>
      <c r="B105" s="18">
        <v>17</v>
      </c>
      <c r="C105" s="19" t="s">
        <v>299</v>
      </c>
      <c r="D105" s="20">
        <v>1</v>
      </c>
      <c r="E105" s="21">
        <v>1</v>
      </c>
      <c r="F105" s="20">
        <f t="shared" si="7"/>
        <v>1</v>
      </c>
      <c r="G105" s="69">
        <v>12507</v>
      </c>
      <c r="H105" s="20">
        <f t="shared" si="8"/>
        <v>12507</v>
      </c>
      <c r="I105" s="2"/>
      <c r="J105" s="17"/>
      <c r="K105" s="17"/>
      <c r="L105" s="17"/>
    </row>
    <row r="106" spans="1:12">
      <c r="A106" s="29"/>
      <c r="B106" s="18">
        <v>18</v>
      </c>
      <c r="C106" s="19" t="s">
        <v>300</v>
      </c>
      <c r="D106" s="20">
        <v>1</v>
      </c>
      <c r="E106" s="21">
        <v>1</v>
      </c>
      <c r="F106" s="20">
        <f t="shared" si="7"/>
        <v>1</v>
      </c>
      <c r="G106" s="69">
        <v>12507</v>
      </c>
      <c r="H106" s="20">
        <f t="shared" si="8"/>
        <v>12507</v>
      </c>
      <c r="I106" s="2"/>
      <c r="J106" s="17"/>
      <c r="K106" s="17"/>
      <c r="L106" s="17"/>
    </row>
    <row r="107" spans="1:12">
      <c r="A107" s="29"/>
      <c r="B107" s="18">
        <v>19</v>
      </c>
      <c r="C107" s="19" t="s">
        <v>301</v>
      </c>
      <c r="D107" s="20">
        <v>1</v>
      </c>
      <c r="E107" s="21">
        <v>1</v>
      </c>
      <c r="F107" s="20">
        <f t="shared" si="7"/>
        <v>1</v>
      </c>
      <c r="G107" s="69">
        <v>12507</v>
      </c>
      <c r="H107" s="20">
        <f t="shared" si="8"/>
        <v>12507</v>
      </c>
      <c r="I107" s="2"/>
      <c r="J107" s="17"/>
      <c r="K107" s="17"/>
      <c r="L107" s="17"/>
    </row>
    <row r="108" spans="1:12">
      <c r="A108" s="29"/>
      <c r="B108" s="18">
        <v>20</v>
      </c>
      <c r="C108" s="19" t="s">
        <v>302</v>
      </c>
      <c r="D108" s="20">
        <v>1</v>
      </c>
      <c r="E108" s="21">
        <v>1</v>
      </c>
      <c r="F108" s="20">
        <f t="shared" si="7"/>
        <v>1</v>
      </c>
      <c r="G108" s="69">
        <v>12507</v>
      </c>
      <c r="H108" s="20">
        <f t="shared" si="8"/>
        <v>12507</v>
      </c>
      <c r="I108" s="2"/>
      <c r="J108" s="17"/>
      <c r="K108" s="17"/>
      <c r="L108" s="17"/>
    </row>
    <row r="109" spans="1:12">
      <c r="A109" s="29"/>
      <c r="B109" s="18">
        <v>21</v>
      </c>
      <c r="C109" s="19" t="s">
        <v>303</v>
      </c>
      <c r="D109" s="20">
        <v>0</v>
      </c>
      <c r="E109" s="21">
        <v>1</v>
      </c>
      <c r="F109" s="20">
        <f t="shared" si="7"/>
        <v>0</v>
      </c>
      <c r="G109" s="69">
        <v>19231</v>
      </c>
      <c r="H109" s="20">
        <f t="shared" si="8"/>
        <v>0</v>
      </c>
      <c r="I109" s="2"/>
      <c r="J109" s="17"/>
      <c r="K109" s="17"/>
      <c r="L109" s="17"/>
    </row>
    <row r="110" spans="1:12">
      <c r="A110" s="29"/>
      <c r="B110" s="18">
        <v>22</v>
      </c>
      <c r="C110" s="19" t="s">
        <v>304</v>
      </c>
      <c r="D110" s="20">
        <v>1</v>
      </c>
      <c r="E110" s="21">
        <v>1</v>
      </c>
      <c r="F110" s="20">
        <f t="shared" si="7"/>
        <v>1</v>
      </c>
      <c r="G110" s="69">
        <v>12507</v>
      </c>
      <c r="H110" s="20">
        <f t="shared" si="8"/>
        <v>12507</v>
      </c>
      <c r="I110" s="2"/>
      <c r="J110" s="17"/>
      <c r="K110" s="17"/>
      <c r="L110" s="17"/>
    </row>
    <row r="111" spans="1:12">
      <c r="A111" s="29"/>
      <c r="B111" s="18">
        <v>23</v>
      </c>
      <c r="C111" s="19" t="s">
        <v>305</v>
      </c>
      <c r="D111" s="20">
        <v>1</v>
      </c>
      <c r="E111" s="21">
        <v>1</v>
      </c>
      <c r="F111" s="20">
        <f t="shared" si="7"/>
        <v>1</v>
      </c>
      <c r="G111" s="69">
        <v>12507</v>
      </c>
      <c r="H111" s="20">
        <f t="shared" si="8"/>
        <v>12507</v>
      </c>
      <c r="I111" s="2"/>
      <c r="J111" s="17"/>
      <c r="K111" s="17"/>
      <c r="L111" s="17"/>
    </row>
    <row r="112" spans="1:12">
      <c r="A112" s="29"/>
      <c r="B112" s="18">
        <v>24</v>
      </c>
      <c r="C112" s="19" t="s">
        <v>306</v>
      </c>
      <c r="D112" s="20">
        <v>1</v>
      </c>
      <c r="E112" s="21">
        <v>1</v>
      </c>
      <c r="F112" s="20">
        <f t="shared" si="7"/>
        <v>1</v>
      </c>
      <c r="G112" s="69">
        <v>12507</v>
      </c>
      <c r="H112" s="20">
        <f t="shared" si="8"/>
        <v>12507</v>
      </c>
      <c r="I112" s="2"/>
      <c r="J112" s="17"/>
      <c r="K112" s="17"/>
      <c r="L112" s="17"/>
    </row>
    <row r="113" spans="1:12">
      <c r="A113" s="29"/>
      <c r="B113" s="18">
        <v>25</v>
      </c>
      <c r="C113" s="19" t="s">
        <v>307</v>
      </c>
      <c r="D113" s="20">
        <v>1</v>
      </c>
      <c r="E113" s="21">
        <v>1</v>
      </c>
      <c r="F113" s="20">
        <f t="shared" si="7"/>
        <v>1</v>
      </c>
      <c r="G113" s="69">
        <v>12507</v>
      </c>
      <c r="H113" s="20">
        <f t="shared" si="8"/>
        <v>12507</v>
      </c>
      <c r="I113" s="2"/>
      <c r="J113" s="17"/>
      <c r="K113" s="17"/>
      <c r="L113" s="17"/>
    </row>
    <row r="114" spans="1:12">
      <c r="A114" s="29"/>
      <c r="B114" s="18">
        <v>26</v>
      </c>
      <c r="C114" s="19" t="s">
        <v>308</v>
      </c>
      <c r="D114" s="20">
        <v>1</v>
      </c>
      <c r="E114" s="21">
        <v>1</v>
      </c>
      <c r="F114" s="20">
        <f t="shared" si="7"/>
        <v>1</v>
      </c>
      <c r="G114" s="69">
        <v>12507</v>
      </c>
      <c r="H114" s="20">
        <f t="shared" si="8"/>
        <v>12507</v>
      </c>
      <c r="I114" s="2"/>
      <c r="J114" s="17"/>
      <c r="K114" s="17"/>
      <c r="L114" s="17"/>
    </row>
    <row r="115" spans="1:12">
      <c r="A115" s="29"/>
      <c r="B115" s="18">
        <v>27</v>
      </c>
      <c r="C115" s="19" t="s">
        <v>309</v>
      </c>
      <c r="D115" s="20">
        <v>1</v>
      </c>
      <c r="E115" s="21">
        <v>1</v>
      </c>
      <c r="F115" s="20">
        <f t="shared" si="7"/>
        <v>1</v>
      </c>
      <c r="G115" s="69">
        <v>53846</v>
      </c>
      <c r="H115" s="20">
        <f t="shared" si="8"/>
        <v>53846</v>
      </c>
      <c r="I115" s="2"/>
      <c r="J115" s="17"/>
      <c r="K115" s="17"/>
      <c r="L115" s="17"/>
    </row>
    <row r="116" spans="1:12">
      <c r="A116" s="29"/>
      <c r="B116" s="18">
        <v>28</v>
      </c>
      <c r="C116" s="19" t="s">
        <v>310</v>
      </c>
      <c r="D116" s="20">
        <v>1</v>
      </c>
      <c r="E116" s="21">
        <v>1</v>
      </c>
      <c r="F116" s="20">
        <f t="shared" si="7"/>
        <v>1</v>
      </c>
      <c r="G116" s="69">
        <v>22076</v>
      </c>
      <c r="H116" s="20">
        <f t="shared" si="8"/>
        <v>22076</v>
      </c>
      <c r="I116" s="2"/>
      <c r="J116" s="17"/>
      <c r="K116" s="17"/>
      <c r="L116" s="17"/>
    </row>
    <row r="117" spans="1:12">
      <c r="A117" s="29"/>
      <c r="B117" s="18">
        <v>29</v>
      </c>
      <c r="C117" s="19" t="s">
        <v>72</v>
      </c>
      <c r="D117" s="20">
        <v>1</v>
      </c>
      <c r="E117" s="21">
        <v>1</v>
      </c>
      <c r="F117" s="20">
        <f t="shared" si="7"/>
        <v>1</v>
      </c>
      <c r="G117" s="69">
        <v>22076</v>
      </c>
      <c r="H117" s="20">
        <f t="shared" si="8"/>
        <v>22076</v>
      </c>
      <c r="I117" s="2"/>
      <c r="J117" s="17"/>
      <c r="K117" s="17"/>
      <c r="L117" s="17"/>
    </row>
    <row r="118" spans="1:12">
      <c r="A118" s="29"/>
      <c r="B118" s="18">
        <v>30</v>
      </c>
      <c r="C118" s="19" t="s">
        <v>311</v>
      </c>
      <c r="D118" s="20">
        <v>1</v>
      </c>
      <c r="E118" s="21">
        <v>1</v>
      </c>
      <c r="F118" s="20">
        <f t="shared" si="7"/>
        <v>1</v>
      </c>
      <c r="G118" s="69">
        <v>12507</v>
      </c>
      <c r="H118" s="20">
        <f t="shared" si="8"/>
        <v>12507</v>
      </c>
      <c r="I118" s="2"/>
      <c r="J118" s="17"/>
      <c r="K118" s="17"/>
      <c r="L118" s="17"/>
    </row>
    <row r="119" spans="1:12">
      <c r="A119" s="29"/>
      <c r="B119" s="18">
        <v>31</v>
      </c>
      <c r="C119" s="19" t="s">
        <v>312</v>
      </c>
      <c r="D119" s="20">
        <v>1</v>
      </c>
      <c r="E119" s="21">
        <v>1</v>
      </c>
      <c r="F119" s="20">
        <f t="shared" si="7"/>
        <v>1</v>
      </c>
      <c r="G119" s="69">
        <v>18461</v>
      </c>
      <c r="H119" s="20">
        <f t="shared" si="8"/>
        <v>18461</v>
      </c>
      <c r="I119" s="2"/>
      <c r="J119" s="17"/>
      <c r="K119" s="17"/>
      <c r="L119" s="17"/>
    </row>
    <row r="120" spans="1:12">
      <c r="A120" s="29"/>
      <c r="B120" s="18">
        <v>32</v>
      </c>
      <c r="C120" s="19" t="s">
        <v>73</v>
      </c>
      <c r="D120" s="20">
        <v>1</v>
      </c>
      <c r="E120" s="21">
        <v>1</v>
      </c>
      <c r="F120" s="20">
        <f t="shared" si="7"/>
        <v>1</v>
      </c>
      <c r="G120" s="69">
        <v>12507</v>
      </c>
      <c r="H120" s="20">
        <f t="shared" si="8"/>
        <v>12507</v>
      </c>
      <c r="I120" s="2"/>
      <c r="J120" s="17"/>
      <c r="K120" s="17"/>
      <c r="L120" s="17"/>
    </row>
    <row r="121" spans="1:12">
      <c r="A121" s="29"/>
      <c r="B121" s="18">
        <v>33</v>
      </c>
      <c r="C121" s="19" t="s">
        <v>71</v>
      </c>
      <c r="D121" s="20">
        <v>1</v>
      </c>
      <c r="E121" s="21">
        <v>1</v>
      </c>
      <c r="F121" s="20">
        <f t="shared" si="7"/>
        <v>1</v>
      </c>
      <c r="G121" s="69">
        <v>22076</v>
      </c>
      <c r="H121" s="20">
        <f t="shared" si="8"/>
        <v>22076</v>
      </c>
      <c r="I121" s="2"/>
      <c r="J121" s="17"/>
      <c r="K121" s="17"/>
      <c r="L121" s="17"/>
    </row>
    <row r="122" spans="1:12">
      <c r="A122" s="29"/>
      <c r="B122" s="18">
        <v>34</v>
      </c>
      <c r="C122" s="19" t="s">
        <v>313</v>
      </c>
      <c r="D122" s="20">
        <v>1</v>
      </c>
      <c r="E122" s="21">
        <v>1</v>
      </c>
      <c r="F122" s="20">
        <f t="shared" si="7"/>
        <v>1</v>
      </c>
      <c r="G122" s="69">
        <v>22076</v>
      </c>
      <c r="H122" s="20">
        <f t="shared" si="8"/>
        <v>22076</v>
      </c>
      <c r="I122" s="2"/>
      <c r="J122" s="17"/>
      <c r="K122" s="17"/>
      <c r="L122" s="17"/>
    </row>
    <row r="123" spans="1:12">
      <c r="A123" s="29"/>
      <c r="B123" s="18">
        <v>35</v>
      </c>
      <c r="C123" s="19" t="s">
        <v>314</v>
      </c>
      <c r="D123" s="20">
        <v>0.3</v>
      </c>
      <c r="E123" s="21">
        <v>1</v>
      </c>
      <c r="F123" s="20">
        <f t="shared" si="7"/>
        <v>0.3</v>
      </c>
      <c r="G123" s="69">
        <v>61538</v>
      </c>
      <c r="H123" s="20">
        <f t="shared" si="8"/>
        <v>18461.399999999998</v>
      </c>
      <c r="I123" s="2"/>
      <c r="J123" s="17"/>
      <c r="K123" s="17"/>
      <c r="L123" s="17"/>
    </row>
    <row r="124" spans="1:12">
      <c r="A124" s="29"/>
      <c r="B124" s="18">
        <v>36</v>
      </c>
      <c r="C124" s="19" t="s">
        <v>315</v>
      </c>
      <c r="D124" s="20">
        <v>0.35</v>
      </c>
      <c r="E124" s="21">
        <v>1</v>
      </c>
      <c r="F124" s="20">
        <f t="shared" si="7"/>
        <v>0.35</v>
      </c>
      <c r="G124" s="69">
        <v>3846</v>
      </c>
      <c r="H124" s="20">
        <f t="shared" si="8"/>
        <v>1346.1</v>
      </c>
      <c r="I124" s="2"/>
      <c r="J124" s="17"/>
      <c r="K124" s="17"/>
      <c r="L124" s="17"/>
    </row>
    <row r="125" spans="1:12">
      <c r="A125" s="29"/>
      <c r="B125" s="18">
        <v>37</v>
      </c>
      <c r="C125" s="19" t="s">
        <v>316</v>
      </c>
      <c r="D125" s="20">
        <v>2</v>
      </c>
      <c r="E125" s="21">
        <v>1</v>
      </c>
      <c r="F125" s="20">
        <f t="shared" si="7"/>
        <v>2</v>
      </c>
      <c r="G125" s="69">
        <v>7692</v>
      </c>
      <c r="H125" s="20">
        <f t="shared" si="8"/>
        <v>15384</v>
      </c>
      <c r="I125" s="2"/>
      <c r="J125" s="17"/>
      <c r="K125" s="17"/>
      <c r="L125" s="17"/>
    </row>
    <row r="126" spans="1:12">
      <c r="A126" s="29"/>
      <c r="B126" s="18">
        <v>38</v>
      </c>
      <c r="C126" s="19" t="s">
        <v>317</v>
      </c>
      <c r="D126" s="20">
        <v>2</v>
      </c>
      <c r="E126" s="21">
        <v>1</v>
      </c>
      <c r="F126" s="20">
        <f t="shared" si="7"/>
        <v>2</v>
      </c>
      <c r="G126" s="69">
        <v>46153</v>
      </c>
      <c r="H126" s="20">
        <f t="shared" si="8"/>
        <v>92306</v>
      </c>
      <c r="I126" s="2"/>
      <c r="J126" s="17"/>
      <c r="K126" s="17"/>
      <c r="L126" s="17"/>
    </row>
    <row r="127" spans="1:12">
      <c r="A127" s="29"/>
      <c r="B127" s="18">
        <v>39</v>
      </c>
      <c r="C127" s="19" t="s">
        <v>318</v>
      </c>
      <c r="D127" s="20">
        <v>0.5</v>
      </c>
      <c r="E127" s="21">
        <v>1</v>
      </c>
      <c r="F127" s="20">
        <f t="shared" si="7"/>
        <v>0.5</v>
      </c>
      <c r="G127" s="69">
        <v>600000</v>
      </c>
      <c r="H127" s="20">
        <f t="shared" si="8"/>
        <v>300000</v>
      </c>
      <c r="I127" s="2"/>
      <c r="J127" s="17"/>
      <c r="K127" s="17"/>
      <c r="L127" s="17"/>
    </row>
    <row r="128" spans="1:12">
      <c r="A128" s="29"/>
      <c r="B128" s="18">
        <v>40</v>
      </c>
      <c r="C128" s="19" t="s">
        <v>319</v>
      </c>
      <c r="D128" s="20">
        <v>0.5</v>
      </c>
      <c r="E128" s="21">
        <v>1</v>
      </c>
      <c r="F128" s="20">
        <f t="shared" si="7"/>
        <v>0.5</v>
      </c>
      <c r="G128" s="69">
        <v>157692</v>
      </c>
      <c r="H128" s="20">
        <f t="shared" si="8"/>
        <v>78846</v>
      </c>
      <c r="I128" s="2"/>
      <c r="J128" s="17"/>
      <c r="K128" s="17"/>
      <c r="L128" s="17"/>
    </row>
    <row r="129" spans="1:12">
      <c r="A129" s="29"/>
      <c r="B129" s="18">
        <v>41</v>
      </c>
      <c r="C129" s="19" t="s">
        <v>320</v>
      </c>
      <c r="D129" s="20">
        <v>0.5</v>
      </c>
      <c r="E129" s="21">
        <v>1</v>
      </c>
      <c r="F129" s="20">
        <f t="shared" si="7"/>
        <v>0.5</v>
      </c>
      <c r="G129" s="69">
        <v>269230</v>
      </c>
      <c r="H129" s="20">
        <f t="shared" si="8"/>
        <v>134615</v>
      </c>
      <c r="I129" s="2"/>
      <c r="J129" s="17"/>
      <c r="K129" s="17"/>
      <c r="L129" s="17"/>
    </row>
    <row r="130" spans="1:12">
      <c r="A130" s="29"/>
      <c r="B130" s="18">
        <v>42</v>
      </c>
      <c r="C130" s="19" t="s">
        <v>321</v>
      </c>
      <c r="D130" s="20">
        <v>0</v>
      </c>
      <c r="E130" s="21">
        <v>1</v>
      </c>
      <c r="F130" s="20">
        <f t="shared" si="7"/>
        <v>0</v>
      </c>
      <c r="G130" s="69">
        <v>192307</v>
      </c>
      <c r="H130" s="20">
        <f t="shared" si="8"/>
        <v>0</v>
      </c>
      <c r="I130" s="2"/>
      <c r="J130" s="17"/>
      <c r="K130" s="17"/>
      <c r="L130" s="17"/>
    </row>
    <row r="131" spans="1:12">
      <c r="A131" s="29"/>
      <c r="B131" s="18">
        <v>43</v>
      </c>
      <c r="C131" s="19" t="s">
        <v>322</v>
      </c>
      <c r="D131" s="20">
        <v>0</v>
      </c>
      <c r="E131" s="21">
        <v>1</v>
      </c>
      <c r="F131" s="20">
        <f t="shared" si="7"/>
        <v>0</v>
      </c>
      <c r="G131" s="69">
        <v>31769</v>
      </c>
      <c r="H131" s="20">
        <f t="shared" si="8"/>
        <v>0</v>
      </c>
      <c r="I131" s="2"/>
      <c r="J131" s="17"/>
      <c r="K131" s="17"/>
      <c r="L131" s="17"/>
    </row>
    <row r="132" spans="1:12">
      <c r="A132" s="29"/>
      <c r="B132" s="18">
        <v>44</v>
      </c>
      <c r="C132" s="19"/>
      <c r="D132" s="20">
        <v>0</v>
      </c>
      <c r="E132" s="21">
        <v>0</v>
      </c>
      <c r="F132" s="20">
        <f t="shared" si="7"/>
        <v>0</v>
      </c>
      <c r="G132" s="21">
        <v>144</v>
      </c>
      <c r="H132" s="20">
        <f t="shared" si="8"/>
        <v>0</v>
      </c>
      <c r="I132" s="2"/>
      <c r="J132" s="17"/>
      <c r="K132" s="17"/>
      <c r="L132" s="17"/>
    </row>
    <row r="133" spans="1:12">
      <c r="A133" s="29"/>
      <c r="B133" s="18">
        <v>45</v>
      </c>
      <c r="C133" s="19"/>
      <c r="D133" s="20">
        <v>0</v>
      </c>
      <c r="E133" s="21">
        <v>0</v>
      </c>
      <c r="F133" s="20">
        <f t="shared" si="7"/>
        <v>0</v>
      </c>
      <c r="G133" s="21">
        <v>145</v>
      </c>
      <c r="H133" s="20">
        <f t="shared" si="8"/>
        <v>0</v>
      </c>
      <c r="I133" s="2"/>
      <c r="J133" s="17"/>
      <c r="K133" s="17"/>
      <c r="L133" s="17"/>
    </row>
    <row r="134" spans="1:12">
      <c r="A134" s="29"/>
      <c r="B134" s="18">
        <v>46</v>
      </c>
      <c r="C134" s="19"/>
      <c r="D134" s="20">
        <v>0</v>
      </c>
      <c r="E134" s="21">
        <v>0</v>
      </c>
      <c r="F134" s="20">
        <f t="shared" si="7"/>
        <v>0</v>
      </c>
      <c r="G134" s="21">
        <v>146</v>
      </c>
      <c r="H134" s="20">
        <f t="shared" si="8"/>
        <v>0</v>
      </c>
      <c r="I134" s="2"/>
      <c r="J134" s="17"/>
      <c r="K134" s="17"/>
      <c r="L134" s="17"/>
    </row>
    <row r="135" spans="1:12">
      <c r="A135" s="29"/>
      <c r="B135" s="18"/>
      <c r="C135" s="14" t="s">
        <v>102</v>
      </c>
      <c r="D135" s="20"/>
      <c r="F135" s="20"/>
      <c r="H135" s="25">
        <f>SUM(H89:H134)</f>
        <v>1167120.5</v>
      </c>
      <c r="I135" s="2"/>
      <c r="J135" s="17"/>
      <c r="K135" s="17"/>
      <c r="L135" s="17"/>
    </row>
    <row r="136" spans="1:12">
      <c r="A136" s="29"/>
      <c r="B136" s="18"/>
      <c r="C136" s="14"/>
      <c r="D136" s="20"/>
      <c r="F136" s="20"/>
      <c r="H136" s="25"/>
      <c r="I136" s="2"/>
      <c r="J136" s="17"/>
      <c r="K136" s="17"/>
      <c r="L136" s="17"/>
    </row>
    <row r="137" spans="1:12">
      <c r="A137" s="29"/>
      <c r="B137" s="26"/>
      <c r="C137" s="14" t="s">
        <v>103</v>
      </c>
      <c r="D137" s="20"/>
      <c r="F137" s="20"/>
      <c r="H137" s="20"/>
      <c r="I137" s="2"/>
      <c r="J137" s="17"/>
      <c r="K137" s="17"/>
      <c r="L137" s="17"/>
    </row>
    <row r="138" spans="1:12">
      <c r="A138" s="29"/>
      <c r="B138" s="18">
        <v>1</v>
      </c>
      <c r="C138" s="40" t="s">
        <v>323</v>
      </c>
      <c r="D138" s="68">
        <v>1</v>
      </c>
      <c r="E138" s="69">
        <v>1</v>
      </c>
      <c r="F138" s="68">
        <f>D138*E138</f>
        <v>1</v>
      </c>
      <c r="G138" s="69">
        <v>40000</v>
      </c>
      <c r="H138" s="68">
        <f>F138*G138</f>
        <v>40000</v>
      </c>
      <c r="I138" s="2"/>
      <c r="J138" s="17"/>
      <c r="K138" s="17"/>
      <c r="L138" s="17"/>
    </row>
    <row r="139" spans="1:12">
      <c r="A139" s="29"/>
      <c r="B139" s="18">
        <v>2</v>
      </c>
      <c r="C139" s="19" t="s">
        <v>324</v>
      </c>
      <c r="D139" s="20">
        <v>0.35</v>
      </c>
      <c r="E139" s="21">
        <v>1</v>
      </c>
      <c r="F139" s="20">
        <f t="shared" ref="F139:F146" si="9">D139*E139</f>
        <v>0.35</v>
      </c>
      <c r="G139" s="21">
        <v>72000</v>
      </c>
      <c r="H139" s="20">
        <f t="shared" ref="H139:H146" si="10">F139*G139</f>
        <v>25200</v>
      </c>
      <c r="I139" s="2"/>
      <c r="J139" s="17"/>
      <c r="K139" s="17"/>
      <c r="L139" s="17"/>
    </row>
    <row r="140" spans="1:12">
      <c r="A140" s="29"/>
      <c r="B140" s="18">
        <v>3</v>
      </c>
      <c r="C140" s="40" t="s">
        <v>325</v>
      </c>
      <c r="D140" s="68">
        <v>1</v>
      </c>
      <c r="E140" s="69">
        <v>1</v>
      </c>
      <c r="F140" s="68">
        <f t="shared" si="9"/>
        <v>1</v>
      </c>
      <c r="G140" s="69">
        <v>12307</v>
      </c>
      <c r="H140" s="68">
        <f t="shared" si="10"/>
        <v>12307</v>
      </c>
      <c r="I140" s="2"/>
      <c r="J140" s="17"/>
      <c r="K140" s="17"/>
      <c r="L140" s="17"/>
    </row>
    <row r="141" spans="1:12">
      <c r="A141" s="29"/>
      <c r="B141" s="18">
        <v>4</v>
      </c>
      <c r="C141" s="19"/>
      <c r="D141" s="20">
        <v>0</v>
      </c>
      <c r="E141" s="21">
        <v>1</v>
      </c>
      <c r="F141" s="20">
        <f t="shared" si="9"/>
        <v>0</v>
      </c>
      <c r="G141" s="21">
        <v>104</v>
      </c>
      <c r="H141" s="20">
        <f t="shared" si="10"/>
        <v>0</v>
      </c>
      <c r="I141" s="2"/>
      <c r="J141" s="17"/>
      <c r="K141" s="17"/>
      <c r="L141" s="17"/>
    </row>
    <row r="142" spans="1:12">
      <c r="A142" s="29"/>
      <c r="B142" s="18">
        <v>5</v>
      </c>
      <c r="C142" s="19"/>
      <c r="D142" s="20">
        <v>0</v>
      </c>
      <c r="E142" s="21">
        <v>1</v>
      </c>
      <c r="F142" s="20">
        <f t="shared" si="9"/>
        <v>0</v>
      </c>
      <c r="G142" s="21">
        <v>105</v>
      </c>
      <c r="H142" s="20">
        <f t="shared" si="10"/>
        <v>0</v>
      </c>
      <c r="I142" s="2"/>
      <c r="J142" s="17"/>
      <c r="K142" s="17"/>
      <c r="L142" s="17"/>
    </row>
    <row r="143" spans="1:12">
      <c r="A143" s="29"/>
      <c r="B143" s="18">
        <v>6</v>
      </c>
      <c r="C143" s="19"/>
      <c r="D143" s="20">
        <v>0</v>
      </c>
      <c r="E143" s="21">
        <v>1</v>
      </c>
      <c r="F143" s="20">
        <f t="shared" si="9"/>
        <v>0</v>
      </c>
      <c r="G143" s="21">
        <v>106</v>
      </c>
      <c r="H143" s="20">
        <f t="shared" si="10"/>
        <v>0</v>
      </c>
      <c r="I143" s="2"/>
      <c r="J143" s="17"/>
      <c r="K143" s="17"/>
      <c r="L143" s="17"/>
    </row>
    <row r="144" spans="1:12">
      <c r="A144" s="29"/>
      <c r="B144" s="18">
        <v>7</v>
      </c>
      <c r="C144" s="19"/>
      <c r="D144" s="20">
        <v>0</v>
      </c>
      <c r="E144" s="21">
        <v>1</v>
      </c>
      <c r="F144" s="20">
        <f t="shared" si="9"/>
        <v>0</v>
      </c>
      <c r="G144" s="21">
        <v>107</v>
      </c>
      <c r="H144" s="20">
        <f t="shared" si="10"/>
        <v>0</v>
      </c>
      <c r="I144" s="2"/>
      <c r="J144" s="17"/>
      <c r="K144" s="17"/>
      <c r="L144" s="17"/>
    </row>
    <row r="145" spans="1:12">
      <c r="A145" s="29"/>
      <c r="B145" s="18">
        <v>8</v>
      </c>
      <c r="C145" s="19"/>
      <c r="D145" s="20">
        <v>0</v>
      </c>
      <c r="E145" s="21">
        <v>1</v>
      </c>
      <c r="F145" s="20">
        <f t="shared" si="9"/>
        <v>0</v>
      </c>
      <c r="G145" s="21">
        <v>108</v>
      </c>
      <c r="H145" s="20">
        <f t="shared" si="10"/>
        <v>0</v>
      </c>
      <c r="I145" s="2"/>
      <c r="J145" s="17"/>
      <c r="K145" s="17"/>
      <c r="L145" s="17"/>
    </row>
    <row r="146" spans="1:12">
      <c r="A146" s="29"/>
      <c r="B146" s="18">
        <v>9</v>
      </c>
      <c r="C146" s="19"/>
      <c r="D146" s="20">
        <v>0</v>
      </c>
      <c r="E146" s="21">
        <v>1</v>
      </c>
      <c r="F146" s="20">
        <f t="shared" si="9"/>
        <v>0</v>
      </c>
      <c r="G146" s="21">
        <v>109</v>
      </c>
      <c r="H146" s="20">
        <f t="shared" si="10"/>
        <v>0</v>
      </c>
      <c r="I146" s="2"/>
      <c r="J146" s="17"/>
      <c r="K146" s="17"/>
      <c r="L146" s="17"/>
    </row>
    <row r="147" spans="1:12">
      <c r="A147" s="29"/>
      <c r="B147" s="18">
        <v>10</v>
      </c>
      <c r="C147" s="19"/>
      <c r="D147" s="20">
        <v>0</v>
      </c>
      <c r="E147" s="21">
        <v>1</v>
      </c>
      <c r="F147" s="20">
        <f>D147*E147</f>
        <v>0</v>
      </c>
      <c r="G147" s="21">
        <v>102</v>
      </c>
      <c r="H147" s="20">
        <f>F147*G147</f>
        <v>0</v>
      </c>
      <c r="I147" s="2"/>
      <c r="J147" s="17"/>
      <c r="K147" s="17"/>
      <c r="L147" s="17"/>
    </row>
    <row r="148" spans="1:12">
      <c r="A148" s="29"/>
      <c r="B148" s="18"/>
      <c r="C148" s="14" t="s">
        <v>110</v>
      </c>
      <c r="D148" s="20"/>
      <c r="F148" s="20"/>
      <c r="H148" s="25">
        <f>SUM(H138:H147)</f>
        <v>77507</v>
      </c>
      <c r="I148" s="2"/>
      <c r="J148" s="17"/>
      <c r="K148" s="17"/>
      <c r="L148" s="17"/>
    </row>
    <row r="149" spans="1:12">
      <c r="A149" s="29"/>
      <c r="B149" s="18"/>
      <c r="C149" s="14"/>
      <c r="D149" s="20"/>
      <c r="F149" s="20"/>
      <c r="H149" s="25"/>
      <c r="I149" s="2"/>
      <c r="J149" s="17"/>
      <c r="K149" s="17"/>
      <c r="L149" s="17"/>
    </row>
    <row r="150" spans="1:12">
      <c r="A150" s="29"/>
      <c r="B150" s="26"/>
      <c r="C150" s="14" t="s">
        <v>111</v>
      </c>
      <c r="D150" s="20"/>
      <c r="F150" s="20"/>
      <c r="H150" s="25">
        <f>H55+H60+H65+H70+H75+H86+H135+H148</f>
        <v>1899627.5</v>
      </c>
      <c r="I150" s="2"/>
      <c r="J150" s="17"/>
      <c r="K150" s="17"/>
      <c r="L150" s="17"/>
    </row>
    <row r="151" spans="1:12">
      <c r="A151" s="29"/>
      <c r="B151" s="26"/>
      <c r="C151" s="14"/>
      <c r="D151" s="20"/>
      <c r="F151" s="20"/>
      <c r="H151" s="20"/>
      <c r="I151" s="2"/>
      <c r="J151" s="17"/>
      <c r="K151" s="17"/>
      <c r="L151" s="17"/>
    </row>
    <row r="152" spans="1:12">
      <c r="A152" s="29"/>
      <c r="B152" s="13" t="s">
        <v>326</v>
      </c>
      <c r="C152" s="14" t="s">
        <v>113</v>
      </c>
      <c r="D152" s="20"/>
      <c r="F152" s="20"/>
      <c r="H152" s="20"/>
      <c r="I152" s="2"/>
      <c r="J152" s="17"/>
      <c r="K152" s="17"/>
      <c r="L152" s="17"/>
    </row>
    <row r="153" spans="1:12">
      <c r="A153" s="29"/>
      <c r="B153" s="18">
        <v>1</v>
      </c>
      <c r="C153" s="19" t="s">
        <v>327</v>
      </c>
      <c r="D153" s="20">
        <v>1</v>
      </c>
      <c r="E153" s="21">
        <f>3*60</f>
        <v>180</v>
      </c>
      <c r="F153" s="20">
        <f>D153*E153</f>
        <v>180</v>
      </c>
      <c r="G153" s="21">
        <v>460.41666666666669</v>
      </c>
      <c r="H153" s="20">
        <f>F153*G153</f>
        <v>82875</v>
      </c>
      <c r="I153" s="2"/>
      <c r="J153" s="17"/>
      <c r="K153" s="17"/>
      <c r="L153" s="17"/>
    </row>
    <row r="154" spans="1:12">
      <c r="A154" s="29"/>
      <c r="B154" s="18">
        <v>2</v>
      </c>
      <c r="C154" s="19" t="s">
        <v>328</v>
      </c>
      <c r="D154" s="20">
        <v>2</v>
      </c>
      <c r="E154" s="21">
        <f t="shared" ref="E154:E173" si="11">3*60</f>
        <v>180</v>
      </c>
      <c r="F154" s="20">
        <f t="shared" ref="F154:F173" si="12">D154*E154</f>
        <v>360</v>
      </c>
      <c r="G154" s="21">
        <v>203.54166666666666</v>
      </c>
      <c r="H154" s="20">
        <f t="shared" ref="H154:H173" si="13">F154*G154</f>
        <v>73275</v>
      </c>
      <c r="I154" s="2"/>
      <c r="J154" s="17"/>
      <c r="K154" s="17"/>
      <c r="L154" s="17"/>
    </row>
    <row r="155" spans="1:12">
      <c r="A155" s="29"/>
      <c r="B155" s="18">
        <v>3</v>
      </c>
      <c r="C155" s="19" t="s">
        <v>329</v>
      </c>
      <c r="D155" s="20">
        <v>1</v>
      </c>
      <c r="E155" s="21">
        <f t="shared" si="11"/>
        <v>180</v>
      </c>
      <c r="F155" s="20">
        <f t="shared" si="12"/>
        <v>180</v>
      </c>
      <c r="G155" s="21">
        <v>75.833333333333329</v>
      </c>
      <c r="H155" s="20">
        <f t="shared" si="13"/>
        <v>13650</v>
      </c>
      <c r="I155" s="2"/>
      <c r="J155" s="17"/>
      <c r="K155" s="17"/>
      <c r="L155" s="17"/>
    </row>
    <row r="156" spans="1:12">
      <c r="A156" s="29"/>
      <c r="B156" s="18">
        <v>4</v>
      </c>
      <c r="C156" s="19" t="s">
        <v>330</v>
      </c>
      <c r="D156" s="20">
        <v>1</v>
      </c>
      <c r="E156" s="21">
        <f t="shared" si="11"/>
        <v>180</v>
      </c>
      <c r="F156" s="20">
        <f t="shared" si="12"/>
        <v>180</v>
      </c>
      <c r="G156" s="21">
        <v>264.47916666666669</v>
      </c>
      <c r="H156" s="20">
        <f t="shared" si="13"/>
        <v>47606.25</v>
      </c>
      <c r="I156" s="2"/>
      <c r="J156" s="17"/>
      <c r="K156" s="17"/>
      <c r="L156" s="17"/>
    </row>
    <row r="157" spans="1:12">
      <c r="A157" s="29"/>
      <c r="B157" s="18">
        <v>5</v>
      </c>
      <c r="C157" s="19" t="s">
        <v>331</v>
      </c>
      <c r="D157" s="20">
        <v>1</v>
      </c>
      <c r="E157" s="21">
        <f t="shared" si="11"/>
        <v>180</v>
      </c>
      <c r="F157" s="20">
        <f t="shared" si="12"/>
        <v>180</v>
      </c>
      <c r="G157" s="21">
        <v>176.77083333333334</v>
      </c>
      <c r="H157" s="20">
        <f t="shared" si="13"/>
        <v>31818.75</v>
      </c>
      <c r="I157" s="2"/>
      <c r="J157" s="17"/>
      <c r="K157" s="17"/>
      <c r="L157" s="17"/>
    </row>
    <row r="158" spans="1:12">
      <c r="A158" s="29"/>
      <c r="B158" s="18">
        <v>6</v>
      </c>
      <c r="C158" s="19" t="s">
        <v>332</v>
      </c>
      <c r="D158" s="20">
        <v>1</v>
      </c>
      <c r="E158" s="21">
        <f t="shared" si="11"/>
        <v>180</v>
      </c>
      <c r="F158" s="20">
        <f t="shared" si="12"/>
        <v>180</v>
      </c>
      <c r="G158" s="21">
        <v>129.79166666666666</v>
      </c>
      <c r="H158" s="20">
        <f t="shared" si="13"/>
        <v>23362.5</v>
      </c>
      <c r="I158" s="2"/>
      <c r="J158" s="17"/>
      <c r="K158" s="17"/>
      <c r="L158" s="17"/>
    </row>
    <row r="159" spans="1:12">
      <c r="A159" s="29"/>
      <c r="B159" s="18">
        <v>7</v>
      </c>
      <c r="C159" s="19" t="s">
        <v>333</v>
      </c>
      <c r="D159" s="20">
        <v>1</v>
      </c>
      <c r="E159" s="21">
        <f t="shared" si="11"/>
        <v>180</v>
      </c>
      <c r="F159" s="20">
        <f t="shared" si="12"/>
        <v>180</v>
      </c>
      <c r="G159" s="21">
        <v>75.833333333333329</v>
      </c>
      <c r="H159" s="20">
        <f t="shared" si="13"/>
        <v>13650</v>
      </c>
      <c r="I159" s="2"/>
      <c r="J159" s="17"/>
      <c r="K159" s="17"/>
      <c r="L159" s="17"/>
    </row>
    <row r="160" spans="1:12">
      <c r="A160" s="29"/>
      <c r="B160" s="18">
        <v>8</v>
      </c>
      <c r="C160" s="19" t="s">
        <v>334</v>
      </c>
      <c r="D160" s="20">
        <v>1</v>
      </c>
      <c r="E160" s="21">
        <f t="shared" si="11"/>
        <v>180</v>
      </c>
      <c r="F160" s="20">
        <f t="shared" si="12"/>
        <v>180</v>
      </c>
      <c r="G160" s="21">
        <v>511.45833333333331</v>
      </c>
      <c r="H160" s="20">
        <f t="shared" si="13"/>
        <v>92062.5</v>
      </c>
      <c r="I160" s="2"/>
      <c r="J160" s="17"/>
      <c r="K160" s="17"/>
      <c r="L160" s="17"/>
    </row>
    <row r="161" spans="1:12">
      <c r="A161" s="29"/>
      <c r="B161" s="18">
        <v>9</v>
      </c>
      <c r="C161" s="19" t="s">
        <v>335</v>
      </c>
      <c r="D161" s="20">
        <v>1</v>
      </c>
      <c r="E161" s="21">
        <f t="shared" si="11"/>
        <v>180</v>
      </c>
      <c r="F161" s="20">
        <f t="shared" si="12"/>
        <v>180</v>
      </c>
      <c r="G161" s="21">
        <v>460.41666666666669</v>
      </c>
      <c r="H161" s="20">
        <f t="shared" si="13"/>
        <v>82875</v>
      </c>
      <c r="I161" s="2"/>
      <c r="J161" s="17"/>
      <c r="K161" s="17"/>
      <c r="L161" s="17"/>
    </row>
    <row r="162" spans="1:12">
      <c r="A162" s="29"/>
      <c r="B162" s="18">
        <v>10</v>
      </c>
      <c r="C162" s="19" t="s">
        <v>336</v>
      </c>
      <c r="D162" s="20">
        <v>1</v>
      </c>
      <c r="E162" s="21">
        <f t="shared" si="11"/>
        <v>180</v>
      </c>
      <c r="F162" s="20">
        <f t="shared" si="12"/>
        <v>180</v>
      </c>
      <c r="G162" s="21">
        <v>460.41666666666669</v>
      </c>
      <c r="H162" s="20">
        <f t="shared" si="13"/>
        <v>82875</v>
      </c>
      <c r="I162" s="2"/>
      <c r="J162" s="17"/>
      <c r="K162" s="17"/>
      <c r="L162" s="17"/>
    </row>
    <row r="163" spans="1:12">
      <c r="A163" s="29"/>
      <c r="B163" s="18">
        <v>11</v>
      </c>
      <c r="C163" s="19" t="s">
        <v>337</v>
      </c>
      <c r="D163" s="20">
        <v>1</v>
      </c>
      <c r="E163" s="21">
        <f t="shared" si="11"/>
        <v>180</v>
      </c>
      <c r="F163" s="20">
        <f t="shared" si="12"/>
        <v>180</v>
      </c>
      <c r="G163" s="21">
        <v>357.39583333333331</v>
      </c>
      <c r="H163" s="20">
        <f t="shared" si="13"/>
        <v>64331.25</v>
      </c>
      <c r="I163" s="2"/>
      <c r="J163" s="17"/>
      <c r="K163" s="17"/>
      <c r="L163" s="17"/>
    </row>
    <row r="164" spans="1:12">
      <c r="A164" s="29"/>
      <c r="B164" s="18">
        <v>12</v>
      </c>
      <c r="C164" s="19" t="s">
        <v>338</v>
      </c>
      <c r="D164" s="20">
        <v>1</v>
      </c>
      <c r="E164" s="21">
        <f t="shared" si="11"/>
        <v>180</v>
      </c>
      <c r="F164" s="20">
        <f t="shared" si="12"/>
        <v>180</v>
      </c>
      <c r="G164" s="21">
        <v>203.54166666666666</v>
      </c>
      <c r="H164" s="20">
        <f t="shared" si="13"/>
        <v>36637.5</v>
      </c>
      <c r="I164" s="2"/>
      <c r="J164" s="17"/>
      <c r="K164" s="17"/>
      <c r="L164" s="17"/>
    </row>
    <row r="165" spans="1:12">
      <c r="A165" s="29"/>
      <c r="B165" s="18">
        <v>13</v>
      </c>
      <c r="C165" s="19" t="s">
        <v>339</v>
      </c>
      <c r="D165" s="20">
        <v>1</v>
      </c>
      <c r="E165" s="21">
        <f t="shared" si="11"/>
        <v>180</v>
      </c>
      <c r="F165" s="20">
        <f t="shared" si="12"/>
        <v>180</v>
      </c>
      <c r="G165" s="21">
        <v>210.41666666666666</v>
      </c>
      <c r="H165" s="20">
        <f t="shared" si="13"/>
        <v>37875</v>
      </c>
      <c r="I165" s="2"/>
      <c r="J165" s="17"/>
      <c r="K165" s="17"/>
      <c r="L165" s="17"/>
    </row>
    <row r="166" spans="1:12">
      <c r="A166" s="29"/>
      <c r="B166" s="18">
        <v>14</v>
      </c>
      <c r="C166" s="19" t="s">
        <v>340</v>
      </c>
      <c r="D166" s="20">
        <v>1</v>
      </c>
      <c r="E166" s="21">
        <f t="shared" si="11"/>
        <v>180</v>
      </c>
      <c r="F166" s="20">
        <f t="shared" si="12"/>
        <v>180</v>
      </c>
      <c r="G166" s="21">
        <v>211.416666666667</v>
      </c>
      <c r="H166" s="20">
        <f t="shared" si="13"/>
        <v>38055.000000000058</v>
      </c>
      <c r="I166" s="2"/>
      <c r="J166" s="17"/>
      <c r="K166" s="17"/>
      <c r="L166" s="17"/>
    </row>
    <row r="167" spans="1:12">
      <c r="A167" s="29"/>
      <c r="B167" s="18">
        <v>15</v>
      </c>
      <c r="C167" s="19" t="s">
        <v>341</v>
      </c>
      <c r="D167" s="20">
        <v>1</v>
      </c>
      <c r="E167" s="21">
        <f t="shared" si="11"/>
        <v>180</v>
      </c>
      <c r="F167" s="20">
        <f t="shared" si="12"/>
        <v>180</v>
      </c>
      <c r="G167" s="21">
        <v>151.14583333333334</v>
      </c>
      <c r="H167" s="20">
        <f t="shared" si="13"/>
        <v>27206.25</v>
      </c>
      <c r="I167" s="2"/>
      <c r="J167" s="17"/>
      <c r="K167" s="17"/>
      <c r="L167" s="17"/>
    </row>
    <row r="168" spans="1:12">
      <c r="A168" s="29"/>
      <c r="B168" s="18">
        <v>16</v>
      </c>
      <c r="C168" s="19" t="s">
        <v>342</v>
      </c>
      <c r="D168" s="20">
        <v>1</v>
      </c>
      <c r="E168" s="21">
        <f t="shared" si="11"/>
        <v>180</v>
      </c>
      <c r="F168" s="20">
        <f t="shared" si="12"/>
        <v>180</v>
      </c>
      <c r="G168" s="21">
        <v>262.39583333333331</v>
      </c>
      <c r="H168" s="20">
        <f t="shared" si="13"/>
        <v>47231.25</v>
      </c>
      <c r="I168" s="2"/>
      <c r="J168" s="17"/>
      <c r="K168" s="17"/>
      <c r="L168" s="17"/>
    </row>
    <row r="169" spans="1:12">
      <c r="A169" s="29"/>
      <c r="B169" s="18">
        <v>17</v>
      </c>
      <c r="C169" s="19" t="s">
        <v>343</v>
      </c>
      <c r="D169" s="20">
        <v>1</v>
      </c>
      <c r="E169" s="21">
        <f t="shared" si="11"/>
        <v>180</v>
      </c>
      <c r="F169" s="20">
        <f t="shared" si="12"/>
        <v>180</v>
      </c>
      <c r="G169" s="21">
        <v>309.89583333333331</v>
      </c>
      <c r="H169" s="20">
        <f t="shared" si="13"/>
        <v>55781.25</v>
      </c>
      <c r="I169" s="2"/>
      <c r="J169" s="17"/>
      <c r="K169" s="17"/>
      <c r="L169" s="17"/>
    </row>
    <row r="170" spans="1:12">
      <c r="A170" s="29"/>
      <c r="B170" s="18">
        <v>18</v>
      </c>
      <c r="C170" s="19" t="s">
        <v>344</v>
      </c>
      <c r="D170" s="20">
        <v>1</v>
      </c>
      <c r="E170" s="21">
        <f t="shared" si="11"/>
        <v>180</v>
      </c>
      <c r="F170" s="20">
        <f t="shared" si="12"/>
        <v>180</v>
      </c>
      <c r="G170" s="21">
        <v>264.47916666666669</v>
      </c>
      <c r="H170" s="20">
        <f t="shared" si="13"/>
        <v>47606.25</v>
      </c>
      <c r="I170" s="2"/>
      <c r="J170" s="17"/>
      <c r="K170" s="17"/>
      <c r="L170" s="17"/>
    </row>
    <row r="171" spans="1:12">
      <c r="A171" s="29"/>
      <c r="B171" s="18">
        <v>19</v>
      </c>
      <c r="C171" s="19"/>
      <c r="D171" s="20">
        <v>0</v>
      </c>
      <c r="E171" s="21">
        <f t="shared" si="11"/>
        <v>180</v>
      </c>
      <c r="F171" s="20">
        <f t="shared" si="12"/>
        <v>0</v>
      </c>
      <c r="G171" s="21">
        <v>216.416666666667</v>
      </c>
      <c r="H171" s="20">
        <f t="shared" si="13"/>
        <v>0</v>
      </c>
      <c r="I171" s="2"/>
      <c r="J171" s="17"/>
      <c r="K171" s="17"/>
      <c r="L171" s="17"/>
    </row>
    <row r="172" spans="1:12">
      <c r="A172" s="29"/>
      <c r="B172" s="18">
        <v>20</v>
      </c>
      <c r="C172" s="19"/>
      <c r="D172" s="20">
        <v>0</v>
      </c>
      <c r="E172" s="21">
        <f t="shared" si="11"/>
        <v>180</v>
      </c>
      <c r="F172" s="20">
        <f t="shared" si="12"/>
        <v>0</v>
      </c>
      <c r="G172" s="21">
        <v>217.416666666667</v>
      </c>
      <c r="H172" s="20">
        <f t="shared" si="13"/>
        <v>0</v>
      </c>
      <c r="I172" s="2"/>
      <c r="J172" s="17"/>
      <c r="K172" s="17"/>
      <c r="L172" s="17"/>
    </row>
    <row r="173" spans="1:12">
      <c r="A173" s="29"/>
      <c r="B173" s="18">
        <v>21</v>
      </c>
      <c r="C173" s="19"/>
      <c r="D173" s="20">
        <v>0</v>
      </c>
      <c r="E173" s="21">
        <f t="shared" si="11"/>
        <v>180</v>
      </c>
      <c r="F173" s="20">
        <f t="shared" si="12"/>
        <v>0</v>
      </c>
      <c r="G173" s="21">
        <v>218.416666666667</v>
      </c>
      <c r="H173" s="20">
        <f t="shared" si="13"/>
        <v>0</v>
      </c>
      <c r="I173" s="2"/>
      <c r="J173" s="17"/>
      <c r="K173" s="17"/>
      <c r="L173" s="17"/>
    </row>
    <row r="174" spans="1:12">
      <c r="A174" s="29"/>
      <c r="B174" s="18"/>
      <c r="C174" s="14" t="s">
        <v>114</v>
      </c>
      <c r="D174" s="20"/>
      <c r="F174" s="20"/>
      <c r="H174" s="25">
        <f>SUM(H153:H173)</f>
        <v>898773.75</v>
      </c>
      <c r="I174" s="2"/>
      <c r="J174" s="17"/>
      <c r="K174" s="17"/>
      <c r="L174" s="17"/>
    </row>
    <row r="175" spans="1:12">
      <c r="A175" s="29"/>
      <c r="B175" s="26"/>
      <c r="C175" s="14"/>
      <c r="D175" s="20"/>
      <c r="F175" s="20"/>
      <c r="H175" s="20"/>
      <c r="I175" s="2"/>
      <c r="J175" s="17"/>
      <c r="K175" s="17"/>
      <c r="L175" s="17"/>
    </row>
    <row r="176" spans="1:12">
      <c r="A176" s="29"/>
      <c r="B176" s="26"/>
      <c r="C176" s="14" t="s">
        <v>115</v>
      </c>
      <c r="D176" s="20"/>
      <c r="F176" s="20"/>
      <c r="H176" s="20"/>
      <c r="I176" s="2"/>
      <c r="J176" s="17"/>
      <c r="K176" s="17"/>
      <c r="L176" s="17"/>
    </row>
    <row r="177" spans="1:12">
      <c r="A177" s="29"/>
      <c r="B177" s="18">
        <v>1</v>
      </c>
      <c r="C177" s="19"/>
      <c r="D177" s="20">
        <v>0</v>
      </c>
      <c r="E177" s="21">
        <v>1</v>
      </c>
      <c r="F177" s="20">
        <f>D177*E177</f>
        <v>0</v>
      </c>
      <c r="G177" s="21">
        <v>101</v>
      </c>
      <c r="H177" s="20">
        <f>F177*G177</f>
        <v>0</v>
      </c>
      <c r="I177" s="2"/>
      <c r="J177" s="17"/>
      <c r="K177" s="17"/>
      <c r="L177" s="17"/>
    </row>
    <row r="178" spans="1:12">
      <c r="A178" s="29"/>
      <c r="B178" s="18">
        <v>2</v>
      </c>
      <c r="C178" s="19"/>
      <c r="D178" s="20">
        <v>0</v>
      </c>
      <c r="E178" s="21">
        <v>1</v>
      </c>
      <c r="F178" s="20">
        <f>D178*E178</f>
        <v>0</v>
      </c>
      <c r="G178" s="21">
        <v>102</v>
      </c>
      <c r="H178" s="20">
        <f>F178*G178</f>
        <v>0</v>
      </c>
      <c r="I178" s="2"/>
      <c r="J178" s="17"/>
      <c r="K178" s="17"/>
      <c r="L178" s="17"/>
    </row>
    <row r="179" spans="1:12">
      <c r="A179" s="29"/>
      <c r="B179" s="18"/>
      <c r="C179" s="14" t="s">
        <v>116</v>
      </c>
      <c r="D179" s="20"/>
      <c r="F179" s="20"/>
      <c r="H179" s="25">
        <f>SUM(H177:H178)</f>
        <v>0</v>
      </c>
      <c r="I179" s="2"/>
      <c r="J179" s="17"/>
      <c r="K179" s="17"/>
      <c r="L179" s="17"/>
    </row>
    <row r="180" spans="1:12">
      <c r="A180" s="29"/>
      <c r="B180" s="26"/>
      <c r="C180" s="14"/>
      <c r="D180" s="20"/>
      <c r="F180" s="20"/>
      <c r="H180" s="20"/>
      <c r="I180" s="2"/>
      <c r="J180" s="17"/>
      <c r="K180" s="17"/>
      <c r="L180" s="17"/>
    </row>
    <row r="181" spans="1:12">
      <c r="A181" s="29"/>
      <c r="B181" s="26"/>
      <c r="C181" s="14" t="s">
        <v>117</v>
      </c>
      <c r="D181" s="20"/>
      <c r="F181" s="20"/>
      <c r="H181" s="20"/>
      <c r="I181" s="2"/>
      <c r="J181" s="17"/>
      <c r="K181" s="17"/>
      <c r="L181" s="17"/>
    </row>
    <row r="182" spans="1:12">
      <c r="A182" s="29"/>
      <c r="B182" s="18">
        <v>1</v>
      </c>
      <c r="C182" s="19"/>
      <c r="D182" s="20">
        <v>0</v>
      </c>
      <c r="E182" s="21">
        <v>1</v>
      </c>
      <c r="F182" s="20">
        <f>D182*E182</f>
        <v>0</v>
      </c>
      <c r="G182" s="21">
        <v>101</v>
      </c>
      <c r="H182" s="20">
        <f>F182*G182</f>
        <v>0</v>
      </c>
      <c r="I182" s="2"/>
      <c r="J182" s="17"/>
      <c r="K182" s="17"/>
      <c r="L182" s="17"/>
    </row>
    <row r="183" spans="1:12">
      <c r="A183" s="29"/>
      <c r="B183" s="18">
        <v>2</v>
      </c>
      <c r="C183" s="19"/>
      <c r="D183" s="20">
        <v>0</v>
      </c>
      <c r="E183" s="21">
        <v>1</v>
      </c>
      <c r="F183" s="20">
        <f>D183*E183</f>
        <v>0</v>
      </c>
      <c r="G183" s="21">
        <v>102</v>
      </c>
      <c r="H183" s="20">
        <f>F183*G183</f>
        <v>0</v>
      </c>
      <c r="I183" s="2"/>
      <c r="J183" s="17"/>
      <c r="K183" s="17"/>
      <c r="L183" s="17"/>
    </row>
    <row r="184" spans="1:12">
      <c r="A184" s="29"/>
      <c r="B184" s="18"/>
      <c r="C184" s="14" t="s">
        <v>118</v>
      </c>
      <c r="D184" s="20"/>
      <c r="F184" s="20"/>
      <c r="H184" s="25">
        <f>SUM(H182:H183)</f>
        <v>0</v>
      </c>
      <c r="I184" s="2"/>
      <c r="J184" s="17"/>
      <c r="K184" s="17"/>
      <c r="L184" s="17"/>
    </row>
    <row r="185" spans="1:12">
      <c r="A185" s="29"/>
      <c r="B185" s="26"/>
      <c r="C185" s="14"/>
      <c r="D185" s="20"/>
      <c r="F185" s="20"/>
      <c r="H185" s="20"/>
      <c r="I185" s="2"/>
      <c r="J185" s="17"/>
      <c r="K185" s="17"/>
      <c r="L185" s="17"/>
    </row>
    <row r="186" spans="1:12">
      <c r="A186" s="29"/>
      <c r="B186" s="26"/>
      <c r="C186" s="14" t="s">
        <v>119</v>
      </c>
      <c r="D186" s="20"/>
      <c r="F186" s="20"/>
      <c r="H186" s="20"/>
      <c r="I186" s="2"/>
      <c r="J186" s="17"/>
      <c r="K186" s="17"/>
      <c r="L186" s="17"/>
    </row>
    <row r="187" spans="1:12">
      <c r="A187" s="29"/>
      <c r="B187" s="18">
        <v>1</v>
      </c>
      <c r="C187" s="19"/>
      <c r="D187" s="20">
        <v>0</v>
      </c>
      <c r="E187" s="21">
        <v>1</v>
      </c>
      <c r="F187" s="20">
        <f>D187*E187</f>
        <v>0</v>
      </c>
      <c r="G187" s="21">
        <v>101</v>
      </c>
      <c r="H187" s="20">
        <f>F187*G187</f>
        <v>0</v>
      </c>
      <c r="I187" s="2"/>
      <c r="J187" s="17"/>
      <c r="K187" s="17"/>
      <c r="L187" s="17"/>
    </row>
    <row r="188" spans="1:12">
      <c r="A188" s="29"/>
      <c r="B188" s="18">
        <v>2</v>
      </c>
      <c r="C188" s="19"/>
      <c r="D188" s="20">
        <v>0</v>
      </c>
      <c r="E188" s="21">
        <v>1</v>
      </c>
      <c r="F188" s="20">
        <f>D188*E188</f>
        <v>0</v>
      </c>
      <c r="G188" s="21">
        <v>102</v>
      </c>
      <c r="H188" s="20">
        <f>F188*G188</f>
        <v>0</v>
      </c>
      <c r="I188" s="2"/>
      <c r="J188" s="17"/>
      <c r="K188" s="17"/>
      <c r="L188" s="17"/>
    </row>
    <row r="189" spans="1:12">
      <c r="A189" s="29"/>
      <c r="B189" s="18"/>
      <c r="C189" s="14" t="s">
        <v>120</v>
      </c>
      <c r="D189" s="20"/>
      <c r="F189" s="20"/>
      <c r="H189" s="25">
        <f>SUM(H187:H188)</f>
        <v>0</v>
      </c>
      <c r="I189" s="2"/>
      <c r="J189" s="17"/>
      <c r="K189" s="17"/>
      <c r="L189" s="17"/>
    </row>
    <row r="190" spans="1:12">
      <c r="A190" s="29"/>
      <c r="B190" s="26"/>
      <c r="C190" s="14"/>
      <c r="D190" s="20"/>
      <c r="F190" s="20"/>
      <c r="H190" s="20"/>
      <c r="I190" s="2"/>
      <c r="J190" s="17"/>
      <c r="K190" s="17"/>
      <c r="L190" s="17"/>
    </row>
    <row r="191" spans="1:12">
      <c r="A191" s="29"/>
      <c r="B191" s="26"/>
      <c r="C191" s="14" t="s">
        <v>121</v>
      </c>
      <c r="D191" s="20"/>
      <c r="F191" s="20"/>
      <c r="H191" s="20"/>
      <c r="I191" s="2"/>
      <c r="J191" s="17"/>
      <c r="K191" s="17"/>
      <c r="L191" s="17"/>
    </row>
    <row r="192" spans="1:12">
      <c r="A192" s="29"/>
      <c r="B192" s="18">
        <v>1</v>
      </c>
      <c r="C192" s="19"/>
      <c r="D192" s="20">
        <v>0</v>
      </c>
      <c r="E192" s="21">
        <v>1</v>
      </c>
      <c r="F192" s="20">
        <f>D192*E192</f>
        <v>0</v>
      </c>
      <c r="G192" s="21">
        <v>101</v>
      </c>
      <c r="H192" s="20">
        <f>F192*G192</f>
        <v>0</v>
      </c>
      <c r="I192" s="2"/>
      <c r="J192" s="17"/>
      <c r="K192" s="17"/>
      <c r="L192" s="17"/>
    </row>
    <row r="193" spans="1:12">
      <c r="A193" s="29"/>
      <c r="B193" s="18">
        <v>2</v>
      </c>
      <c r="C193" s="19"/>
      <c r="D193" s="20">
        <v>0</v>
      </c>
      <c r="E193" s="21">
        <v>1</v>
      </c>
      <c r="F193" s="20">
        <f>D193*E193</f>
        <v>0</v>
      </c>
      <c r="G193" s="21">
        <v>102</v>
      </c>
      <c r="H193" s="20">
        <f>F193*G193</f>
        <v>0</v>
      </c>
      <c r="I193" s="2"/>
      <c r="J193" s="17"/>
      <c r="K193" s="17"/>
      <c r="L193" s="17"/>
    </row>
    <row r="194" spans="1:12">
      <c r="A194" s="29"/>
      <c r="B194" s="18"/>
      <c r="C194" s="14" t="s">
        <v>122</v>
      </c>
      <c r="D194" s="20"/>
      <c r="F194" s="20"/>
      <c r="H194" s="25">
        <f>SUM(H192:H193)</f>
        <v>0</v>
      </c>
      <c r="I194" s="2"/>
      <c r="J194" s="17"/>
      <c r="K194" s="17"/>
      <c r="L194" s="17"/>
    </row>
    <row r="195" spans="1:12">
      <c r="A195" s="29"/>
      <c r="B195" s="26"/>
      <c r="C195" s="14"/>
      <c r="D195" s="20"/>
      <c r="F195" s="20"/>
      <c r="H195" s="20"/>
      <c r="I195" s="2"/>
      <c r="J195" s="17"/>
      <c r="K195" s="17"/>
      <c r="L195" s="17"/>
    </row>
    <row r="196" spans="1:12">
      <c r="A196" s="29"/>
      <c r="B196" s="26"/>
      <c r="C196" s="14" t="s">
        <v>123</v>
      </c>
      <c r="D196" s="20"/>
      <c r="F196" s="20"/>
      <c r="H196" s="20"/>
      <c r="I196" s="2"/>
      <c r="J196" s="17"/>
      <c r="K196" s="17"/>
      <c r="L196" s="17"/>
    </row>
    <row r="197" spans="1:12">
      <c r="A197" s="29"/>
      <c r="B197" s="18">
        <v>1</v>
      </c>
      <c r="C197" s="19"/>
      <c r="D197" s="20">
        <v>0</v>
      </c>
      <c r="E197" s="21">
        <v>1</v>
      </c>
      <c r="F197" s="20">
        <f>D197*E197</f>
        <v>0</v>
      </c>
      <c r="G197" s="21">
        <v>101</v>
      </c>
      <c r="H197" s="20">
        <f>F197*G197</f>
        <v>0</v>
      </c>
      <c r="I197" s="2"/>
      <c r="J197" s="17"/>
      <c r="K197" s="17"/>
      <c r="L197" s="17"/>
    </row>
    <row r="198" spans="1:12">
      <c r="A198" s="29"/>
      <c r="B198" s="18">
        <v>2</v>
      </c>
      <c r="C198" s="19"/>
      <c r="D198" s="20">
        <v>0</v>
      </c>
      <c r="E198" s="21">
        <v>1</v>
      </c>
      <c r="F198" s="20">
        <f>D198*E198</f>
        <v>0</v>
      </c>
      <c r="G198" s="21">
        <v>102</v>
      </c>
      <c r="H198" s="20">
        <f>F198*G198</f>
        <v>0</v>
      </c>
      <c r="I198" s="2"/>
      <c r="J198" s="17"/>
      <c r="K198" s="17"/>
      <c r="L198" s="17"/>
    </row>
    <row r="199" spans="1:12">
      <c r="A199" s="29"/>
      <c r="B199" s="18"/>
      <c r="C199" s="14" t="s">
        <v>124</v>
      </c>
      <c r="D199" s="20"/>
      <c r="F199" s="20"/>
      <c r="H199" s="25">
        <f>SUM(H197:H198)</f>
        <v>0</v>
      </c>
      <c r="I199" s="2"/>
      <c r="J199" s="17"/>
      <c r="K199" s="17"/>
      <c r="L199" s="17"/>
    </row>
    <row r="200" spans="1:12">
      <c r="A200" s="29"/>
      <c r="B200" s="26"/>
      <c r="C200" s="14"/>
      <c r="D200" s="20"/>
      <c r="F200" s="20"/>
      <c r="H200" s="20"/>
      <c r="I200" s="2"/>
      <c r="J200" s="17"/>
      <c r="K200" s="17"/>
      <c r="L200" s="17"/>
    </row>
    <row r="201" spans="1:12">
      <c r="A201" s="29"/>
      <c r="B201" s="26"/>
      <c r="C201" s="14" t="s">
        <v>125</v>
      </c>
      <c r="D201" s="20"/>
      <c r="F201" s="20"/>
      <c r="H201" s="20"/>
      <c r="I201" s="2"/>
      <c r="J201" s="17"/>
      <c r="K201" s="17"/>
      <c r="L201" s="17"/>
    </row>
    <row r="202" spans="1:12">
      <c r="A202" s="29"/>
      <c r="B202" s="18">
        <v>1</v>
      </c>
      <c r="C202" s="19"/>
      <c r="D202" s="20">
        <v>0</v>
      </c>
      <c r="E202" s="21">
        <v>1</v>
      </c>
      <c r="F202" s="20">
        <f>D202*E202</f>
        <v>0</v>
      </c>
      <c r="G202" s="21">
        <v>101</v>
      </c>
      <c r="H202" s="20">
        <f>F202*G202</f>
        <v>0</v>
      </c>
      <c r="I202" s="2"/>
      <c r="J202" s="17"/>
      <c r="K202" s="17"/>
      <c r="L202" s="17"/>
    </row>
    <row r="203" spans="1:12">
      <c r="A203" s="29"/>
      <c r="B203" s="18">
        <v>2</v>
      </c>
      <c r="C203" s="19"/>
      <c r="D203" s="20">
        <v>0</v>
      </c>
      <c r="E203" s="21">
        <v>1</v>
      </c>
      <c r="F203" s="20">
        <f>D203*E203</f>
        <v>0</v>
      </c>
      <c r="G203" s="21">
        <v>102</v>
      </c>
      <c r="H203" s="20">
        <f>F203*G203</f>
        <v>0</v>
      </c>
      <c r="I203" s="2"/>
      <c r="J203" s="17"/>
      <c r="K203" s="17"/>
      <c r="L203" s="17"/>
    </row>
    <row r="204" spans="1:12">
      <c r="A204" s="29"/>
      <c r="B204" s="18"/>
      <c r="C204" s="14" t="s">
        <v>126</v>
      </c>
      <c r="D204" s="20"/>
      <c r="F204" s="20"/>
      <c r="H204" s="25">
        <f>SUM(H202:H203)</f>
        <v>0</v>
      </c>
      <c r="I204" s="2"/>
      <c r="J204" s="17"/>
      <c r="K204" s="17"/>
      <c r="L204" s="17"/>
    </row>
    <row r="205" spans="1:12">
      <c r="A205" s="29"/>
      <c r="B205" s="18"/>
      <c r="C205" s="14"/>
      <c r="D205" s="20"/>
      <c r="F205" s="20"/>
      <c r="H205" s="25"/>
      <c r="I205" s="2"/>
      <c r="J205" s="17"/>
      <c r="K205" s="17"/>
      <c r="L205" s="17"/>
    </row>
    <row r="206" spans="1:12">
      <c r="A206" s="29"/>
      <c r="B206" s="26"/>
      <c r="C206" s="14" t="s">
        <v>127</v>
      </c>
      <c r="D206" s="20"/>
      <c r="F206" s="20"/>
      <c r="H206" s="20"/>
      <c r="I206" s="2"/>
      <c r="J206" s="17"/>
      <c r="K206" s="17"/>
      <c r="L206" s="17"/>
    </row>
    <row r="207" spans="1:12">
      <c r="A207" s="29"/>
      <c r="B207" s="18">
        <v>1</v>
      </c>
      <c r="C207" s="19"/>
      <c r="D207" s="20">
        <v>0</v>
      </c>
      <c r="E207" s="21">
        <v>1</v>
      </c>
      <c r="F207" s="20">
        <f>D207*E207</f>
        <v>0</v>
      </c>
      <c r="G207" s="21">
        <v>101</v>
      </c>
      <c r="H207" s="20">
        <f>F207*G207</f>
        <v>0</v>
      </c>
      <c r="I207" s="2"/>
      <c r="J207" s="17"/>
      <c r="K207" s="17"/>
      <c r="L207" s="17"/>
    </row>
    <row r="208" spans="1:12">
      <c r="A208" s="29"/>
      <c r="B208" s="18">
        <v>2</v>
      </c>
      <c r="C208" s="19"/>
      <c r="D208" s="20">
        <v>0</v>
      </c>
      <c r="E208" s="21">
        <v>1</v>
      </c>
      <c r="F208" s="20">
        <f>D208*E208</f>
        <v>0</v>
      </c>
      <c r="G208" s="21">
        <v>102</v>
      </c>
      <c r="H208" s="20">
        <f>F208*G208</f>
        <v>0</v>
      </c>
      <c r="I208" s="2"/>
      <c r="J208" s="17"/>
      <c r="K208" s="17"/>
      <c r="L208" s="17"/>
    </row>
    <row r="209" spans="1:12">
      <c r="A209" s="29"/>
      <c r="B209" s="18"/>
      <c r="C209" s="14" t="s">
        <v>128</v>
      </c>
      <c r="D209" s="20"/>
      <c r="F209" s="20"/>
      <c r="H209" s="25">
        <f>SUM(H207:H208)</f>
        <v>0</v>
      </c>
      <c r="I209" s="2"/>
      <c r="J209" s="17"/>
      <c r="K209" s="17"/>
      <c r="L209" s="17"/>
    </row>
    <row r="210" spans="1:12">
      <c r="A210" s="29"/>
      <c r="B210" s="18"/>
      <c r="C210" s="14"/>
      <c r="D210" s="20"/>
      <c r="F210" s="20"/>
      <c r="H210" s="25"/>
      <c r="I210" s="2"/>
      <c r="J210" s="17"/>
      <c r="K210" s="17"/>
      <c r="L210" s="17"/>
    </row>
    <row r="211" spans="1:12">
      <c r="A211" s="29"/>
      <c r="B211" s="26"/>
      <c r="C211" s="14" t="s">
        <v>129</v>
      </c>
      <c r="D211" s="20"/>
      <c r="F211" s="20"/>
      <c r="H211" s="25">
        <f>H174+H179+H184+H189+H194+H199+H204+H209</f>
        <v>898773.75</v>
      </c>
      <c r="I211" s="2"/>
      <c r="J211" s="17"/>
      <c r="K211" s="17"/>
      <c r="L211" s="17"/>
    </row>
    <row r="212" spans="1:12">
      <c r="A212" s="29"/>
      <c r="B212" s="26"/>
      <c r="C212" s="14"/>
      <c r="D212" s="20"/>
      <c r="F212" s="20"/>
      <c r="H212" s="20"/>
      <c r="I212" s="2"/>
      <c r="J212" s="17"/>
      <c r="K212" s="17"/>
      <c r="L212" s="17"/>
    </row>
    <row r="213" spans="1:12" s="2" customFormat="1">
      <c r="A213" s="32"/>
      <c r="B213" s="33"/>
      <c r="C213" s="14"/>
      <c r="D213" s="20"/>
      <c r="E213" s="21"/>
      <c r="F213" s="20"/>
      <c r="G213" s="21"/>
      <c r="H213" s="20"/>
      <c r="J213" s="17"/>
      <c r="K213" s="17"/>
      <c r="L213" s="17"/>
    </row>
    <row r="214" spans="1:12" ht="17.5" customHeight="1">
      <c r="A214" s="182" t="s">
        <v>345</v>
      </c>
      <c r="B214" s="35" t="s">
        <v>346</v>
      </c>
      <c r="C214" s="14" t="s">
        <v>131</v>
      </c>
      <c r="D214" s="20"/>
      <c r="F214" s="20"/>
      <c r="H214" s="20"/>
      <c r="I214" s="2"/>
      <c r="J214" s="17"/>
      <c r="K214" s="17"/>
      <c r="L214" s="17"/>
    </row>
    <row r="215" spans="1:12" ht="17.5" customHeight="1">
      <c r="A215" s="182"/>
      <c r="B215" s="36">
        <v>1</v>
      </c>
      <c r="C215" s="19"/>
      <c r="D215" s="20">
        <v>0</v>
      </c>
      <c r="E215" s="21">
        <v>1</v>
      </c>
      <c r="F215" s="20">
        <f>D215*E215</f>
        <v>0</v>
      </c>
      <c r="G215" s="21">
        <v>101</v>
      </c>
      <c r="H215" s="20">
        <f>F215*G215</f>
        <v>0</v>
      </c>
      <c r="I215" s="2"/>
      <c r="J215" s="17"/>
      <c r="K215" s="17"/>
      <c r="L215" s="17"/>
    </row>
    <row r="216" spans="1:12">
      <c r="A216" s="34"/>
      <c r="B216" s="36">
        <v>2</v>
      </c>
      <c r="C216" s="19"/>
      <c r="D216" s="20">
        <v>0</v>
      </c>
      <c r="E216" s="21">
        <v>1</v>
      </c>
      <c r="F216" s="20">
        <f>D216*E216</f>
        <v>0</v>
      </c>
      <c r="G216" s="21">
        <v>102</v>
      </c>
      <c r="H216" s="20">
        <f>F216*G216</f>
        <v>0</v>
      </c>
      <c r="I216" s="2"/>
      <c r="J216" s="17"/>
      <c r="K216" s="17"/>
      <c r="L216" s="17"/>
    </row>
    <row r="217" spans="1:12">
      <c r="A217" s="34"/>
      <c r="B217" s="36"/>
      <c r="C217" s="14" t="s">
        <v>132</v>
      </c>
      <c r="D217" s="20"/>
      <c r="F217" s="20"/>
      <c r="H217" s="25">
        <f>SUM(H215:H216)</f>
        <v>0</v>
      </c>
      <c r="I217" s="2"/>
      <c r="J217" s="17"/>
      <c r="K217" s="17"/>
      <c r="L217" s="17"/>
    </row>
    <row r="218" spans="1:12">
      <c r="A218" s="34"/>
      <c r="B218" s="35"/>
      <c r="C218" s="14"/>
      <c r="D218" s="20"/>
      <c r="F218" s="20"/>
      <c r="H218" s="20"/>
      <c r="I218" s="2"/>
      <c r="J218" s="17"/>
      <c r="K218" s="17"/>
      <c r="L218" s="17"/>
    </row>
    <row r="219" spans="1:12">
      <c r="A219" s="37"/>
      <c r="B219" s="38"/>
      <c r="C219" s="14" t="s">
        <v>133</v>
      </c>
      <c r="D219" s="20"/>
      <c r="F219" s="20"/>
      <c r="H219" s="20"/>
      <c r="I219" s="2"/>
      <c r="J219" s="17"/>
      <c r="K219" s="17"/>
      <c r="L219" s="17"/>
    </row>
    <row r="220" spans="1:12">
      <c r="A220" s="37"/>
      <c r="B220" s="36">
        <v>1</v>
      </c>
      <c r="C220" s="19"/>
      <c r="D220" s="20">
        <v>0</v>
      </c>
      <c r="E220" s="21">
        <v>1</v>
      </c>
      <c r="F220" s="20">
        <f>D220*E220</f>
        <v>0</v>
      </c>
      <c r="G220" s="21">
        <v>101</v>
      </c>
      <c r="H220" s="20">
        <f>F220*G220</f>
        <v>0</v>
      </c>
      <c r="I220" s="2"/>
      <c r="J220" s="17"/>
      <c r="K220" s="17"/>
      <c r="L220" s="17"/>
    </row>
    <row r="221" spans="1:12">
      <c r="A221" s="37"/>
      <c r="B221" s="36">
        <v>2</v>
      </c>
      <c r="C221" s="19"/>
      <c r="D221" s="20">
        <v>0</v>
      </c>
      <c r="E221" s="21">
        <v>1</v>
      </c>
      <c r="F221" s="20">
        <f>D221*E221</f>
        <v>0</v>
      </c>
      <c r="G221" s="21">
        <v>102</v>
      </c>
      <c r="H221" s="20">
        <f>F221*G221</f>
        <v>0</v>
      </c>
      <c r="I221" s="2"/>
      <c r="J221" s="17"/>
      <c r="K221" s="17"/>
      <c r="L221" s="17"/>
    </row>
    <row r="222" spans="1:12">
      <c r="A222" s="37"/>
      <c r="B222" s="36"/>
      <c r="C222" s="14" t="s">
        <v>134</v>
      </c>
      <c r="D222" s="20"/>
      <c r="F222" s="20"/>
      <c r="H222" s="25">
        <f>SUM(H220:H221)</f>
        <v>0</v>
      </c>
      <c r="I222" s="2"/>
      <c r="J222" s="17"/>
      <c r="K222" s="17"/>
      <c r="L222" s="17"/>
    </row>
    <row r="223" spans="1:12">
      <c r="A223" s="37"/>
      <c r="B223" s="38"/>
      <c r="C223" s="14"/>
      <c r="D223" s="20"/>
      <c r="F223" s="20"/>
      <c r="H223" s="20"/>
      <c r="I223" s="2"/>
      <c r="J223" s="17"/>
      <c r="K223" s="17"/>
      <c r="L223" s="17"/>
    </row>
    <row r="224" spans="1:12">
      <c r="A224" s="37"/>
      <c r="B224" s="38"/>
      <c r="C224" s="14" t="s">
        <v>135</v>
      </c>
      <c r="D224" s="20"/>
      <c r="F224" s="20"/>
      <c r="H224" s="20"/>
      <c r="I224" s="2"/>
      <c r="J224" s="17"/>
      <c r="K224" s="17"/>
      <c r="L224" s="17"/>
    </row>
    <row r="225" spans="1:12">
      <c r="A225" s="37"/>
      <c r="B225" s="36">
        <v>1</v>
      </c>
      <c r="C225" s="19"/>
      <c r="D225" s="20">
        <v>0</v>
      </c>
      <c r="E225" s="21">
        <v>1</v>
      </c>
      <c r="F225" s="20">
        <f>D225*E225</f>
        <v>0</v>
      </c>
      <c r="G225" s="21">
        <v>101</v>
      </c>
      <c r="H225" s="20">
        <f>F225*G225</f>
        <v>0</v>
      </c>
      <c r="I225" s="2"/>
      <c r="J225" s="17"/>
      <c r="K225" s="17"/>
      <c r="L225" s="17"/>
    </row>
    <row r="226" spans="1:12">
      <c r="A226" s="37"/>
      <c r="B226" s="36">
        <v>2</v>
      </c>
      <c r="C226" s="19"/>
      <c r="D226" s="20">
        <v>0</v>
      </c>
      <c r="E226" s="21">
        <v>1</v>
      </c>
      <c r="F226" s="20">
        <f>D226*E226</f>
        <v>0</v>
      </c>
      <c r="G226" s="21">
        <v>102</v>
      </c>
      <c r="H226" s="20">
        <f>F226*G226</f>
        <v>0</v>
      </c>
      <c r="I226" s="2"/>
      <c r="J226" s="17"/>
      <c r="K226" s="17"/>
      <c r="L226" s="17"/>
    </row>
    <row r="227" spans="1:12">
      <c r="A227" s="37"/>
      <c r="B227" s="36"/>
      <c r="C227" s="14" t="s">
        <v>136</v>
      </c>
      <c r="D227" s="20"/>
      <c r="F227" s="20"/>
      <c r="H227" s="25">
        <f>SUM(H225:H226)</f>
        <v>0</v>
      </c>
      <c r="I227" s="2"/>
      <c r="J227" s="17"/>
      <c r="K227" s="17"/>
      <c r="L227" s="17"/>
    </row>
    <row r="228" spans="1:12">
      <c r="A228" s="37"/>
      <c r="B228" s="38"/>
      <c r="C228" s="14"/>
      <c r="D228" s="20"/>
      <c r="F228" s="20"/>
      <c r="H228" s="20"/>
      <c r="I228" s="2"/>
      <c r="J228" s="17"/>
      <c r="K228" s="17"/>
      <c r="L228" s="17"/>
    </row>
    <row r="229" spans="1:12">
      <c r="A229" s="37"/>
      <c r="B229" s="38"/>
      <c r="C229" s="14" t="s">
        <v>137</v>
      </c>
      <c r="D229" s="20"/>
      <c r="F229" s="20"/>
      <c r="H229" s="20"/>
      <c r="I229" s="2"/>
      <c r="J229" s="17"/>
      <c r="K229" s="17"/>
      <c r="L229" s="17"/>
    </row>
    <row r="230" spans="1:12">
      <c r="A230" s="37"/>
      <c r="B230" s="36">
        <v>1</v>
      </c>
      <c r="C230" s="19"/>
      <c r="D230" s="20">
        <v>0</v>
      </c>
      <c r="E230" s="21">
        <v>1</v>
      </c>
      <c r="F230" s="20">
        <f>D230*E230</f>
        <v>0</v>
      </c>
      <c r="G230" s="21">
        <v>101</v>
      </c>
      <c r="H230" s="20">
        <f>F230*G230</f>
        <v>0</v>
      </c>
      <c r="I230" s="2"/>
      <c r="J230" s="17"/>
      <c r="K230" s="17"/>
      <c r="L230" s="17"/>
    </row>
    <row r="231" spans="1:12">
      <c r="A231" s="37"/>
      <c r="B231" s="36">
        <v>2</v>
      </c>
      <c r="C231" s="19"/>
      <c r="D231" s="20">
        <v>0</v>
      </c>
      <c r="E231" s="21">
        <v>1</v>
      </c>
      <c r="F231" s="20">
        <f>D231*E231</f>
        <v>0</v>
      </c>
      <c r="G231" s="21">
        <v>102</v>
      </c>
      <c r="H231" s="20">
        <f>F231*G231</f>
        <v>0</v>
      </c>
      <c r="I231" s="2"/>
      <c r="J231" s="17"/>
      <c r="K231" s="17"/>
      <c r="L231" s="17"/>
    </row>
    <row r="232" spans="1:12">
      <c r="A232" s="37"/>
      <c r="B232" s="36"/>
      <c r="C232" s="14" t="s">
        <v>138</v>
      </c>
      <c r="D232" s="20"/>
      <c r="F232" s="20"/>
      <c r="H232" s="25">
        <f>SUM(H230:H231)</f>
        <v>0</v>
      </c>
      <c r="I232" s="2"/>
      <c r="J232" s="17"/>
      <c r="K232" s="17"/>
      <c r="L232" s="17"/>
    </row>
    <row r="233" spans="1:12">
      <c r="A233" s="37"/>
      <c r="B233" s="38"/>
      <c r="C233" s="14"/>
      <c r="D233" s="20"/>
      <c r="F233" s="20"/>
      <c r="H233" s="20"/>
      <c r="I233" s="2"/>
      <c r="J233" s="17"/>
      <c r="K233" s="17"/>
      <c r="L233" s="17"/>
    </row>
    <row r="234" spans="1:12">
      <c r="A234" s="37"/>
      <c r="B234" s="38"/>
      <c r="C234" s="14" t="s">
        <v>139</v>
      </c>
      <c r="D234" s="20"/>
      <c r="F234" s="20"/>
      <c r="H234" s="20"/>
      <c r="I234" s="2"/>
      <c r="J234" s="17"/>
      <c r="K234" s="17"/>
      <c r="L234" s="17"/>
    </row>
    <row r="235" spans="1:12">
      <c r="A235" s="37"/>
      <c r="B235" s="36">
        <v>1</v>
      </c>
      <c r="C235" s="19" t="s">
        <v>347</v>
      </c>
      <c r="D235" s="20">
        <v>0</v>
      </c>
      <c r="E235" s="21">
        <v>1</v>
      </c>
      <c r="F235" s="20">
        <f>D235*E235</f>
        <v>0</v>
      </c>
      <c r="G235" s="69">
        <v>5384.6153846153848</v>
      </c>
      <c r="H235" s="20">
        <f>F235*G235</f>
        <v>0</v>
      </c>
      <c r="I235" s="2"/>
      <c r="J235" s="17"/>
      <c r="K235" s="17"/>
      <c r="L235" s="17"/>
    </row>
    <row r="236" spans="1:12">
      <c r="A236" s="37"/>
      <c r="B236" s="36">
        <v>2</v>
      </c>
      <c r="C236" s="19" t="s">
        <v>348</v>
      </c>
      <c r="D236" s="20">
        <v>0</v>
      </c>
      <c r="E236" s="21">
        <v>1</v>
      </c>
      <c r="F236" s="20">
        <f t="shared" ref="F236:F243" si="14">D236*E236</f>
        <v>0</v>
      </c>
      <c r="G236" s="69">
        <v>8307.6923076923067</v>
      </c>
      <c r="H236" s="20">
        <f t="shared" ref="H236:H244" si="15">F236*G236</f>
        <v>0</v>
      </c>
      <c r="I236" s="2"/>
      <c r="J236" s="17"/>
      <c r="K236" s="17"/>
      <c r="L236" s="17"/>
    </row>
    <row r="237" spans="1:12">
      <c r="A237" s="37"/>
      <c r="B237" s="36">
        <v>3</v>
      </c>
      <c r="C237" s="19" t="s">
        <v>349</v>
      </c>
      <c r="D237" s="20">
        <v>0</v>
      </c>
      <c r="E237" s="21">
        <v>1</v>
      </c>
      <c r="F237" s="20">
        <f t="shared" si="14"/>
        <v>0</v>
      </c>
      <c r="G237" s="69">
        <v>2013.02</v>
      </c>
      <c r="H237" s="20">
        <f t="shared" si="15"/>
        <v>0</v>
      </c>
      <c r="I237" s="2"/>
      <c r="J237" s="17"/>
      <c r="K237" s="17"/>
      <c r="L237" s="17"/>
    </row>
    <row r="238" spans="1:12">
      <c r="A238" s="37"/>
      <c r="B238" s="36">
        <v>4</v>
      </c>
      <c r="C238" s="19" t="s">
        <v>350</v>
      </c>
      <c r="D238" s="20">
        <v>0</v>
      </c>
      <c r="E238" s="21">
        <v>1</v>
      </c>
      <c r="F238" s="20">
        <f t="shared" si="14"/>
        <v>0</v>
      </c>
      <c r="G238" s="69">
        <v>15961.538461538461</v>
      </c>
      <c r="H238" s="20">
        <f t="shared" si="15"/>
        <v>0</v>
      </c>
      <c r="I238" s="2"/>
      <c r="J238" s="17"/>
      <c r="K238" s="17"/>
      <c r="L238" s="17"/>
    </row>
    <row r="239" spans="1:12">
      <c r="A239" s="37"/>
      <c r="B239" s="36">
        <v>5</v>
      </c>
      <c r="C239" s="19" t="s">
        <v>45</v>
      </c>
      <c r="D239" s="20">
        <v>0</v>
      </c>
      <c r="E239" s="21">
        <v>1</v>
      </c>
      <c r="F239" s="20">
        <f t="shared" si="14"/>
        <v>0</v>
      </c>
      <c r="G239" s="69">
        <v>77.692307692307693</v>
      </c>
      <c r="H239" s="20">
        <f t="shared" si="15"/>
        <v>0</v>
      </c>
      <c r="I239" s="2"/>
      <c r="J239" s="17"/>
      <c r="K239" s="17"/>
      <c r="L239" s="17"/>
    </row>
    <row r="240" spans="1:12">
      <c r="A240" s="37"/>
      <c r="B240" s="36">
        <v>6</v>
      </c>
      <c r="C240" s="19" t="s">
        <v>351</v>
      </c>
      <c r="D240" s="20">
        <v>0</v>
      </c>
      <c r="E240" s="21">
        <v>1</v>
      </c>
      <c r="F240" s="20">
        <f t="shared" si="14"/>
        <v>0</v>
      </c>
      <c r="G240" s="69">
        <v>264.61538461538458</v>
      </c>
      <c r="H240" s="20">
        <f t="shared" si="15"/>
        <v>0</v>
      </c>
      <c r="I240" s="2"/>
      <c r="J240" s="17"/>
      <c r="K240" s="17"/>
      <c r="L240" s="17"/>
    </row>
    <row r="241" spans="1:12">
      <c r="A241" s="37"/>
      <c r="B241" s="36">
        <v>7</v>
      </c>
      <c r="C241" s="19" t="s">
        <v>352</v>
      </c>
      <c r="D241" s="20">
        <v>0</v>
      </c>
      <c r="E241" s="21">
        <v>1</v>
      </c>
      <c r="F241" s="20">
        <f t="shared" si="14"/>
        <v>0</v>
      </c>
      <c r="G241" s="69">
        <v>177.69230769230768</v>
      </c>
      <c r="H241" s="20">
        <f t="shared" si="15"/>
        <v>0</v>
      </c>
      <c r="I241" s="2"/>
      <c r="J241" s="17"/>
      <c r="K241" s="17"/>
      <c r="L241" s="17"/>
    </row>
    <row r="242" spans="1:12">
      <c r="A242" s="37"/>
      <c r="B242" s="36">
        <v>8</v>
      </c>
      <c r="C242" s="19" t="s">
        <v>353</v>
      </c>
      <c r="D242" s="20">
        <v>0</v>
      </c>
      <c r="E242" s="21">
        <v>1</v>
      </c>
      <c r="F242" s="20">
        <f t="shared" si="14"/>
        <v>0</v>
      </c>
      <c r="G242" s="69">
        <v>9000</v>
      </c>
      <c r="H242" s="20">
        <f t="shared" si="15"/>
        <v>0</v>
      </c>
      <c r="I242" s="2"/>
      <c r="J242" s="17"/>
      <c r="K242" s="17"/>
      <c r="L242" s="17"/>
    </row>
    <row r="243" spans="1:12">
      <c r="A243" s="37"/>
      <c r="B243" s="36">
        <v>9</v>
      </c>
      <c r="C243" s="19" t="s">
        <v>354</v>
      </c>
      <c r="D243" s="20">
        <v>0</v>
      </c>
      <c r="E243" s="21">
        <v>1</v>
      </c>
      <c r="F243" s="20">
        <f t="shared" si="14"/>
        <v>0</v>
      </c>
      <c r="G243" s="69">
        <v>230.76923076923077</v>
      </c>
      <c r="H243" s="20">
        <f t="shared" si="15"/>
        <v>0</v>
      </c>
      <c r="I243" s="2"/>
      <c r="J243" s="17"/>
      <c r="K243" s="17"/>
      <c r="L243" s="17"/>
    </row>
    <row r="244" spans="1:12">
      <c r="A244" s="37"/>
      <c r="B244" s="36"/>
      <c r="D244" s="20">
        <v>0</v>
      </c>
      <c r="E244" s="21">
        <v>0</v>
      </c>
      <c r="F244" s="20">
        <f>D244*E244</f>
        <v>0</v>
      </c>
      <c r="G244" s="69">
        <v>102</v>
      </c>
      <c r="H244" s="20">
        <f t="shared" si="15"/>
        <v>0</v>
      </c>
      <c r="I244" s="2"/>
      <c r="J244" s="17"/>
      <c r="K244" s="17"/>
      <c r="L244" s="17"/>
    </row>
    <row r="245" spans="1:12">
      <c r="A245" s="37"/>
      <c r="B245" s="36"/>
      <c r="C245" s="14" t="s">
        <v>140</v>
      </c>
      <c r="D245" s="20"/>
      <c r="F245" s="20"/>
      <c r="H245" s="25">
        <f>SUM(H235:H244)</f>
        <v>0</v>
      </c>
      <c r="I245" s="2"/>
      <c r="J245" s="17"/>
      <c r="K245" s="17"/>
      <c r="L245" s="17"/>
    </row>
    <row r="246" spans="1:12">
      <c r="A246" s="37"/>
      <c r="B246" s="38"/>
      <c r="C246" s="14"/>
      <c r="D246" s="20"/>
      <c r="F246" s="20"/>
      <c r="H246" s="20"/>
      <c r="I246" s="2"/>
      <c r="J246" s="17"/>
      <c r="K246" s="17"/>
      <c r="L246" s="17"/>
    </row>
    <row r="247" spans="1:12">
      <c r="A247" s="37"/>
      <c r="B247" s="38"/>
      <c r="C247" s="14" t="s">
        <v>141</v>
      </c>
      <c r="D247" s="20"/>
      <c r="F247" s="20"/>
      <c r="H247" s="20"/>
      <c r="I247" s="2"/>
      <c r="J247" s="17"/>
      <c r="K247" s="17"/>
      <c r="L247" s="17"/>
    </row>
    <row r="248" spans="1:12">
      <c r="A248" s="37"/>
      <c r="B248" s="36">
        <v>1</v>
      </c>
      <c r="C248" s="19" t="s">
        <v>284</v>
      </c>
      <c r="D248" s="20">
        <v>0</v>
      </c>
      <c r="E248" s="21">
        <v>1</v>
      </c>
      <c r="F248" s="20">
        <f>D248*E248</f>
        <v>0</v>
      </c>
      <c r="G248" s="21">
        <v>40000</v>
      </c>
      <c r="H248" s="20">
        <f>F248*G248</f>
        <v>0</v>
      </c>
      <c r="I248" s="2"/>
      <c r="J248" s="17"/>
      <c r="K248" s="17"/>
      <c r="L248" s="17"/>
    </row>
    <row r="249" spans="1:12">
      <c r="A249" s="37"/>
      <c r="B249" s="36">
        <v>2</v>
      </c>
      <c r="C249" s="40" t="s">
        <v>355</v>
      </c>
      <c r="D249" s="68">
        <v>0</v>
      </c>
      <c r="E249" s="69">
        <v>1</v>
      </c>
      <c r="F249" s="68">
        <f t="shared" ref="F249:F252" si="16">D249*E249</f>
        <v>0</v>
      </c>
      <c r="G249" s="69">
        <v>25000</v>
      </c>
      <c r="H249" s="68">
        <f t="shared" ref="H249:H252" si="17">F249*G249</f>
        <v>0</v>
      </c>
      <c r="I249" s="2"/>
      <c r="J249" s="17"/>
      <c r="K249" s="17"/>
      <c r="L249" s="17"/>
    </row>
    <row r="250" spans="1:12">
      <c r="A250" s="37"/>
      <c r="B250" s="36">
        <v>3</v>
      </c>
      <c r="C250" s="19" t="s">
        <v>323</v>
      </c>
      <c r="D250" s="20">
        <v>1</v>
      </c>
      <c r="E250" s="21">
        <v>1</v>
      </c>
      <c r="F250" s="20">
        <f t="shared" si="16"/>
        <v>1</v>
      </c>
      <c r="G250" s="21">
        <v>40000</v>
      </c>
      <c r="H250" s="20">
        <f t="shared" si="17"/>
        <v>40000</v>
      </c>
      <c r="I250" s="2"/>
      <c r="J250" s="17"/>
      <c r="K250" s="17"/>
      <c r="L250" s="17"/>
    </row>
    <row r="251" spans="1:12">
      <c r="A251" s="37"/>
      <c r="B251" s="36">
        <v>4</v>
      </c>
      <c r="C251" s="19"/>
      <c r="D251" s="20">
        <v>0</v>
      </c>
      <c r="E251" s="21">
        <v>1</v>
      </c>
      <c r="F251" s="20">
        <f t="shared" si="16"/>
        <v>0</v>
      </c>
      <c r="G251" s="21">
        <v>104</v>
      </c>
      <c r="H251" s="20">
        <f t="shared" si="17"/>
        <v>0</v>
      </c>
      <c r="I251" s="2"/>
      <c r="J251" s="17"/>
      <c r="K251" s="17"/>
      <c r="L251" s="17"/>
    </row>
    <row r="252" spans="1:12">
      <c r="A252" s="37"/>
      <c r="B252" s="36">
        <v>5</v>
      </c>
      <c r="C252" s="19"/>
      <c r="D252" s="20">
        <v>0</v>
      </c>
      <c r="E252" s="21">
        <v>1</v>
      </c>
      <c r="F252" s="20">
        <f t="shared" si="16"/>
        <v>0</v>
      </c>
      <c r="G252" s="21">
        <v>105</v>
      </c>
      <c r="H252" s="20">
        <f t="shared" si="17"/>
        <v>0</v>
      </c>
      <c r="I252" s="2"/>
      <c r="J252" s="17"/>
      <c r="K252" s="17"/>
      <c r="L252" s="17"/>
    </row>
    <row r="253" spans="1:12">
      <c r="A253" s="37"/>
      <c r="B253" s="36"/>
      <c r="C253" s="14" t="s">
        <v>142</v>
      </c>
      <c r="D253" s="20"/>
      <c r="F253" s="20"/>
      <c r="H253" s="25">
        <f>SUM(H248:H252)</f>
        <v>40000</v>
      </c>
      <c r="I253" s="2"/>
      <c r="J253" s="17"/>
      <c r="K253" s="17"/>
      <c r="L253" s="17"/>
    </row>
    <row r="254" spans="1:12">
      <c r="A254" s="37"/>
      <c r="B254" s="38"/>
      <c r="C254" s="14"/>
      <c r="D254" s="20"/>
      <c r="F254" s="20"/>
      <c r="H254" s="20"/>
      <c r="I254" s="2"/>
      <c r="J254" s="17"/>
      <c r="K254" s="17"/>
      <c r="L254" s="17"/>
    </row>
    <row r="255" spans="1:12">
      <c r="A255" s="37"/>
      <c r="B255" s="38"/>
      <c r="C255" s="14" t="s">
        <v>143</v>
      </c>
      <c r="D255" s="20"/>
      <c r="F255" s="20"/>
      <c r="H255" s="20"/>
      <c r="I255" s="2"/>
      <c r="J255" s="17"/>
      <c r="K255" s="17"/>
      <c r="L255" s="17"/>
    </row>
    <row r="256" spans="1:12">
      <c r="A256" s="37"/>
      <c r="B256" s="36">
        <v>1</v>
      </c>
      <c r="C256" s="19" t="s">
        <v>356</v>
      </c>
      <c r="D256" s="20">
        <v>1</v>
      </c>
      <c r="E256" s="21">
        <v>1</v>
      </c>
      <c r="F256" s="20">
        <f>D256*E256</f>
        <v>1</v>
      </c>
      <c r="G256" s="21">
        <v>22076</v>
      </c>
      <c r="H256" s="20">
        <f>F256*G256</f>
        <v>22076</v>
      </c>
      <c r="I256" s="2"/>
      <c r="J256" s="17"/>
      <c r="K256" s="17"/>
      <c r="L256" s="17"/>
    </row>
    <row r="257" spans="1:12">
      <c r="A257" s="37"/>
      <c r="B257" s="36">
        <v>2</v>
      </c>
      <c r="C257" s="19" t="s">
        <v>357</v>
      </c>
      <c r="D257" s="20">
        <v>0</v>
      </c>
      <c r="E257" s="21">
        <v>1</v>
      </c>
      <c r="F257" s="20">
        <f t="shared" ref="F257:F266" si="18">D257*E257</f>
        <v>0</v>
      </c>
      <c r="G257" s="21">
        <v>12507</v>
      </c>
      <c r="H257" s="20">
        <f t="shared" ref="H257:H266" si="19">F257*G257</f>
        <v>0</v>
      </c>
      <c r="I257" s="2"/>
      <c r="J257" s="17"/>
      <c r="K257" s="17"/>
      <c r="L257" s="17"/>
    </row>
    <row r="258" spans="1:12">
      <c r="A258" s="37"/>
      <c r="B258" s="36">
        <v>3</v>
      </c>
      <c r="C258" s="19" t="s">
        <v>219</v>
      </c>
      <c r="D258" s="20">
        <v>1</v>
      </c>
      <c r="E258" s="21">
        <v>1</v>
      </c>
      <c r="F258" s="20">
        <f t="shared" si="18"/>
        <v>1</v>
      </c>
      <c r="G258" s="21">
        <v>12507</v>
      </c>
      <c r="H258" s="20">
        <f t="shared" si="19"/>
        <v>12507</v>
      </c>
      <c r="I258" s="2"/>
      <c r="J258" s="17"/>
      <c r="K258" s="17"/>
      <c r="L258" s="17"/>
    </row>
    <row r="259" spans="1:12">
      <c r="A259" s="37"/>
      <c r="B259" s="36">
        <v>4</v>
      </c>
      <c r="C259" s="19" t="s">
        <v>64</v>
      </c>
      <c r="D259" s="20">
        <v>1</v>
      </c>
      <c r="E259" s="21">
        <v>1</v>
      </c>
      <c r="F259" s="20">
        <f t="shared" si="18"/>
        <v>1</v>
      </c>
      <c r="G259" s="21">
        <v>12507</v>
      </c>
      <c r="H259" s="20">
        <f t="shared" si="19"/>
        <v>12507</v>
      </c>
      <c r="I259" s="2"/>
      <c r="J259" s="17"/>
      <c r="K259" s="17"/>
      <c r="L259" s="17"/>
    </row>
    <row r="260" spans="1:12">
      <c r="A260" s="37"/>
      <c r="B260" s="36">
        <v>5</v>
      </c>
      <c r="C260" s="19" t="s">
        <v>65</v>
      </c>
      <c r="D260" s="20">
        <v>1</v>
      </c>
      <c r="E260" s="21">
        <v>1</v>
      </c>
      <c r="F260" s="20">
        <f t="shared" si="18"/>
        <v>1</v>
      </c>
      <c r="G260" s="21">
        <v>12507</v>
      </c>
      <c r="H260" s="20">
        <f t="shared" si="19"/>
        <v>12507</v>
      </c>
      <c r="I260" s="2"/>
      <c r="J260" s="17"/>
      <c r="K260" s="17"/>
      <c r="L260" s="17"/>
    </row>
    <row r="261" spans="1:12">
      <c r="A261" s="37"/>
      <c r="B261" s="36">
        <v>6</v>
      </c>
      <c r="C261" s="19" t="s">
        <v>358</v>
      </c>
      <c r="D261" s="20">
        <v>1</v>
      </c>
      <c r="E261" s="21">
        <v>1</v>
      </c>
      <c r="F261" s="20">
        <f t="shared" si="18"/>
        <v>1</v>
      </c>
      <c r="G261" s="21">
        <v>12507</v>
      </c>
      <c r="H261" s="20">
        <f t="shared" si="19"/>
        <v>12507</v>
      </c>
      <c r="I261" s="2"/>
      <c r="J261" s="17"/>
      <c r="K261" s="17"/>
      <c r="L261" s="17"/>
    </row>
    <row r="262" spans="1:12">
      <c r="A262" s="37"/>
      <c r="B262" s="36">
        <v>7</v>
      </c>
      <c r="C262" s="19" t="s">
        <v>222</v>
      </c>
      <c r="D262" s="20">
        <v>0</v>
      </c>
      <c r="E262" s="21">
        <v>1</v>
      </c>
      <c r="F262" s="20">
        <f t="shared" si="18"/>
        <v>0</v>
      </c>
      <c r="G262" s="21">
        <v>12507</v>
      </c>
      <c r="H262" s="20">
        <f t="shared" si="19"/>
        <v>0</v>
      </c>
      <c r="I262" s="2"/>
      <c r="J262" s="17"/>
      <c r="K262" s="17"/>
      <c r="L262" s="17"/>
    </row>
    <row r="263" spans="1:12">
      <c r="A263" s="37"/>
      <c r="B263" s="36">
        <v>8</v>
      </c>
      <c r="C263" s="19" t="s">
        <v>359</v>
      </c>
      <c r="D263" s="20">
        <v>0</v>
      </c>
      <c r="E263" s="21">
        <v>1</v>
      </c>
      <c r="F263" s="20">
        <f t="shared" si="18"/>
        <v>0</v>
      </c>
      <c r="G263" s="21">
        <v>12507</v>
      </c>
      <c r="H263" s="20">
        <f t="shared" si="19"/>
        <v>0</v>
      </c>
      <c r="I263" s="2"/>
      <c r="J263" s="17"/>
      <c r="K263" s="17"/>
      <c r="L263" s="17"/>
    </row>
    <row r="264" spans="1:12">
      <c r="A264" s="37"/>
      <c r="B264" s="36">
        <v>9</v>
      </c>
      <c r="C264" s="19" t="s">
        <v>223</v>
      </c>
      <c r="D264" s="20">
        <v>1</v>
      </c>
      <c r="E264" s="21">
        <v>1</v>
      </c>
      <c r="F264" s="20">
        <f t="shared" si="18"/>
        <v>1</v>
      </c>
      <c r="G264" s="21">
        <v>31769</v>
      </c>
      <c r="H264" s="20">
        <f t="shared" si="19"/>
        <v>31769</v>
      </c>
      <c r="I264" s="2"/>
      <c r="J264" s="17"/>
      <c r="K264" s="17"/>
      <c r="L264" s="17"/>
    </row>
    <row r="265" spans="1:12">
      <c r="A265" s="37"/>
      <c r="B265" s="36">
        <v>10</v>
      </c>
      <c r="C265" s="19" t="s">
        <v>360</v>
      </c>
      <c r="D265" s="20">
        <v>0</v>
      </c>
      <c r="E265" s="21">
        <v>1</v>
      </c>
      <c r="F265" s="20">
        <f t="shared" si="18"/>
        <v>0</v>
      </c>
      <c r="G265" s="21">
        <v>31769</v>
      </c>
      <c r="H265" s="20">
        <f t="shared" si="19"/>
        <v>0</v>
      </c>
      <c r="I265" s="2"/>
      <c r="J265" s="17"/>
      <c r="K265" s="17"/>
      <c r="L265" s="17"/>
    </row>
    <row r="266" spans="1:12">
      <c r="A266" s="37"/>
      <c r="B266" s="36">
        <v>11</v>
      </c>
      <c r="C266" s="19"/>
      <c r="D266" s="20">
        <v>0</v>
      </c>
      <c r="E266" s="21">
        <v>0</v>
      </c>
      <c r="F266" s="20">
        <f t="shared" si="18"/>
        <v>0</v>
      </c>
      <c r="G266" s="21">
        <v>111</v>
      </c>
      <c r="H266" s="20">
        <f t="shared" si="19"/>
        <v>0</v>
      </c>
      <c r="I266" s="2"/>
      <c r="J266" s="17"/>
      <c r="K266" s="17"/>
      <c r="L266" s="17"/>
    </row>
    <row r="267" spans="1:12">
      <c r="A267" s="37"/>
      <c r="B267" s="36">
        <v>12</v>
      </c>
      <c r="C267" s="19"/>
      <c r="D267" s="20">
        <v>0</v>
      </c>
      <c r="E267" s="21">
        <v>0</v>
      </c>
      <c r="F267" s="20">
        <f>D267*E267</f>
        <v>0</v>
      </c>
      <c r="G267" s="21">
        <v>102</v>
      </c>
      <c r="H267" s="20">
        <f>F267*G267</f>
        <v>0</v>
      </c>
      <c r="I267" s="2"/>
      <c r="J267" s="17"/>
      <c r="K267" s="17"/>
      <c r="L267" s="17"/>
    </row>
    <row r="268" spans="1:12">
      <c r="A268" s="37"/>
      <c r="B268" s="36"/>
      <c r="C268" s="14" t="s">
        <v>144</v>
      </c>
      <c r="D268" s="20"/>
      <c r="F268" s="20"/>
      <c r="H268" s="25">
        <f>SUM(H256:H267)</f>
        <v>103873</v>
      </c>
      <c r="I268" s="2"/>
      <c r="J268" s="17"/>
      <c r="K268" s="17"/>
      <c r="L268" s="17"/>
    </row>
    <row r="269" spans="1:12">
      <c r="A269" s="37"/>
      <c r="B269" s="36"/>
      <c r="C269" s="14"/>
      <c r="D269" s="20"/>
      <c r="F269" s="20"/>
      <c r="H269" s="25"/>
      <c r="I269" s="2"/>
      <c r="J269" s="17"/>
      <c r="K269" s="17"/>
      <c r="L269" s="17"/>
    </row>
    <row r="270" spans="1:12">
      <c r="A270" s="37"/>
      <c r="B270" s="38"/>
      <c r="C270" s="14" t="s">
        <v>145</v>
      </c>
      <c r="D270" s="20"/>
      <c r="F270" s="20"/>
      <c r="H270" s="20"/>
      <c r="I270" s="2"/>
      <c r="J270" s="17"/>
      <c r="K270" s="17"/>
      <c r="L270" s="17"/>
    </row>
    <row r="271" spans="1:12">
      <c r="A271" s="37"/>
      <c r="B271" s="36">
        <v>1</v>
      </c>
      <c r="C271" s="40" t="s">
        <v>361</v>
      </c>
      <c r="D271" s="20">
        <v>2</v>
      </c>
      <c r="E271" s="21">
        <v>1</v>
      </c>
      <c r="F271" s="20">
        <f>D271*E271</f>
        <v>2</v>
      </c>
      <c r="G271" s="21">
        <v>576900</v>
      </c>
      <c r="H271" s="20">
        <f>F271*G271</f>
        <v>1153800</v>
      </c>
      <c r="I271" s="2"/>
      <c r="J271" s="17"/>
      <c r="K271" s="17"/>
      <c r="L271" s="17"/>
    </row>
    <row r="272" spans="1:12">
      <c r="A272" s="37"/>
      <c r="B272" s="36">
        <v>2</v>
      </c>
      <c r="C272" s="19" t="s">
        <v>269</v>
      </c>
      <c r="D272" s="20">
        <v>2</v>
      </c>
      <c r="E272" s="21">
        <v>1</v>
      </c>
      <c r="F272" s="20">
        <f t="shared" ref="F272:F279" si="20">D272*E272</f>
        <v>2</v>
      </c>
      <c r="G272" s="21">
        <v>30770</v>
      </c>
      <c r="H272" s="20">
        <f t="shared" ref="H272:H279" si="21">F272*G272</f>
        <v>61540</v>
      </c>
      <c r="I272" s="2"/>
      <c r="J272" s="17"/>
      <c r="K272" s="17"/>
      <c r="L272" s="17"/>
    </row>
    <row r="273" spans="1:12">
      <c r="A273" s="37"/>
      <c r="B273" s="36">
        <v>3</v>
      </c>
      <c r="C273" s="19" t="s">
        <v>362</v>
      </c>
      <c r="D273" s="20">
        <v>4</v>
      </c>
      <c r="E273" s="21">
        <v>1</v>
      </c>
      <c r="F273" s="20">
        <f t="shared" si="20"/>
        <v>4</v>
      </c>
      <c r="G273" s="21">
        <v>30770</v>
      </c>
      <c r="H273" s="20">
        <f t="shared" si="21"/>
        <v>123080</v>
      </c>
      <c r="I273" s="2"/>
      <c r="J273" s="17"/>
      <c r="K273" s="17"/>
      <c r="L273" s="17"/>
    </row>
    <row r="274" spans="1:12">
      <c r="A274" s="37"/>
      <c r="B274" s="36">
        <v>4</v>
      </c>
      <c r="C274" s="19" t="s">
        <v>363</v>
      </c>
      <c r="D274" s="20">
        <v>4</v>
      </c>
      <c r="E274" s="21">
        <v>1</v>
      </c>
      <c r="F274" s="20">
        <f t="shared" si="20"/>
        <v>4</v>
      </c>
      <c r="G274" s="21">
        <v>30770</v>
      </c>
      <c r="H274" s="20">
        <f t="shared" si="21"/>
        <v>123080</v>
      </c>
      <c r="I274" s="2"/>
      <c r="J274" s="17"/>
      <c r="K274" s="17"/>
      <c r="L274" s="17"/>
    </row>
    <row r="275" spans="1:12">
      <c r="A275" s="37"/>
      <c r="B275" s="36">
        <v>5</v>
      </c>
      <c r="C275" s="19" t="s">
        <v>364</v>
      </c>
      <c r="D275" s="20">
        <v>4</v>
      </c>
      <c r="E275" s="21">
        <v>1</v>
      </c>
      <c r="F275" s="20">
        <f t="shared" si="20"/>
        <v>4</v>
      </c>
      <c r="G275" s="21">
        <v>30770</v>
      </c>
      <c r="H275" s="20">
        <f t="shared" si="21"/>
        <v>123080</v>
      </c>
      <c r="I275" s="2"/>
      <c r="J275" s="17"/>
      <c r="K275" s="17"/>
      <c r="L275" s="17"/>
    </row>
    <row r="276" spans="1:12">
      <c r="A276" s="37"/>
      <c r="B276" s="36">
        <v>6</v>
      </c>
      <c r="C276" s="19" t="s">
        <v>78</v>
      </c>
      <c r="D276" s="20">
        <v>0</v>
      </c>
      <c r="E276" s="21">
        <v>1</v>
      </c>
      <c r="F276" s="20">
        <f t="shared" si="20"/>
        <v>0</v>
      </c>
      <c r="G276" s="21">
        <v>180000</v>
      </c>
      <c r="H276" s="20">
        <f t="shared" si="21"/>
        <v>0</v>
      </c>
      <c r="I276" s="2"/>
      <c r="J276" s="17"/>
      <c r="K276" s="17"/>
      <c r="L276" s="17"/>
    </row>
    <row r="277" spans="1:12">
      <c r="A277" s="37"/>
      <c r="B277" s="36">
        <v>7</v>
      </c>
      <c r="C277" s="19"/>
      <c r="D277" s="20">
        <v>0</v>
      </c>
      <c r="E277" s="21">
        <v>1</v>
      </c>
      <c r="F277" s="20">
        <f t="shared" si="20"/>
        <v>0</v>
      </c>
      <c r="G277" s="21">
        <v>100</v>
      </c>
      <c r="H277" s="20">
        <f t="shared" si="21"/>
        <v>0</v>
      </c>
      <c r="I277" s="2"/>
      <c r="J277" s="17"/>
      <c r="K277" s="17"/>
      <c r="L277" s="17"/>
    </row>
    <row r="278" spans="1:12">
      <c r="A278" s="37"/>
      <c r="B278" s="36">
        <v>8</v>
      </c>
      <c r="C278" s="19"/>
      <c r="D278" s="20">
        <v>0</v>
      </c>
      <c r="E278" s="21">
        <v>1</v>
      </c>
      <c r="F278" s="20">
        <f t="shared" si="20"/>
        <v>0</v>
      </c>
      <c r="G278" s="21">
        <v>100</v>
      </c>
      <c r="H278" s="20">
        <f t="shared" si="21"/>
        <v>0</v>
      </c>
      <c r="I278" s="2"/>
      <c r="J278" s="17"/>
      <c r="K278" s="17"/>
      <c r="L278" s="17"/>
    </row>
    <row r="279" spans="1:12">
      <c r="A279" s="37"/>
      <c r="B279" s="36">
        <v>9</v>
      </c>
      <c r="C279" s="19"/>
      <c r="D279" s="20">
        <v>0</v>
      </c>
      <c r="E279" s="21">
        <v>1</v>
      </c>
      <c r="F279" s="20">
        <f t="shared" si="20"/>
        <v>0</v>
      </c>
      <c r="G279" s="21">
        <v>100</v>
      </c>
      <c r="H279" s="20">
        <f t="shared" si="21"/>
        <v>0</v>
      </c>
      <c r="I279" s="2"/>
      <c r="J279" s="17"/>
      <c r="K279" s="17"/>
      <c r="L279" s="17"/>
    </row>
    <row r="280" spans="1:12">
      <c r="A280" s="37"/>
      <c r="B280" s="36">
        <v>10</v>
      </c>
      <c r="C280" s="19"/>
      <c r="D280" s="20">
        <v>0</v>
      </c>
      <c r="E280" s="21">
        <v>1</v>
      </c>
      <c r="F280" s="20">
        <f>D280*E280</f>
        <v>0</v>
      </c>
      <c r="G280" s="21">
        <v>0</v>
      </c>
      <c r="H280" s="20">
        <f>F280*G280</f>
        <v>0</v>
      </c>
      <c r="I280" s="2"/>
      <c r="J280" s="17"/>
      <c r="K280" s="17"/>
      <c r="L280" s="17"/>
    </row>
    <row r="281" spans="1:12">
      <c r="A281" s="37"/>
      <c r="B281" s="36"/>
      <c r="C281" s="14" t="s">
        <v>146</v>
      </c>
      <c r="D281" s="20"/>
      <c r="F281" s="20"/>
      <c r="H281" s="25">
        <f>SUM(H271:H280)</f>
        <v>1584580</v>
      </c>
      <c r="I281" s="2"/>
      <c r="J281" s="17"/>
      <c r="K281" s="17"/>
      <c r="L281" s="17"/>
    </row>
    <row r="282" spans="1:12">
      <c r="A282" s="37"/>
      <c r="B282" s="36"/>
      <c r="C282" s="14"/>
      <c r="D282" s="20"/>
      <c r="F282" s="20"/>
      <c r="H282" s="25"/>
      <c r="I282" s="2"/>
      <c r="J282" s="17"/>
      <c r="K282" s="17"/>
      <c r="L282" s="17"/>
    </row>
    <row r="283" spans="1:12">
      <c r="A283" s="37"/>
      <c r="B283" s="38"/>
      <c r="C283" s="14" t="s">
        <v>147</v>
      </c>
      <c r="D283" s="20"/>
      <c r="F283" s="20"/>
      <c r="H283" s="25">
        <f>H217+H222+H227+H232+H245+H253+H268+H281</f>
        <v>1728453</v>
      </c>
      <c r="I283" s="2"/>
      <c r="J283" s="17"/>
      <c r="K283" s="17"/>
      <c r="L283" s="17"/>
    </row>
    <row r="284" spans="1:12">
      <c r="A284" s="37"/>
      <c r="B284" s="38"/>
      <c r="C284" s="14"/>
      <c r="D284" s="20"/>
      <c r="F284" s="20"/>
      <c r="H284" s="20"/>
      <c r="I284" s="2"/>
      <c r="J284" s="17"/>
      <c r="K284" s="17"/>
      <c r="L284" s="17"/>
    </row>
    <row r="285" spans="1:12">
      <c r="A285" s="37"/>
      <c r="B285" s="35" t="s">
        <v>365</v>
      </c>
      <c r="C285" s="14" t="s">
        <v>149</v>
      </c>
      <c r="D285" s="20"/>
      <c r="F285" s="20"/>
      <c r="H285" s="20"/>
      <c r="I285" s="2"/>
      <c r="J285" s="17"/>
      <c r="K285" s="17"/>
      <c r="L285" s="17"/>
    </row>
    <row r="286" spans="1:12">
      <c r="A286" s="37"/>
      <c r="B286" s="36">
        <v>1</v>
      </c>
      <c r="C286" s="19" t="s">
        <v>327</v>
      </c>
      <c r="D286" s="20">
        <v>0</v>
      </c>
      <c r="E286" s="21">
        <f>4*60</f>
        <v>240</v>
      </c>
      <c r="F286" s="20">
        <f>D286*E286</f>
        <v>0</v>
      </c>
      <c r="G286" s="21">
        <v>460.41666666666669</v>
      </c>
      <c r="H286" s="20">
        <f>F286*G286</f>
        <v>0</v>
      </c>
      <c r="I286" s="2"/>
      <c r="J286" s="17"/>
      <c r="K286" s="17"/>
      <c r="L286" s="17"/>
    </row>
    <row r="287" spans="1:12">
      <c r="A287" s="37"/>
      <c r="B287" s="36">
        <v>2</v>
      </c>
      <c r="C287" s="19" t="s">
        <v>366</v>
      </c>
      <c r="D287" s="20">
        <v>1</v>
      </c>
      <c r="E287" s="21">
        <f t="shared" ref="E287:E293" si="22">4*60</f>
        <v>240</v>
      </c>
      <c r="F287" s="20">
        <f>D287*E287</f>
        <v>240</v>
      </c>
      <c r="G287" s="21">
        <v>460.41666666666669</v>
      </c>
      <c r="H287" s="20">
        <f>F287*G287</f>
        <v>110500</v>
      </c>
      <c r="I287" s="2"/>
      <c r="J287" s="17"/>
      <c r="K287" s="17"/>
      <c r="L287" s="17"/>
    </row>
    <row r="288" spans="1:12">
      <c r="A288" s="37"/>
      <c r="B288" s="36">
        <v>3</v>
      </c>
      <c r="C288" s="19" t="s">
        <v>328</v>
      </c>
      <c r="D288" s="20">
        <v>2</v>
      </c>
      <c r="E288" s="21">
        <f t="shared" si="22"/>
        <v>240</v>
      </c>
      <c r="F288" s="20">
        <f t="shared" ref="F288:F302" si="23">D288*E288</f>
        <v>480</v>
      </c>
      <c r="G288" s="21">
        <v>203.54166666666666</v>
      </c>
      <c r="H288" s="20">
        <f t="shared" ref="H288:H302" si="24">F288*G288</f>
        <v>97700</v>
      </c>
      <c r="I288" s="2"/>
      <c r="J288" s="17"/>
      <c r="K288" s="17"/>
      <c r="L288" s="17"/>
    </row>
    <row r="289" spans="1:12">
      <c r="A289" s="37"/>
      <c r="B289" s="36">
        <v>4</v>
      </c>
      <c r="C289" s="19" t="s">
        <v>329</v>
      </c>
      <c r="D289" s="20">
        <v>1</v>
      </c>
      <c r="E289" s="21">
        <f t="shared" si="22"/>
        <v>240</v>
      </c>
      <c r="F289" s="20">
        <f t="shared" si="23"/>
        <v>240</v>
      </c>
      <c r="G289" s="21">
        <v>75.833333333333329</v>
      </c>
      <c r="H289" s="20">
        <f t="shared" si="24"/>
        <v>18200</v>
      </c>
      <c r="I289" s="2"/>
      <c r="J289" s="17"/>
      <c r="K289" s="17"/>
      <c r="L289" s="17"/>
    </row>
    <row r="290" spans="1:12">
      <c r="A290" s="37"/>
      <c r="B290" s="36">
        <v>5</v>
      </c>
      <c r="C290" s="19" t="s">
        <v>330</v>
      </c>
      <c r="D290" s="20">
        <v>1</v>
      </c>
      <c r="E290" s="21">
        <f t="shared" si="22"/>
        <v>240</v>
      </c>
      <c r="F290" s="20">
        <f t="shared" si="23"/>
        <v>240</v>
      </c>
      <c r="G290" s="21">
        <v>264.47916666666669</v>
      </c>
      <c r="H290" s="20">
        <f t="shared" si="24"/>
        <v>63475.000000000007</v>
      </c>
      <c r="I290" s="2"/>
      <c r="J290" s="17"/>
      <c r="K290" s="17"/>
      <c r="L290" s="17"/>
    </row>
    <row r="291" spans="1:12">
      <c r="A291" s="37"/>
      <c r="B291" s="36">
        <v>6</v>
      </c>
      <c r="C291" s="19" t="s">
        <v>331</v>
      </c>
      <c r="D291" s="20">
        <v>1</v>
      </c>
      <c r="E291" s="21">
        <f t="shared" si="22"/>
        <v>240</v>
      </c>
      <c r="F291" s="20">
        <f t="shared" si="23"/>
        <v>240</v>
      </c>
      <c r="G291" s="21">
        <v>176.77083333333334</v>
      </c>
      <c r="H291" s="20">
        <f t="shared" si="24"/>
        <v>42425</v>
      </c>
      <c r="I291" s="2"/>
      <c r="J291" s="17"/>
      <c r="K291" s="17"/>
      <c r="L291" s="17"/>
    </row>
    <row r="292" spans="1:12">
      <c r="A292" s="37"/>
      <c r="B292" s="36">
        <v>7</v>
      </c>
      <c r="C292" s="19" t="s">
        <v>332</v>
      </c>
      <c r="D292" s="20">
        <v>1</v>
      </c>
      <c r="E292" s="21">
        <f t="shared" si="22"/>
        <v>240</v>
      </c>
      <c r="F292" s="20">
        <f t="shared" si="23"/>
        <v>240</v>
      </c>
      <c r="G292" s="21">
        <v>129.79166666666666</v>
      </c>
      <c r="H292" s="20">
        <f t="shared" si="24"/>
        <v>31149.999999999996</v>
      </c>
      <c r="I292" s="2"/>
      <c r="J292" s="17"/>
      <c r="K292" s="17"/>
      <c r="L292" s="17"/>
    </row>
    <row r="293" spans="1:12">
      <c r="A293" s="37"/>
      <c r="B293" s="36">
        <v>8</v>
      </c>
      <c r="C293" s="19" t="s">
        <v>333</v>
      </c>
      <c r="D293" s="20">
        <v>1</v>
      </c>
      <c r="E293" s="21">
        <f t="shared" si="22"/>
        <v>240</v>
      </c>
      <c r="F293" s="20">
        <f t="shared" si="23"/>
        <v>240</v>
      </c>
      <c r="G293" s="21">
        <v>75.833333333333329</v>
      </c>
      <c r="H293" s="20">
        <f t="shared" si="24"/>
        <v>18200</v>
      </c>
      <c r="I293" s="2"/>
      <c r="J293" s="17"/>
      <c r="K293" s="17"/>
      <c r="L293" s="17"/>
    </row>
    <row r="294" spans="1:12">
      <c r="A294" s="37"/>
      <c r="B294" s="36">
        <v>9</v>
      </c>
      <c r="C294" s="19" t="s">
        <v>334</v>
      </c>
      <c r="D294" s="20">
        <v>1</v>
      </c>
      <c r="E294" s="21">
        <f>3*60</f>
        <v>180</v>
      </c>
      <c r="F294" s="20">
        <f t="shared" si="23"/>
        <v>180</v>
      </c>
      <c r="G294" s="21">
        <v>511.45833333333331</v>
      </c>
      <c r="H294" s="20">
        <f t="shared" si="24"/>
        <v>92062.5</v>
      </c>
      <c r="I294" s="2"/>
      <c r="J294" s="17"/>
      <c r="K294" s="17"/>
      <c r="L294" s="17"/>
    </row>
    <row r="295" spans="1:12">
      <c r="A295" s="37"/>
      <c r="B295" s="36">
        <v>10</v>
      </c>
      <c r="C295" s="19" t="s">
        <v>335</v>
      </c>
      <c r="D295" s="20">
        <v>1</v>
      </c>
      <c r="E295" s="21">
        <f t="shared" ref="E295:E296" si="25">3*60</f>
        <v>180</v>
      </c>
      <c r="F295" s="20">
        <f t="shared" si="23"/>
        <v>180</v>
      </c>
      <c r="G295" s="21">
        <v>460.41666666666669</v>
      </c>
      <c r="H295" s="20">
        <f t="shared" si="24"/>
        <v>82875</v>
      </c>
      <c r="I295" s="2"/>
      <c r="J295" s="17"/>
      <c r="K295" s="17"/>
      <c r="L295" s="17"/>
    </row>
    <row r="296" spans="1:12">
      <c r="A296" s="37"/>
      <c r="B296" s="36">
        <v>11</v>
      </c>
      <c r="C296" s="19" t="s">
        <v>367</v>
      </c>
      <c r="D296" s="20">
        <v>1</v>
      </c>
      <c r="E296" s="21">
        <f t="shared" si="25"/>
        <v>180</v>
      </c>
      <c r="F296" s="20">
        <f t="shared" si="23"/>
        <v>180</v>
      </c>
      <c r="G296" s="21">
        <v>432.70833333333331</v>
      </c>
      <c r="H296" s="20">
        <f t="shared" si="24"/>
        <v>77887.5</v>
      </c>
      <c r="I296" s="2"/>
      <c r="J296" s="17"/>
      <c r="K296" s="17"/>
      <c r="L296" s="17"/>
    </row>
    <row r="297" spans="1:12">
      <c r="A297" s="37"/>
      <c r="B297" s="36">
        <v>12</v>
      </c>
      <c r="C297" s="19" t="s">
        <v>336</v>
      </c>
      <c r="D297" s="20">
        <v>0</v>
      </c>
      <c r="E297" s="21">
        <f>0.5*60</f>
        <v>30</v>
      </c>
      <c r="F297" s="20">
        <f t="shared" si="23"/>
        <v>0</v>
      </c>
      <c r="G297" s="21">
        <v>460.41666666666669</v>
      </c>
      <c r="H297" s="20">
        <f t="shared" si="24"/>
        <v>0</v>
      </c>
      <c r="I297" s="2"/>
      <c r="J297" s="17"/>
      <c r="K297" s="17"/>
      <c r="L297" s="17"/>
    </row>
    <row r="298" spans="1:12">
      <c r="A298" s="37"/>
      <c r="B298" s="36">
        <v>13</v>
      </c>
      <c r="C298" s="19" t="s">
        <v>337</v>
      </c>
      <c r="D298" s="20">
        <v>0</v>
      </c>
      <c r="E298" s="21">
        <f>12*60</f>
        <v>720</v>
      </c>
      <c r="F298" s="20">
        <f t="shared" si="23"/>
        <v>0</v>
      </c>
      <c r="G298" s="21">
        <v>357.39583333333331</v>
      </c>
      <c r="H298" s="20">
        <f t="shared" si="24"/>
        <v>0</v>
      </c>
      <c r="I298" s="2"/>
      <c r="J298" s="17"/>
      <c r="K298" s="17"/>
      <c r="L298" s="17"/>
    </row>
    <row r="299" spans="1:12">
      <c r="A299" s="37"/>
      <c r="B299" s="36">
        <v>14</v>
      </c>
      <c r="C299" s="19" t="s">
        <v>338</v>
      </c>
      <c r="D299" s="20">
        <v>0</v>
      </c>
      <c r="E299" s="21">
        <f>0*60</f>
        <v>0</v>
      </c>
      <c r="F299" s="20">
        <f t="shared" si="23"/>
        <v>0</v>
      </c>
      <c r="G299" s="21">
        <v>203.54166666666666</v>
      </c>
      <c r="H299" s="20">
        <f t="shared" si="24"/>
        <v>0</v>
      </c>
      <c r="I299" s="2"/>
      <c r="J299" s="17"/>
      <c r="K299" s="17"/>
      <c r="L299" s="17"/>
    </row>
    <row r="300" spans="1:12">
      <c r="A300" s="37"/>
      <c r="B300" s="36">
        <v>15</v>
      </c>
      <c r="C300" s="19" t="s">
        <v>339</v>
      </c>
      <c r="D300" s="20">
        <v>0</v>
      </c>
      <c r="E300" s="21">
        <f>0*60</f>
        <v>0</v>
      </c>
      <c r="F300" s="20">
        <f t="shared" si="23"/>
        <v>0</v>
      </c>
      <c r="G300" s="21">
        <v>210.41666666666666</v>
      </c>
      <c r="H300" s="20">
        <f t="shared" si="24"/>
        <v>0</v>
      </c>
      <c r="I300" s="2"/>
      <c r="J300" s="17"/>
      <c r="K300" s="17"/>
      <c r="L300" s="17"/>
    </row>
    <row r="301" spans="1:12">
      <c r="A301" s="37"/>
      <c r="B301" s="36">
        <v>16</v>
      </c>
      <c r="C301" s="19"/>
      <c r="D301" s="20">
        <v>0</v>
      </c>
      <c r="E301" s="21">
        <v>1</v>
      </c>
      <c r="F301" s="20">
        <f t="shared" si="23"/>
        <v>0</v>
      </c>
      <c r="G301" s="21">
        <v>210.41666666666666</v>
      </c>
      <c r="H301" s="20">
        <f t="shared" si="24"/>
        <v>0</v>
      </c>
      <c r="I301" s="2"/>
      <c r="J301" s="17"/>
      <c r="K301" s="17"/>
      <c r="L301" s="17"/>
    </row>
    <row r="302" spans="1:12">
      <c r="A302" s="37"/>
      <c r="B302" s="36">
        <v>17</v>
      </c>
      <c r="C302" s="19"/>
      <c r="D302" s="20">
        <v>0</v>
      </c>
      <c r="E302" s="21">
        <v>1</v>
      </c>
      <c r="F302" s="20">
        <f t="shared" si="23"/>
        <v>0</v>
      </c>
      <c r="G302" s="21">
        <v>112</v>
      </c>
      <c r="H302" s="20">
        <f t="shared" si="24"/>
        <v>0</v>
      </c>
      <c r="I302" s="2"/>
      <c r="J302" s="17"/>
      <c r="K302" s="17"/>
      <c r="L302" s="17"/>
    </row>
    <row r="303" spans="1:12">
      <c r="A303" s="37"/>
      <c r="B303" s="36">
        <v>18</v>
      </c>
      <c r="C303" s="19"/>
      <c r="D303" s="20">
        <v>0</v>
      </c>
      <c r="E303" s="21">
        <v>1</v>
      </c>
      <c r="F303" s="20">
        <f>D303*E303</f>
        <v>0</v>
      </c>
      <c r="G303" s="21">
        <v>102</v>
      </c>
      <c r="H303" s="20">
        <f>F303*G303</f>
        <v>0</v>
      </c>
      <c r="I303" s="2"/>
      <c r="J303" s="17"/>
      <c r="K303" s="17"/>
      <c r="L303" s="17"/>
    </row>
    <row r="304" spans="1:12">
      <c r="A304" s="37"/>
      <c r="B304" s="36"/>
      <c r="C304" s="14" t="s">
        <v>150</v>
      </c>
      <c r="D304" s="20"/>
      <c r="F304" s="20"/>
      <c r="H304" s="25">
        <f>SUM(H286:H303)</f>
        <v>634475</v>
      </c>
      <c r="I304" s="2"/>
      <c r="J304" s="17"/>
      <c r="K304" s="17"/>
      <c r="L304" s="17"/>
    </row>
    <row r="305" spans="1:12">
      <c r="A305" s="37"/>
      <c r="B305" s="35"/>
      <c r="C305" s="14"/>
      <c r="D305" s="20"/>
      <c r="F305" s="20"/>
      <c r="H305" s="20"/>
      <c r="I305" s="2"/>
      <c r="J305" s="17"/>
      <c r="K305" s="17"/>
      <c r="L305" s="17"/>
    </row>
    <row r="306" spans="1:12">
      <c r="A306" s="37"/>
      <c r="B306" s="38"/>
      <c r="C306" s="14" t="s">
        <v>151</v>
      </c>
      <c r="D306" s="20"/>
      <c r="F306" s="20"/>
      <c r="H306" s="20"/>
      <c r="I306" s="2"/>
      <c r="J306" s="17"/>
      <c r="K306" s="17"/>
      <c r="L306" s="17"/>
    </row>
    <row r="307" spans="1:12">
      <c r="A307" s="37"/>
      <c r="B307" s="36">
        <v>1</v>
      </c>
      <c r="C307" s="19" t="s">
        <v>368</v>
      </c>
      <c r="D307" s="20">
        <v>1</v>
      </c>
      <c r="E307" s="21">
        <f>5.5*60</f>
        <v>330</v>
      </c>
      <c r="F307" s="20">
        <f>D307*E307</f>
        <v>330</v>
      </c>
      <c r="G307" s="21">
        <v>25.046375570776256</v>
      </c>
      <c r="H307" s="20">
        <f>F307*G307</f>
        <v>8265.3039383561645</v>
      </c>
      <c r="I307" s="2"/>
      <c r="J307" s="17"/>
      <c r="K307" s="17"/>
      <c r="L307" s="17"/>
    </row>
    <row r="308" spans="1:12">
      <c r="A308" s="37"/>
      <c r="B308" s="36">
        <v>2</v>
      </c>
      <c r="C308" s="19" t="s">
        <v>369</v>
      </c>
      <c r="D308" s="20">
        <v>1</v>
      </c>
      <c r="E308" s="21">
        <f t="shared" ref="E308:E317" si="26">5.5*60</f>
        <v>330</v>
      </c>
      <c r="F308" s="20">
        <f t="shared" ref="F308:F318" si="27">D308*E308</f>
        <v>330</v>
      </c>
      <c r="G308" s="21">
        <v>4.6696632420091326</v>
      </c>
      <c r="H308" s="20">
        <f t="shared" ref="H308:H318" si="28">F308*G308</f>
        <v>1540.9888698630139</v>
      </c>
      <c r="I308" s="2"/>
      <c r="J308" s="17"/>
      <c r="K308" s="17"/>
      <c r="L308" s="17"/>
    </row>
    <row r="309" spans="1:12">
      <c r="A309" s="37"/>
      <c r="B309" s="36">
        <v>3</v>
      </c>
      <c r="C309" s="19" t="s">
        <v>370</v>
      </c>
      <c r="D309" s="20">
        <v>1</v>
      </c>
      <c r="E309" s="21">
        <f t="shared" si="26"/>
        <v>330</v>
      </c>
      <c r="F309" s="20">
        <f t="shared" si="27"/>
        <v>330</v>
      </c>
      <c r="G309" s="21">
        <v>2.365717375630858</v>
      </c>
      <c r="H309" s="20">
        <f t="shared" si="28"/>
        <v>780.68673395818314</v>
      </c>
      <c r="I309" s="2"/>
      <c r="J309" s="17"/>
      <c r="K309" s="17"/>
      <c r="L309" s="17"/>
    </row>
    <row r="310" spans="1:12">
      <c r="A310" s="37"/>
      <c r="B310" s="36">
        <v>4</v>
      </c>
      <c r="C310" s="19" t="s">
        <v>371</v>
      </c>
      <c r="D310" s="20">
        <v>1</v>
      </c>
      <c r="E310" s="21">
        <f t="shared" si="26"/>
        <v>330</v>
      </c>
      <c r="F310" s="20">
        <f t="shared" si="27"/>
        <v>330</v>
      </c>
      <c r="G310" s="21">
        <v>2.4408195145397742</v>
      </c>
      <c r="H310" s="20">
        <f t="shared" si="28"/>
        <v>805.47043979812554</v>
      </c>
      <c r="I310" s="2"/>
      <c r="J310" s="17"/>
      <c r="K310" s="17"/>
      <c r="L310" s="17"/>
    </row>
    <row r="311" spans="1:12">
      <c r="A311" s="37"/>
      <c r="B311" s="36">
        <v>5</v>
      </c>
      <c r="C311" s="19" t="s">
        <v>372</v>
      </c>
      <c r="D311" s="20">
        <v>1</v>
      </c>
      <c r="E311" s="21">
        <f t="shared" si="26"/>
        <v>330</v>
      </c>
      <c r="F311" s="20">
        <f t="shared" si="27"/>
        <v>330</v>
      </c>
      <c r="G311" s="21">
        <v>3.7551069454458061E-2</v>
      </c>
      <c r="H311" s="20">
        <f t="shared" si="28"/>
        <v>12.391852919971161</v>
      </c>
      <c r="I311" s="2"/>
      <c r="J311" s="17"/>
      <c r="K311" s="17"/>
      <c r="L311" s="17"/>
    </row>
    <row r="312" spans="1:12">
      <c r="A312" s="37"/>
      <c r="B312" s="36">
        <v>6</v>
      </c>
      <c r="C312" s="19" t="s">
        <v>373</v>
      </c>
      <c r="D312" s="20">
        <v>1</v>
      </c>
      <c r="E312" s="21">
        <f t="shared" si="26"/>
        <v>330</v>
      </c>
      <c r="F312" s="20">
        <f t="shared" si="27"/>
        <v>330</v>
      </c>
      <c r="G312" s="21">
        <v>0.34171473203556835</v>
      </c>
      <c r="H312" s="20">
        <f t="shared" si="28"/>
        <v>112.76586157173756</v>
      </c>
      <c r="I312" s="2"/>
      <c r="J312" s="17"/>
      <c r="K312" s="17"/>
      <c r="L312" s="17"/>
    </row>
    <row r="313" spans="1:12">
      <c r="A313" s="37"/>
      <c r="B313" s="36">
        <v>7</v>
      </c>
      <c r="C313" s="19" t="s">
        <v>374</v>
      </c>
      <c r="D313" s="20">
        <v>1</v>
      </c>
      <c r="E313" s="21">
        <f t="shared" si="26"/>
        <v>330</v>
      </c>
      <c r="F313" s="20">
        <f t="shared" si="27"/>
        <v>330</v>
      </c>
      <c r="G313" s="21">
        <v>3.3961187214611872</v>
      </c>
      <c r="H313" s="20">
        <f t="shared" si="28"/>
        <v>1120.7191780821918</v>
      </c>
      <c r="I313" s="2"/>
      <c r="J313" s="17"/>
      <c r="K313" s="17"/>
      <c r="L313" s="17"/>
    </row>
    <row r="314" spans="1:12">
      <c r="A314" s="37"/>
      <c r="B314" s="36">
        <v>8</v>
      </c>
      <c r="C314" s="19" t="s">
        <v>375</v>
      </c>
      <c r="D314" s="20">
        <v>1</v>
      </c>
      <c r="E314" s="21">
        <f t="shared" si="26"/>
        <v>330</v>
      </c>
      <c r="F314" s="20">
        <f t="shared" si="27"/>
        <v>330</v>
      </c>
      <c r="G314" s="21">
        <v>0.81485820716173996</v>
      </c>
      <c r="H314" s="20">
        <f t="shared" si="28"/>
        <v>268.90320836337418</v>
      </c>
      <c r="I314" s="2"/>
      <c r="J314" s="17"/>
      <c r="K314" s="17"/>
      <c r="L314" s="17"/>
    </row>
    <row r="315" spans="1:12">
      <c r="A315" s="37"/>
      <c r="B315" s="36">
        <v>9</v>
      </c>
      <c r="C315" s="19" t="s">
        <v>376</v>
      </c>
      <c r="D315" s="20">
        <v>1</v>
      </c>
      <c r="E315" s="21">
        <f t="shared" si="26"/>
        <v>330</v>
      </c>
      <c r="F315" s="20">
        <f t="shared" si="27"/>
        <v>330</v>
      </c>
      <c r="G315" s="21">
        <v>0.75102138908916127</v>
      </c>
      <c r="H315" s="20">
        <f t="shared" si="28"/>
        <v>247.83705839942323</v>
      </c>
      <c r="I315" s="2"/>
      <c r="J315" s="17"/>
      <c r="K315" s="17"/>
      <c r="L315" s="17"/>
    </row>
    <row r="316" spans="1:12">
      <c r="A316" s="37"/>
      <c r="B316" s="36">
        <v>10</v>
      </c>
      <c r="C316" s="39" t="s">
        <v>377</v>
      </c>
      <c r="D316" s="20">
        <v>2</v>
      </c>
      <c r="E316" s="21">
        <f t="shared" si="26"/>
        <v>330</v>
      </c>
      <c r="F316" s="20">
        <f t="shared" si="27"/>
        <v>660</v>
      </c>
      <c r="G316" s="21">
        <v>2.6360850757029559</v>
      </c>
      <c r="H316" s="20">
        <f t="shared" si="28"/>
        <v>1739.8161499639509</v>
      </c>
      <c r="I316" s="2"/>
      <c r="J316" s="17"/>
      <c r="K316" s="17"/>
      <c r="L316" s="17"/>
    </row>
    <row r="317" spans="1:12">
      <c r="A317" s="37"/>
      <c r="B317" s="36">
        <v>11</v>
      </c>
      <c r="C317" s="19" t="s">
        <v>378</v>
      </c>
      <c r="D317" s="20">
        <v>1</v>
      </c>
      <c r="E317" s="21">
        <f t="shared" si="26"/>
        <v>330</v>
      </c>
      <c r="F317" s="20">
        <f t="shared" si="27"/>
        <v>330</v>
      </c>
      <c r="G317" s="21">
        <v>0.93877673636145154</v>
      </c>
      <c r="H317" s="20">
        <f t="shared" si="28"/>
        <v>309.79632299927903</v>
      </c>
      <c r="I317" s="2"/>
      <c r="J317" s="17"/>
      <c r="K317" s="17"/>
      <c r="L317" s="17"/>
    </row>
    <row r="318" spans="1:12">
      <c r="A318" s="37"/>
      <c r="B318" s="36">
        <v>12</v>
      </c>
      <c r="C318" s="19"/>
      <c r="D318" s="20">
        <v>0</v>
      </c>
      <c r="E318" s="21">
        <v>1</v>
      </c>
      <c r="F318" s="20">
        <f t="shared" si="27"/>
        <v>0</v>
      </c>
      <c r="G318" s="21">
        <v>0</v>
      </c>
      <c r="H318" s="20">
        <f t="shared" si="28"/>
        <v>0</v>
      </c>
      <c r="I318" s="2"/>
      <c r="J318" s="17"/>
      <c r="K318" s="17"/>
      <c r="L318" s="17"/>
    </row>
    <row r="319" spans="1:12">
      <c r="A319" s="37"/>
      <c r="B319" s="36">
        <v>13</v>
      </c>
      <c r="C319" s="19"/>
      <c r="D319" s="20">
        <v>0</v>
      </c>
      <c r="E319" s="21">
        <v>1</v>
      </c>
      <c r="F319" s="20">
        <f>D319*E319</f>
        <v>0</v>
      </c>
      <c r="G319" s="21">
        <v>0</v>
      </c>
      <c r="H319" s="20">
        <f>F319*G319</f>
        <v>0</v>
      </c>
      <c r="I319" s="2"/>
      <c r="J319" s="17"/>
      <c r="K319" s="17"/>
      <c r="L319" s="17"/>
    </row>
    <row r="320" spans="1:12">
      <c r="A320" s="37"/>
      <c r="B320" s="36"/>
      <c r="C320" s="14" t="s">
        <v>152</v>
      </c>
      <c r="D320" s="20"/>
      <c r="F320" s="20"/>
      <c r="H320" s="25">
        <f>SUM(H307:H319)</f>
        <v>15204.679614275417</v>
      </c>
      <c r="I320" s="2"/>
      <c r="J320" s="17"/>
      <c r="K320" s="17"/>
      <c r="L320" s="17"/>
    </row>
    <row r="321" spans="1:12">
      <c r="A321" s="37"/>
      <c r="B321" s="38"/>
      <c r="C321" s="14"/>
      <c r="D321" s="20"/>
      <c r="F321" s="20"/>
      <c r="H321" s="20"/>
      <c r="I321" s="2"/>
      <c r="J321" s="17"/>
      <c r="K321" s="17"/>
      <c r="L321" s="17"/>
    </row>
    <row r="322" spans="1:12">
      <c r="A322" s="37"/>
      <c r="B322" s="38"/>
      <c r="C322" s="14" t="s">
        <v>153</v>
      </c>
      <c r="D322" s="20"/>
      <c r="F322" s="20"/>
      <c r="H322" s="20"/>
      <c r="I322" s="2"/>
      <c r="J322" s="17"/>
      <c r="K322" s="17"/>
      <c r="L322" s="17"/>
    </row>
    <row r="323" spans="1:12">
      <c r="A323" s="37"/>
      <c r="B323" s="36">
        <v>1</v>
      </c>
      <c r="C323" s="19" t="s">
        <v>379</v>
      </c>
      <c r="D323" s="20">
        <v>1</v>
      </c>
      <c r="E323" s="21">
        <f t="shared" ref="E323:E337" si="29">5.5*60</f>
        <v>330</v>
      </c>
      <c r="F323" s="20">
        <f>D323*E323</f>
        <v>330</v>
      </c>
      <c r="G323" s="21">
        <v>1.6843006488824801</v>
      </c>
      <c r="H323" s="20">
        <f>F323*G323</f>
        <v>555.81921413121847</v>
      </c>
      <c r="I323" s="2"/>
      <c r="J323" s="17"/>
      <c r="K323" s="17"/>
      <c r="L323" s="17"/>
    </row>
    <row r="324" spans="1:12">
      <c r="A324" s="37"/>
      <c r="B324" s="36">
        <v>2</v>
      </c>
      <c r="C324" s="19" t="s">
        <v>380</v>
      </c>
      <c r="D324" s="20">
        <v>11</v>
      </c>
      <c r="E324" s="21">
        <f t="shared" si="29"/>
        <v>330</v>
      </c>
      <c r="F324" s="20">
        <f t="shared" ref="F324:F345" si="30">D324*E324</f>
        <v>3630</v>
      </c>
      <c r="G324" s="21">
        <v>1.2016342225426579E-2</v>
      </c>
      <c r="H324" s="20">
        <f t="shared" ref="H324:H345" si="31">F324*G324</f>
        <v>43.619322278298483</v>
      </c>
      <c r="I324" s="2"/>
      <c r="J324" s="17"/>
      <c r="K324" s="17"/>
      <c r="L324" s="17"/>
    </row>
    <row r="325" spans="1:12">
      <c r="A325" s="37"/>
      <c r="B325" s="36">
        <v>3</v>
      </c>
      <c r="C325" s="19" t="s">
        <v>381</v>
      </c>
      <c r="D325" s="20">
        <v>1</v>
      </c>
      <c r="E325" s="21">
        <f t="shared" si="29"/>
        <v>330</v>
      </c>
      <c r="F325" s="20">
        <f t="shared" si="30"/>
        <v>330</v>
      </c>
      <c r="G325" s="21">
        <v>9.0122566690699346E-2</v>
      </c>
      <c r="H325" s="20">
        <f t="shared" si="31"/>
        <v>29.740447007930783</v>
      </c>
      <c r="I325" s="2"/>
      <c r="J325" s="17"/>
      <c r="K325" s="17"/>
      <c r="L325" s="17"/>
    </row>
    <row r="326" spans="1:12">
      <c r="A326" s="37"/>
      <c r="B326" s="36">
        <v>4</v>
      </c>
      <c r="C326" s="19" t="s">
        <v>382</v>
      </c>
      <c r="D326" s="20">
        <v>1</v>
      </c>
      <c r="E326" s="21">
        <f t="shared" si="29"/>
        <v>330</v>
      </c>
      <c r="F326" s="20">
        <f t="shared" si="30"/>
        <v>330</v>
      </c>
      <c r="G326" s="21">
        <v>0.54674357125690942</v>
      </c>
      <c r="H326" s="20">
        <f t="shared" si="31"/>
        <v>180.42537851478011</v>
      </c>
      <c r="I326" s="2"/>
      <c r="J326" s="17"/>
      <c r="K326" s="17"/>
      <c r="L326" s="17"/>
    </row>
    <row r="327" spans="1:12">
      <c r="A327" s="37"/>
      <c r="B327" s="36">
        <v>5</v>
      </c>
      <c r="C327" s="19" t="s">
        <v>383</v>
      </c>
      <c r="D327" s="20">
        <v>1</v>
      </c>
      <c r="E327" s="21">
        <f t="shared" si="29"/>
        <v>330</v>
      </c>
      <c r="F327" s="20">
        <f t="shared" si="30"/>
        <v>330</v>
      </c>
      <c r="G327" s="21">
        <v>0.50468637346791634</v>
      </c>
      <c r="H327" s="20">
        <f t="shared" si="31"/>
        <v>166.54650324441238</v>
      </c>
      <c r="I327" s="2"/>
      <c r="J327" s="17"/>
      <c r="K327" s="17"/>
      <c r="L327" s="17"/>
    </row>
    <row r="328" spans="1:12">
      <c r="A328" s="37"/>
      <c r="B328" s="36">
        <v>6</v>
      </c>
      <c r="C328" s="19" t="s">
        <v>384</v>
      </c>
      <c r="D328" s="20">
        <v>1</v>
      </c>
      <c r="E328" s="21">
        <f t="shared" si="29"/>
        <v>330</v>
      </c>
      <c r="F328" s="20">
        <f t="shared" si="30"/>
        <v>330</v>
      </c>
      <c r="G328" s="21">
        <v>1.5020427781783225</v>
      </c>
      <c r="H328" s="20">
        <f t="shared" si="31"/>
        <v>495.67411679884646</v>
      </c>
      <c r="I328" s="2"/>
      <c r="J328" s="17"/>
      <c r="K328" s="17"/>
      <c r="L328" s="17"/>
    </row>
    <row r="329" spans="1:12">
      <c r="A329" s="37"/>
      <c r="B329" s="36">
        <v>7</v>
      </c>
      <c r="C329" s="19" t="s">
        <v>385</v>
      </c>
      <c r="D329" s="20">
        <v>6</v>
      </c>
      <c r="E329" s="21">
        <f t="shared" si="29"/>
        <v>330</v>
      </c>
      <c r="F329" s="20">
        <f t="shared" si="30"/>
        <v>1980</v>
      </c>
      <c r="G329" s="21">
        <v>0.65176640230713767</v>
      </c>
      <c r="H329" s="20">
        <f t="shared" si="31"/>
        <v>1290.4974765681327</v>
      </c>
      <c r="I329" s="2"/>
      <c r="J329" s="17"/>
      <c r="K329" s="17"/>
      <c r="L329" s="17"/>
    </row>
    <row r="330" spans="1:12">
      <c r="A330" s="37"/>
      <c r="B330" s="36">
        <v>8</v>
      </c>
      <c r="C330" s="19" t="s">
        <v>386</v>
      </c>
      <c r="D330" s="20">
        <v>1</v>
      </c>
      <c r="E330" s="21">
        <f t="shared" si="29"/>
        <v>330</v>
      </c>
      <c r="F330" s="20">
        <f t="shared" si="30"/>
        <v>330</v>
      </c>
      <c r="G330" s="21">
        <v>9.0122566690699344</v>
      </c>
      <c r="H330" s="20">
        <f t="shared" si="31"/>
        <v>2974.0447007930784</v>
      </c>
      <c r="I330" s="2"/>
      <c r="J330" s="17"/>
      <c r="K330" s="17"/>
      <c r="L330" s="17"/>
    </row>
    <row r="331" spans="1:12">
      <c r="A331" s="37"/>
      <c r="B331" s="36">
        <v>9</v>
      </c>
      <c r="C331" s="40" t="s">
        <v>387</v>
      </c>
      <c r="D331" s="68">
        <v>1</v>
      </c>
      <c r="E331" s="21">
        <f t="shared" si="29"/>
        <v>330</v>
      </c>
      <c r="F331" s="68">
        <f t="shared" si="30"/>
        <v>330</v>
      </c>
      <c r="G331" s="69">
        <v>1.6822879115597211</v>
      </c>
      <c r="H331" s="68">
        <f t="shared" si="31"/>
        <v>555.15501081470802</v>
      </c>
      <c r="I331" s="2"/>
      <c r="J331" s="17"/>
      <c r="K331" s="17"/>
      <c r="L331" s="17"/>
    </row>
    <row r="332" spans="1:12">
      <c r="A332" s="37"/>
      <c r="B332" s="36">
        <v>10</v>
      </c>
      <c r="C332" s="19" t="s">
        <v>388</v>
      </c>
      <c r="D332" s="20">
        <v>4</v>
      </c>
      <c r="E332" s="21">
        <f t="shared" si="29"/>
        <v>330</v>
      </c>
      <c r="F332" s="20">
        <f t="shared" si="30"/>
        <v>1320</v>
      </c>
      <c r="G332" s="21">
        <v>0.18024513338139869</v>
      </c>
      <c r="H332" s="20">
        <f t="shared" si="31"/>
        <v>237.92357606344626</v>
      </c>
      <c r="I332" s="2"/>
      <c r="J332" s="17"/>
      <c r="K332" s="17"/>
      <c r="L332" s="17"/>
    </row>
    <row r="333" spans="1:12">
      <c r="A333" s="37"/>
      <c r="B333" s="36">
        <v>11</v>
      </c>
      <c r="C333" s="19" t="s">
        <v>389</v>
      </c>
      <c r="D333" s="20">
        <v>2</v>
      </c>
      <c r="E333" s="21">
        <f t="shared" si="29"/>
        <v>330</v>
      </c>
      <c r="F333" s="20">
        <f t="shared" si="30"/>
        <v>660</v>
      </c>
      <c r="G333" s="21">
        <v>7.2098053352559477E-2</v>
      </c>
      <c r="H333" s="20">
        <f t="shared" si="31"/>
        <v>47.584715212689254</v>
      </c>
      <c r="I333" s="2"/>
      <c r="J333" s="17"/>
      <c r="K333" s="17"/>
      <c r="L333" s="17"/>
    </row>
    <row r="334" spans="1:12">
      <c r="A334" s="37"/>
      <c r="B334" s="36">
        <v>12</v>
      </c>
      <c r="C334" s="19" t="s">
        <v>390</v>
      </c>
      <c r="D334" s="20">
        <v>1</v>
      </c>
      <c r="E334" s="21">
        <f t="shared" si="29"/>
        <v>330</v>
      </c>
      <c r="F334" s="20">
        <f t="shared" si="30"/>
        <v>330</v>
      </c>
      <c r="G334" s="21">
        <v>7.8106224465272767E-2</v>
      </c>
      <c r="H334" s="20">
        <f t="shared" si="31"/>
        <v>25.775054073540012</v>
      </c>
      <c r="I334" s="2"/>
      <c r="J334" s="17"/>
      <c r="K334" s="17"/>
      <c r="L334" s="17"/>
    </row>
    <row r="335" spans="1:12">
      <c r="A335" s="37"/>
      <c r="B335" s="36">
        <v>13</v>
      </c>
      <c r="C335" s="19" t="s">
        <v>391</v>
      </c>
      <c r="D335" s="20">
        <v>11</v>
      </c>
      <c r="E335" s="21">
        <f t="shared" si="29"/>
        <v>330</v>
      </c>
      <c r="F335" s="20">
        <f t="shared" si="30"/>
        <v>3630</v>
      </c>
      <c r="G335" s="21">
        <v>9.0122566690699346E-2</v>
      </c>
      <c r="H335" s="20">
        <f t="shared" si="31"/>
        <v>327.14491708723864</v>
      </c>
      <c r="I335" s="2"/>
      <c r="J335" s="17"/>
      <c r="K335" s="17"/>
      <c r="L335" s="17"/>
    </row>
    <row r="336" spans="1:12">
      <c r="A336" s="37"/>
      <c r="B336" s="36">
        <v>14</v>
      </c>
      <c r="C336" s="19" t="s">
        <v>392</v>
      </c>
      <c r="D336" s="20">
        <v>1</v>
      </c>
      <c r="E336" s="21">
        <f t="shared" si="29"/>
        <v>330</v>
      </c>
      <c r="F336" s="20">
        <f t="shared" si="30"/>
        <v>330</v>
      </c>
      <c r="G336" s="21">
        <v>0.14419610670511895</v>
      </c>
      <c r="H336" s="20">
        <f t="shared" si="31"/>
        <v>47.584715212689254</v>
      </c>
      <c r="I336" s="2"/>
      <c r="J336" s="17"/>
      <c r="K336" s="17"/>
      <c r="L336" s="17"/>
    </row>
    <row r="337" spans="1:12">
      <c r="A337" s="37"/>
      <c r="B337" s="36">
        <v>15</v>
      </c>
      <c r="C337" s="19" t="s">
        <v>393</v>
      </c>
      <c r="D337" s="20">
        <v>5</v>
      </c>
      <c r="E337" s="21">
        <f t="shared" si="29"/>
        <v>330</v>
      </c>
      <c r="F337" s="20">
        <f t="shared" si="30"/>
        <v>1650</v>
      </c>
      <c r="G337" s="21">
        <v>0.19526556116318192</v>
      </c>
      <c r="H337" s="20">
        <f t="shared" si="31"/>
        <v>322.18817591925017</v>
      </c>
      <c r="I337" s="2"/>
      <c r="J337" s="17"/>
      <c r="K337" s="17"/>
      <c r="L337" s="17"/>
    </row>
    <row r="338" spans="1:12">
      <c r="A338" s="37"/>
      <c r="B338" s="36">
        <v>16</v>
      </c>
      <c r="C338" s="19"/>
      <c r="D338" s="20"/>
      <c r="E338" s="21">
        <v>0</v>
      </c>
      <c r="F338" s="20">
        <f t="shared" si="30"/>
        <v>0</v>
      </c>
      <c r="G338" s="21">
        <v>109</v>
      </c>
      <c r="H338" s="20">
        <f t="shared" si="31"/>
        <v>0</v>
      </c>
      <c r="I338" s="2"/>
      <c r="J338" s="17"/>
      <c r="K338" s="17"/>
      <c r="L338" s="17"/>
    </row>
    <row r="339" spans="1:12">
      <c r="A339" s="37"/>
      <c r="B339" s="36">
        <v>17</v>
      </c>
      <c r="C339" s="19"/>
      <c r="D339" s="20"/>
      <c r="E339" s="21">
        <v>0</v>
      </c>
      <c r="F339" s="20">
        <f t="shared" si="30"/>
        <v>0</v>
      </c>
      <c r="G339" s="21">
        <v>110</v>
      </c>
      <c r="H339" s="20">
        <f t="shared" si="31"/>
        <v>0</v>
      </c>
      <c r="I339" s="2"/>
      <c r="J339" s="17"/>
      <c r="K339" s="17"/>
      <c r="L339" s="17"/>
    </row>
    <row r="340" spans="1:12">
      <c r="A340" s="37"/>
      <c r="B340" s="36">
        <v>18</v>
      </c>
      <c r="C340" s="19"/>
      <c r="D340" s="20"/>
      <c r="E340" s="21">
        <v>0</v>
      </c>
      <c r="F340" s="20">
        <f t="shared" si="30"/>
        <v>0</v>
      </c>
      <c r="G340" s="21">
        <v>111</v>
      </c>
      <c r="H340" s="20">
        <f t="shared" si="31"/>
        <v>0</v>
      </c>
      <c r="I340" s="2"/>
      <c r="J340" s="17"/>
      <c r="K340" s="17"/>
      <c r="L340" s="17"/>
    </row>
    <row r="341" spans="1:12">
      <c r="A341" s="37"/>
      <c r="B341" s="36">
        <v>19</v>
      </c>
      <c r="C341" s="19"/>
      <c r="D341" s="20"/>
      <c r="E341" s="21">
        <v>0</v>
      </c>
      <c r="F341" s="20">
        <f t="shared" si="30"/>
        <v>0</v>
      </c>
      <c r="G341" s="21">
        <v>112</v>
      </c>
      <c r="H341" s="20">
        <f t="shared" si="31"/>
        <v>0</v>
      </c>
      <c r="I341" s="2"/>
      <c r="J341" s="17"/>
      <c r="K341" s="17"/>
      <c r="L341" s="17"/>
    </row>
    <row r="342" spans="1:12">
      <c r="A342" s="37"/>
      <c r="B342" s="36">
        <v>20</v>
      </c>
      <c r="C342" s="19"/>
      <c r="D342" s="20">
        <v>0</v>
      </c>
      <c r="E342" s="21">
        <v>0</v>
      </c>
      <c r="F342" s="20">
        <f t="shared" si="30"/>
        <v>0</v>
      </c>
      <c r="G342" s="21">
        <v>108</v>
      </c>
      <c r="H342" s="20">
        <f t="shared" si="31"/>
        <v>0</v>
      </c>
      <c r="I342" s="2"/>
      <c r="J342" s="17"/>
      <c r="K342" s="17"/>
      <c r="L342" s="17"/>
    </row>
    <row r="343" spans="1:12">
      <c r="A343" s="37"/>
      <c r="B343" s="36">
        <v>21</v>
      </c>
      <c r="C343" s="19"/>
      <c r="D343" s="20">
        <v>0</v>
      </c>
      <c r="E343" s="21">
        <v>0</v>
      </c>
      <c r="F343" s="20">
        <f t="shared" si="30"/>
        <v>0</v>
      </c>
      <c r="G343" s="21">
        <v>109</v>
      </c>
      <c r="H343" s="20">
        <f t="shared" si="31"/>
        <v>0</v>
      </c>
      <c r="I343" s="2"/>
      <c r="J343" s="17"/>
      <c r="K343" s="17"/>
      <c r="L343" s="17"/>
    </row>
    <row r="344" spans="1:12">
      <c r="A344" s="37"/>
      <c r="B344" s="36">
        <v>22</v>
      </c>
      <c r="C344" s="19"/>
      <c r="D344" s="20">
        <v>0</v>
      </c>
      <c r="E344" s="21">
        <v>0</v>
      </c>
      <c r="F344" s="20">
        <f t="shared" si="30"/>
        <v>0</v>
      </c>
      <c r="G344" s="21">
        <v>110</v>
      </c>
      <c r="H344" s="20">
        <f t="shared" si="31"/>
        <v>0</v>
      </c>
      <c r="I344" s="2"/>
      <c r="J344" s="17"/>
      <c r="K344" s="17"/>
      <c r="L344" s="17"/>
    </row>
    <row r="345" spans="1:12">
      <c r="A345" s="37"/>
      <c r="B345" s="36">
        <v>23</v>
      </c>
      <c r="C345" s="19"/>
      <c r="D345" s="20">
        <v>0</v>
      </c>
      <c r="E345" s="21">
        <v>0</v>
      </c>
      <c r="F345" s="20">
        <f t="shared" si="30"/>
        <v>0</v>
      </c>
      <c r="G345" s="21">
        <v>111</v>
      </c>
      <c r="H345" s="20">
        <f t="shared" si="31"/>
        <v>0</v>
      </c>
      <c r="I345" s="2"/>
      <c r="J345" s="17"/>
      <c r="K345" s="17"/>
      <c r="L345" s="17"/>
    </row>
    <row r="346" spans="1:12">
      <c r="A346" s="37"/>
      <c r="B346" s="36">
        <v>24</v>
      </c>
      <c r="C346" s="19"/>
      <c r="D346" s="20">
        <v>0</v>
      </c>
      <c r="E346" s="21">
        <v>0</v>
      </c>
      <c r="F346" s="20">
        <f>D346*E346</f>
        <v>0</v>
      </c>
      <c r="G346" s="21">
        <v>102</v>
      </c>
      <c r="H346" s="20">
        <f>F346*G346</f>
        <v>0</v>
      </c>
      <c r="I346" s="2"/>
      <c r="J346" s="17"/>
      <c r="K346" s="17"/>
      <c r="L346" s="17"/>
    </row>
    <row r="347" spans="1:12">
      <c r="A347" s="37"/>
      <c r="B347" s="36"/>
      <c r="C347" s="14" t="s">
        <v>154</v>
      </c>
      <c r="D347" s="20"/>
      <c r="F347" s="20"/>
      <c r="H347" s="25">
        <f>SUM(H323:H346)</f>
        <v>7299.7233237202581</v>
      </c>
      <c r="I347" s="2"/>
      <c r="J347" s="17"/>
      <c r="K347" s="17"/>
      <c r="L347" s="17"/>
    </row>
    <row r="348" spans="1:12">
      <c r="A348" s="37"/>
      <c r="B348" s="38"/>
      <c r="C348" s="14"/>
      <c r="D348" s="20"/>
      <c r="F348" s="20"/>
      <c r="H348" s="20"/>
      <c r="I348" s="2"/>
      <c r="J348" s="17"/>
      <c r="K348" s="17"/>
      <c r="L348" s="17"/>
    </row>
    <row r="349" spans="1:12">
      <c r="A349" s="37"/>
      <c r="B349" s="38"/>
      <c r="C349" s="14" t="s">
        <v>155</v>
      </c>
      <c r="D349" s="20"/>
      <c r="F349" s="20"/>
      <c r="H349" s="20"/>
      <c r="I349" s="2"/>
      <c r="J349" s="17"/>
      <c r="K349" s="17"/>
      <c r="L349" s="17"/>
    </row>
    <row r="350" spans="1:12">
      <c r="A350" s="37"/>
      <c r="B350" s="36">
        <v>1</v>
      </c>
      <c r="C350" s="19" t="s">
        <v>394</v>
      </c>
      <c r="D350" s="15">
        <v>5</v>
      </c>
      <c r="E350" s="21">
        <v>1</v>
      </c>
      <c r="F350" s="20">
        <f>D350*E350</f>
        <v>5</v>
      </c>
      <c r="G350" s="69">
        <v>19384</v>
      </c>
      <c r="H350" s="20">
        <f>F350*G350</f>
        <v>96920</v>
      </c>
      <c r="I350" s="2"/>
      <c r="J350" s="17"/>
      <c r="K350" s="17"/>
      <c r="L350" s="17"/>
    </row>
    <row r="351" spans="1:12">
      <c r="A351" s="37"/>
      <c r="B351" s="36">
        <v>2</v>
      </c>
      <c r="C351" s="19" t="s">
        <v>395</v>
      </c>
      <c r="D351" s="15">
        <v>0</v>
      </c>
      <c r="E351" s="21">
        <v>1</v>
      </c>
      <c r="F351" s="20">
        <f t="shared" ref="F351:F414" si="32">D351*E351</f>
        <v>0</v>
      </c>
      <c r="G351" s="69">
        <v>13290</v>
      </c>
      <c r="H351" s="20">
        <f t="shared" ref="H351:H414" si="33">F351*G351</f>
        <v>0</v>
      </c>
      <c r="I351" s="2"/>
      <c r="J351" s="17"/>
      <c r="K351" s="17"/>
      <c r="L351" s="17"/>
    </row>
    <row r="352" spans="1:12">
      <c r="A352" s="37"/>
      <c r="B352" s="36">
        <v>3</v>
      </c>
      <c r="C352" s="19" t="s">
        <v>396</v>
      </c>
      <c r="D352" s="15">
        <v>1</v>
      </c>
      <c r="E352" s="21">
        <v>1</v>
      </c>
      <c r="F352" s="20">
        <f t="shared" si="32"/>
        <v>1</v>
      </c>
      <c r="G352" s="69">
        <v>34581</v>
      </c>
      <c r="H352" s="20">
        <f t="shared" si="33"/>
        <v>34581</v>
      </c>
      <c r="I352" s="2"/>
      <c r="J352" s="17"/>
      <c r="K352" s="17"/>
      <c r="L352" s="17"/>
    </row>
    <row r="353" spans="1:12">
      <c r="A353" s="37"/>
      <c r="B353" s="36">
        <v>4</v>
      </c>
      <c r="C353" s="19" t="s">
        <v>397</v>
      </c>
      <c r="D353" s="15">
        <v>0.5</v>
      </c>
      <c r="E353" s="21">
        <v>1</v>
      </c>
      <c r="F353" s="20">
        <f t="shared" si="32"/>
        <v>0.5</v>
      </c>
      <c r="G353" s="69">
        <v>5000</v>
      </c>
      <c r="H353" s="20">
        <f t="shared" si="33"/>
        <v>2500</v>
      </c>
      <c r="I353" s="2"/>
      <c r="J353" s="17"/>
      <c r="K353" s="17"/>
      <c r="L353" s="17"/>
    </row>
    <row r="354" spans="1:12">
      <c r="A354" s="37"/>
      <c r="B354" s="36">
        <v>5</v>
      </c>
      <c r="C354" s="19" t="s">
        <v>398</v>
      </c>
      <c r="D354" s="15">
        <v>1</v>
      </c>
      <c r="E354" s="21">
        <v>1</v>
      </c>
      <c r="F354" s="20">
        <f t="shared" si="32"/>
        <v>1</v>
      </c>
      <c r="G354" s="69">
        <v>14889</v>
      </c>
      <c r="H354" s="20">
        <f t="shared" si="33"/>
        <v>14889</v>
      </c>
      <c r="I354" s="2"/>
      <c r="J354" s="17"/>
      <c r="K354" s="17"/>
      <c r="L354" s="17"/>
    </row>
    <row r="355" spans="1:12">
      <c r="A355" s="37"/>
      <c r="B355" s="36">
        <v>6</v>
      </c>
      <c r="C355" s="19" t="s">
        <v>399</v>
      </c>
      <c r="D355" s="15">
        <v>1</v>
      </c>
      <c r="E355" s="21">
        <v>1</v>
      </c>
      <c r="F355" s="20">
        <f t="shared" si="32"/>
        <v>1</v>
      </c>
      <c r="G355" s="69">
        <v>60205</v>
      </c>
      <c r="H355" s="20">
        <f t="shared" si="33"/>
        <v>60205</v>
      </c>
      <c r="I355" s="2"/>
      <c r="J355" s="17"/>
      <c r="K355" s="17"/>
      <c r="L355" s="17"/>
    </row>
    <row r="356" spans="1:12">
      <c r="A356" s="37"/>
      <c r="B356" s="36">
        <v>7</v>
      </c>
      <c r="C356" s="19" t="s">
        <v>400</v>
      </c>
      <c r="D356" s="15">
        <v>1</v>
      </c>
      <c r="E356" s="21">
        <v>1</v>
      </c>
      <c r="F356" s="20">
        <f t="shared" si="32"/>
        <v>1</v>
      </c>
      <c r="G356" s="69">
        <v>10961</v>
      </c>
      <c r="H356" s="20">
        <f t="shared" si="33"/>
        <v>10961</v>
      </c>
      <c r="I356" s="2"/>
      <c r="J356" s="17"/>
      <c r="K356" s="17"/>
      <c r="L356" s="17"/>
    </row>
    <row r="357" spans="1:12">
      <c r="A357" s="37"/>
      <c r="B357" s="36">
        <v>8</v>
      </c>
      <c r="C357" s="19" t="s">
        <v>401</v>
      </c>
      <c r="D357" s="15">
        <v>1</v>
      </c>
      <c r="E357" s="21">
        <v>1</v>
      </c>
      <c r="F357" s="20">
        <f t="shared" si="32"/>
        <v>1</v>
      </c>
      <c r="G357" s="69">
        <v>1015</v>
      </c>
      <c r="H357" s="20">
        <f t="shared" si="33"/>
        <v>1015</v>
      </c>
      <c r="I357" s="2"/>
      <c r="J357" s="17"/>
      <c r="K357" s="17"/>
      <c r="L357" s="17"/>
    </row>
    <row r="358" spans="1:12">
      <c r="A358" s="37"/>
      <c r="B358" s="36">
        <v>9</v>
      </c>
      <c r="C358" s="19" t="s">
        <v>402</v>
      </c>
      <c r="D358" s="15">
        <v>1</v>
      </c>
      <c r="E358" s="21">
        <v>1</v>
      </c>
      <c r="F358" s="20">
        <f t="shared" si="32"/>
        <v>1</v>
      </c>
      <c r="G358" s="69">
        <v>592</v>
      </c>
      <c r="H358" s="20">
        <f t="shared" si="33"/>
        <v>592</v>
      </c>
      <c r="I358" s="2"/>
      <c r="J358" s="17"/>
      <c r="K358" s="17"/>
      <c r="L358" s="17"/>
    </row>
    <row r="359" spans="1:12">
      <c r="A359" s="37"/>
      <c r="B359" s="36">
        <v>10</v>
      </c>
      <c r="C359" s="19" t="s">
        <v>403</v>
      </c>
      <c r="D359" s="15">
        <v>0.5</v>
      </c>
      <c r="E359" s="21">
        <v>1</v>
      </c>
      <c r="F359" s="20">
        <f t="shared" si="32"/>
        <v>0.5</v>
      </c>
      <c r="G359" s="69">
        <v>5640</v>
      </c>
      <c r="H359" s="20">
        <f t="shared" si="33"/>
        <v>2820</v>
      </c>
      <c r="I359" s="2"/>
      <c r="J359" s="17"/>
      <c r="K359" s="17"/>
      <c r="L359" s="17"/>
    </row>
    <row r="360" spans="1:12">
      <c r="A360" s="37"/>
      <c r="B360" s="36">
        <v>11</v>
      </c>
      <c r="C360" s="19" t="s">
        <v>404</v>
      </c>
      <c r="D360" s="15">
        <v>0.5</v>
      </c>
      <c r="E360" s="21">
        <v>1</v>
      </c>
      <c r="F360" s="20">
        <f t="shared" si="32"/>
        <v>0.5</v>
      </c>
      <c r="G360" s="69">
        <v>13461</v>
      </c>
      <c r="H360" s="20">
        <f t="shared" si="33"/>
        <v>6730.5</v>
      </c>
      <c r="I360" s="2"/>
      <c r="J360" s="17"/>
      <c r="K360" s="17"/>
      <c r="L360" s="17"/>
    </row>
    <row r="361" spans="1:12">
      <c r="A361" s="37"/>
      <c r="B361" s="36">
        <v>12</v>
      </c>
      <c r="C361" s="19" t="s">
        <v>405</v>
      </c>
      <c r="D361" s="15">
        <v>40</v>
      </c>
      <c r="E361" s="21">
        <v>1</v>
      </c>
      <c r="F361" s="20">
        <f t="shared" si="32"/>
        <v>40</v>
      </c>
      <c r="G361" s="69">
        <v>1184</v>
      </c>
      <c r="H361" s="20">
        <f t="shared" si="33"/>
        <v>47360</v>
      </c>
      <c r="I361" s="2"/>
      <c r="J361" s="17"/>
      <c r="K361" s="17"/>
      <c r="L361" s="17"/>
    </row>
    <row r="362" spans="1:12">
      <c r="A362" s="37"/>
      <c r="B362" s="36">
        <v>13</v>
      </c>
      <c r="C362" s="19" t="s">
        <v>406</v>
      </c>
      <c r="D362" s="15">
        <v>0.1</v>
      </c>
      <c r="E362" s="21">
        <v>1</v>
      </c>
      <c r="F362" s="20">
        <f t="shared" si="32"/>
        <v>0.1</v>
      </c>
      <c r="G362" s="69">
        <v>91538</v>
      </c>
      <c r="H362" s="20">
        <f t="shared" si="33"/>
        <v>9153.8000000000011</v>
      </c>
      <c r="I362" s="2"/>
      <c r="J362" s="17"/>
      <c r="K362" s="17"/>
      <c r="L362" s="17"/>
    </row>
    <row r="363" spans="1:12">
      <c r="A363" s="37"/>
      <c r="B363" s="36">
        <v>14</v>
      </c>
      <c r="C363" s="19" t="s">
        <v>407</v>
      </c>
      <c r="D363" s="15">
        <v>4</v>
      </c>
      <c r="E363" s="21">
        <v>1</v>
      </c>
      <c r="F363" s="20">
        <f t="shared" si="32"/>
        <v>4</v>
      </c>
      <c r="G363" s="69">
        <v>930</v>
      </c>
      <c r="H363" s="20">
        <f t="shared" si="33"/>
        <v>3720</v>
      </c>
      <c r="I363" s="2"/>
      <c r="J363" s="17"/>
      <c r="K363" s="17"/>
      <c r="L363" s="17"/>
    </row>
    <row r="364" spans="1:12">
      <c r="A364" s="37"/>
      <c r="B364" s="36">
        <v>15</v>
      </c>
      <c r="C364" s="19" t="s">
        <v>408</v>
      </c>
      <c r="D364" s="15">
        <v>1</v>
      </c>
      <c r="E364" s="21">
        <v>1</v>
      </c>
      <c r="F364" s="20">
        <f t="shared" si="32"/>
        <v>1</v>
      </c>
      <c r="G364" s="69">
        <v>10000</v>
      </c>
      <c r="H364" s="20">
        <f t="shared" si="33"/>
        <v>10000</v>
      </c>
      <c r="I364" s="2"/>
      <c r="J364" s="17"/>
      <c r="K364" s="17"/>
      <c r="L364" s="17"/>
    </row>
    <row r="365" spans="1:12">
      <c r="A365" s="37"/>
      <c r="B365" s="36">
        <v>16</v>
      </c>
      <c r="C365" s="19" t="s">
        <v>409</v>
      </c>
      <c r="D365" s="15">
        <v>0.1</v>
      </c>
      <c r="E365" s="21">
        <v>1</v>
      </c>
      <c r="F365" s="20">
        <f t="shared" si="32"/>
        <v>0.1</v>
      </c>
      <c r="G365" s="69">
        <v>129230</v>
      </c>
      <c r="H365" s="20">
        <f t="shared" si="33"/>
        <v>12923</v>
      </c>
      <c r="I365" s="2"/>
      <c r="J365" s="17"/>
      <c r="K365" s="17"/>
      <c r="L365" s="17"/>
    </row>
    <row r="366" spans="1:12">
      <c r="A366" s="37"/>
      <c r="B366" s="36">
        <v>17</v>
      </c>
      <c r="C366" s="19" t="s">
        <v>410</v>
      </c>
      <c r="D366" s="15">
        <v>1</v>
      </c>
      <c r="E366" s="21">
        <v>1</v>
      </c>
      <c r="F366" s="20">
        <f t="shared" si="32"/>
        <v>1</v>
      </c>
      <c r="G366" s="69">
        <v>230769</v>
      </c>
      <c r="H366" s="20">
        <f t="shared" si="33"/>
        <v>230769</v>
      </c>
      <c r="I366" s="2"/>
      <c r="J366" s="17"/>
      <c r="K366" s="17"/>
      <c r="L366" s="17"/>
    </row>
    <row r="367" spans="1:12">
      <c r="A367" s="37"/>
      <c r="B367" s="36">
        <v>18</v>
      </c>
      <c r="C367" s="19" t="s">
        <v>411</v>
      </c>
      <c r="D367" s="15">
        <v>1</v>
      </c>
      <c r="E367" s="21">
        <v>1</v>
      </c>
      <c r="F367" s="20">
        <f t="shared" si="32"/>
        <v>1</v>
      </c>
      <c r="G367" s="69">
        <v>1607</v>
      </c>
      <c r="H367" s="20">
        <f t="shared" si="33"/>
        <v>1607</v>
      </c>
      <c r="I367" s="2"/>
      <c r="J367" s="17"/>
      <c r="K367" s="17"/>
      <c r="L367" s="17"/>
    </row>
    <row r="368" spans="1:12">
      <c r="A368" s="37"/>
      <c r="B368" s="36">
        <v>19</v>
      </c>
      <c r="C368" s="19" t="s">
        <v>412</v>
      </c>
      <c r="D368" s="15">
        <v>2</v>
      </c>
      <c r="E368" s="21">
        <v>1</v>
      </c>
      <c r="F368" s="20">
        <f t="shared" si="32"/>
        <v>2</v>
      </c>
      <c r="G368" s="69">
        <v>846</v>
      </c>
      <c r="H368" s="20">
        <f t="shared" si="33"/>
        <v>1692</v>
      </c>
      <c r="I368" s="2"/>
      <c r="J368" s="17"/>
      <c r="K368" s="17"/>
      <c r="L368" s="17"/>
    </row>
    <row r="369" spans="1:12">
      <c r="A369" s="37"/>
      <c r="B369" s="36">
        <v>20</v>
      </c>
      <c r="C369" s="19" t="s">
        <v>413</v>
      </c>
      <c r="D369" s="15">
        <v>0</v>
      </c>
      <c r="E369" s="21">
        <v>1</v>
      </c>
      <c r="F369" s="20">
        <f t="shared" si="32"/>
        <v>0</v>
      </c>
      <c r="G369" s="69">
        <v>9230</v>
      </c>
      <c r="H369" s="20">
        <f t="shared" si="33"/>
        <v>0</v>
      </c>
      <c r="I369" s="2"/>
      <c r="J369" s="17"/>
      <c r="K369" s="17"/>
      <c r="L369" s="17"/>
    </row>
    <row r="370" spans="1:12">
      <c r="A370" s="37"/>
      <c r="B370" s="36">
        <v>21</v>
      </c>
      <c r="C370" s="19" t="s">
        <v>414</v>
      </c>
      <c r="D370" s="15">
        <v>0.5</v>
      </c>
      <c r="E370" s="21">
        <v>1</v>
      </c>
      <c r="F370" s="20">
        <f t="shared" si="32"/>
        <v>0.5</v>
      </c>
      <c r="G370" s="69">
        <v>60000</v>
      </c>
      <c r="H370" s="20">
        <f t="shared" si="33"/>
        <v>30000</v>
      </c>
      <c r="I370" s="2"/>
      <c r="J370" s="17"/>
      <c r="K370" s="17"/>
      <c r="L370" s="17"/>
    </row>
    <row r="371" spans="1:12">
      <c r="A371" s="37"/>
      <c r="B371" s="36">
        <v>22</v>
      </c>
      <c r="C371" s="19" t="s">
        <v>415</v>
      </c>
      <c r="D371" s="15">
        <v>1</v>
      </c>
      <c r="E371" s="21">
        <v>1</v>
      </c>
      <c r="F371" s="20">
        <f t="shared" si="32"/>
        <v>1</v>
      </c>
      <c r="G371" s="69">
        <v>4307</v>
      </c>
      <c r="H371" s="20">
        <f t="shared" si="33"/>
        <v>4307</v>
      </c>
      <c r="I371" s="2"/>
      <c r="J371" s="17"/>
      <c r="K371" s="17"/>
      <c r="L371" s="17"/>
    </row>
    <row r="372" spans="1:12">
      <c r="A372" s="37"/>
      <c r="B372" s="36">
        <v>23</v>
      </c>
      <c r="C372" s="19" t="s">
        <v>416</v>
      </c>
      <c r="D372" s="15">
        <v>12</v>
      </c>
      <c r="E372" s="21">
        <v>1</v>
      </c>
      <c r="F372" s="20">
        <f t="shared" si="32"/>
        <v>12</v>
      </c>
      <c r="G372" s="69">
        <v>1000</v>
      </c>
      <c r="H372" s="20">
        <f t="shared" si="33"/>
        <v>12000</v>
      </c>
      <c r="I372" s="2"/>
      <c r="J372" s="17"/>
      <c r="K372" s="17"/>
      <c r="L372" s="17"/>
    </row>
    <row r="373" spans="1:12">
      <c r="A373" s="37"/>
      <c r="B373" s="36">
        <v>24</v>
      </c>
      <c r="C373" s="19" t="s">
        <v>417</v>
      </c>
      <c r="D373" s="15">
        <v>0</v>
      </c>
      <c r="E373" s="21">
        <v>1</v>
      </c>
      <c r="F373" s="20">
        <f t="shared" si="32"/>
        <v>0</v>
      </c>
      <c r="G373" s="69">
        <v>49538</v>
      </c>
      <c r="H373" s="20">
        <f t="shared" si="33"/>
        <v>0</v>
      </c>
      <c r="I373" s="2"/>
      <c r="J373" s="17"/>
      <c r="K373" s="17"/>
      <c r="L373" s="17"/>
    </row>
    <row r="374" spans="1:12">
      <c r="A374" s="37"/>
      <c r="B374" s="36">
        <v>25</v>
      </c>
      <c r="C374" s="19" t="s">
        <v>418</v>
      </c>
      <c r="D374" s="15">
        <v>2</v>
      </c>
      <c r="E374" s="21">
        <v>1</v>
      </c>
      <c r="F374" s="20">
        <f t="shared" si="32"/>
        <v>2</v>
      </c>
      <c r="G374" s="69">
        <v>2000</v>
      </c>
      <c r="H374" s="20">
        <f t="shared" si="33"/>
        <v>4000</v>
      </c>
      <c r="I374" s="2"/>
      <c r="J374" s="17"/>
      <c r="K374" s="17"/>
      <c r="L374" s="17"/>
    </row>
    <row r="375" spans="1:12">
      <c r="A375" s="37"/>
      <c r="B375" s="36">
        <v>26</v>
      </c>
      <c r="C375" s="19" t="s">
        <v>419</v>
      </c>
      <c r="D375" s="15">
        <v>5</v>
      </c>
      <c r="E375" s="21">
        <v>1</v>
      </c>
      <c r="F375" s="20">
        <f t="shared" si="32"/>
        <v>5</v>
      </c>
      <c r="G375" s="69">
        <v>346</v>
      </c>
      <c r="H375" s="20">
        <f t="shared" si="33"/>
        <v>1730</v>
      </c>
      <c r="I375" s="2"/>
      <c r="J375" s="17"/>
      <c r="K375" s="17"/>
      <c r="L375" s="17"/>
    </row>
    <row r="376" spans="1:12">
      <c r="A376" s="37"/>
      <c r="B376" s="36">
        <v>27</v>
      </c>
      <c r="C376" s="19" t="s">
        <v>420</v>
      </c>
      <c r="D376" s="15">
        <v>5</v>
      </c>
      <c r="E376" s="21">
        <v>1</v>
      </c>
      <c r="F376" s="20">
        <f t="shared" si="32"/>
        <v>5</v>
      </c>
      <c r="G376" s="69">
        <v>542</v>
      </c>
      <c r="H376" s="20">
        <f t="shared" si="33"/>
        <v>2710</v>
      </c>
      <c r="I376" s="2"/>
      <c r="J376" s="17"/>
      <c r="K376" s="17"/>
      <c r="L376" s="17"/>
    </row>
    <row r="377" spans="1:12">
      <c r="A377" s="37"/>
      <c r="B377" s="36">
        <v>28</v>
      </c>
      <c r="C377" s="19" t="s">
        <v>421</v>
      </c>
      <c r="D377" s="15">
        <v>15</v>
      </c>
      <c r="E377" s="21">
        <v>1</v>
      </c>
      <c r="F377" s="20">
        <f t="shared" si="32"/>
        <v>15</v>
      </c>
      <c r="G377" s="69">
        <v>222</v>
      </c>
      <c r="H377" s="20">
        <f t="shared" si="33"/>
        <v>3330</v>
      </c>
      <c r="I377" s="2"/>
      <c r="J377" s="17"/>
      <c r="K377" s="17"/>
      <c r="L377" s="17"/>
    </row>
    <row r="378" spans="1:12">
      <c r="A378" s="37"/>
      <c r="B378" s="36">
        <v>29</v>
      </c>
      <c r="C378" s="19" t="s">
        <v>422</v>
      </c>
      <c r="D378" s="15">
        <v>15</v>
      </c>
      <c r="E378" s="21">
        <v>1</v>
      </c>
      <c r="F378" s="20">
        <f t="shared" si="32"/>
        <v>15</v>
      </c>
      <c r="G378" s="69">
        <v>255</v>
      </c>
      <c r="H378" s="20">
        <f t="shared" si="33"/>
        <v>3825</v>
      </c>
      <c r="I378" s="2"/>
      <c r="J378" s="17"/>
      <c r="K378" s="17"/>
      <c r="L378" s="17"/>
    </row>
    <row r="379" spans="1:12">
      <c r="A379" s="37"/>
      <c r="B379" s="36">
        <v>30</v>
      </c>
      <c r="C379" s="19" t="s">
        <v>423</v>
      </c>
      <c r="D379" s="15">
        <v>10</v>
      </c>
      <c r="E379" s="21">
        <v>1</v>
      </c>
      <c r="F379" s="20">
        <f t="shared" si="32"/>
        <v>10</v>
      </c>
      <c r="G379" s="69">
        <v>307</v>
      </c>
      <c r="H379" s="20">
        <f t="shared" si="33"/>
        <v>3070</v>
      </c>
      <c r="I379" s="2"/>
      <c r="J379" s="17"/>
      <c r="K379" s="17"/>
      <c r="L379" s="17"/>
    </row>
    <row r="380" spans="1:12">
      <c r="A380" s="37"/>
      <c r="B380" s="36">
        <v>31</v>
      </c>
      <c r="C380" s="19" t="s">
        <v>424</v>
      </c>
      <c r="D380" s="15">
        <v>10</v>
      </c>
      <c r="E380" s="21">
        <v>1</v>
      </c>
      <c r="F380" s="20">
        <f t="shared" si="32"/>
        <v>10</v>
      </c>
      <c r="G380" s="69">
        <v>727</v>
      </c>
      <c r="H380" s="20">
        <f t="shared" si="33"/>
        <v>7270</v>
      </c>
      <c r="I380" s="2"/>
      <c r="J380" s="17"/>
      <c r="K380" s="17"/>
      <c r="L380" s="17"/>
    </row>
    <row r="381" spans="1:12">
      <c r="A381" s="37"/>
      <c r="B381" s="36">
        <v>32</v>
      </c>
      <c r="C381" s="19" t="s">
        <v>425</v>
      </c>
      <c r="D381" s="15">
        <v>10</v>
      </c>
      <c r="E381" s="21">
        <v>1</v>
      </c>
      <c r="F381" s="20">
        <f t="shared" si="32"/>
        <v>10</v>
      </c>
      <c r="G381" s="69">
        <v>1666</v>
      </c>
      <c r="H381" s="20">
        <f t="shared" si="33"/>
        <v>16660</v>
      </c>
      <c r="I381" s="2"/>
      <c r="J381" s="17"/>
      <c r="K381" s="17"/>
      <c r="L381" s="17"/>
    </row>
    <row r="382" spans="1:12">
      <c r="A382" s="37"/>
      <c r="B382" s="36">
        <v>33</v>
      </c>
      <c r="C382" s="19" t="s">
        <v>426</v>
      </c>
      <c r="D382" s="15">
        <v>10</v>
      </c>
      <c r="E382" s="21">
        <v>1</v>
      </c>
      <c r="F382" s="20">
        <f t="shared" si="32"/>
        <v>10</v>
      </c>
      <c r="G382" s="69">
        <v>7413</v>
      </c>
      <c r="H382" s="20">
        <f t="shared" si="33"/>
        <v>74130</v>
      </c>
      <c r="I382" s="2"/>
      <c r="J382" s="17"/>
      <c r="K382" s="17"/>
      <c r="L382" s="17"/>
    </row>
    <row r="383" spans="1:12">
      <c r="A383" s="37"/>
      <c r="B383" s="36">
        <v>34</v>
      </c>
      <c r="C383" s="19" t="s">
        <v>427</v>
      </c>
      <c r="D383" s="15">
        <v>5</v>
      </c>
      <c r="E383" s="21">
        <v>1</v>
      </c>
      <c r="F383" s="20">
        <f t="shared" si="32"/>
        <v>5</v>
      </c>
      <c r="G383" s="69">
        <v>146111</v>
      </c>
      <c r="H383" s="20">
        <f t="shared" si="33"/>
        <v>730555</v>
      </c>
      <c r="I383" s="2"/>
      <c r="J383" s="17"/>
      <c r="K383" s="17"/>
      <c r="L383" s="17"/>
    </row>
    <row r="384" spans="1:12">
      <c r="A384" s="37"/>
      <c r="B384" s="36">
        <v>35</v>
      </c>
      <c r="C384" s="19" t="s">
        <v>428</v>
      </c>
      <c r="D384" s="15">
        <v>0.25</v>
      </c>
      <c r="E384" s="21">
        <v>1</v>
      </c>
      <c r="F384" s="20">
        <f t="shared" si="32"/>
        <v>0.25</v>
      </c>
      <c r="G384" s="69">
        <v>82831</v>
      </c>
      <c r="H384" s="20">
        <f t="shared" si="33"/>
        <v>20707.75</v>
      </c>
      <c r="I384" s="2"/>
      <c r="J384" s="17"/>
      <c r="K384" s="17"/>
      <c r="L384" s="17"/>
    </row>
    <row r="385" spans="1:12">
      <c r="A385" s="37"/>
      <c r="B385" s="36">
        <v>36</v>
      </c>
      <c r="C385" s="19" t="s">
        <v>429</v>
      </c>
      <c r="D385" s="15">
        <v>1</v>
      </c>
      <c r="E385" s="21">
        <v>1</v>
      </c>
      <c r="F385" s="20">
        <f t="shared" si="32"/>
        <v>1</v>
      </c>
      <c r="G385" s="69">
        <v>25000</v>
      </c>
      <c r="H385" s="20">
        <f t="shared" si="33"/>
        <v>25000</v>
      </c>
      <c r="I385" s="2"/>
      <c r="J385" s="17"/>
      <c r="K385" s="17"/>
      <c r="L385" s="17"/>
    </row>
    <row r="386" spans="1:12">
      <c r="A386" s="37"/>
      <c r="B386" s="36">
        <v>37</v>
      </c>
      <c r="C386" s="19" t="s">
        <v>430</v>
      </c>
      <c r="D386" s="15">
        <v>1</v>
      </c>
      <c r="E386" s="21">
        <v>1</v>
      </c>
      <c r="F386" s="20">
        <f t="shared" si="32"/>
        <v>1</v>
      </c>
      <c r="G386" s="69">
        <v>350</v>
      </c>
      <c r="H386" s="20">
        <f t="shared" si="33"/>
        <v>350</v>
      </c>
      <c r="I386" s="2"/>
      <c r="J386" s="17"/>
      <c r="K386" s="17"/>
      <c r="L386" s="17"/>
    </row>
    <row r="387" spans="1:12">
      <c r="A387" s="37"/>
      <c r="B387" s="36">
        <v>38</v>
      </c>
      <c r="C387" s="19" t="s">
        <v>431</v>
      </c>
      <c r="D387" s="15">
        <v>1</v>
      </c>
      <c r="E387" s="21">
        <v>1</v>
      </c>
      <c r="F387" s="20">
        <f t="shared" si="32"/>
        <v>1</v>
      </c>
      <c r="G387" s="69">
        <v>3846</v>
      </c>
      <c r="H387" s="20">
        <f t="shared" si="33"/>
        <v>3846</v>
      </c>
      <c r="I387" s="2"/>
      <c r="J387" s="17"/>
      <c r="K387" s="17"/>
      <c r="L387" s="17"/>
    </row>
    <row r="388" spans="1:12">
      <c r="A388" s="37"/>
      <c r="B388" s="36">
        <v>39</v>
      </c>
      <c r="C388" s="19" t="s">
        <v>432</v>
      </c>
      <c r="D388" s="15">
        <v>1</v>
      </c>
      <c r="E388" s="21">
        <v>1</v>
      </c>
      <c r="F388" s="20">
        <f t="shared" si="32"/>
        <v>1</v>
      </c>
      <c r="G388" s="69">
        <v>6923</v>
      </c>
      <c r="H388" s="20">
        <f t="shared" si="33"/>
        <v>6923</v>
      </c>
      <c r="I388" s="2"/>
      <c r="J388" s="17"/>
      <c r="K388" s="17"/>
      <c r="L388" s="17"/>
    </row>
    <row r="389" spans="1:12">
      <c r="A389" s="37"/>
      <c r="B389" s="36">
        <v>40</v>
      </c>
      <c r="C389" s="19" t="s">
        <v>433</v>
      </c>
      <c r="D389" s="15">
        <v>2</v>
      </c>
      <c r="E389" s="21">
        <v>1</v>
      </c>
      <c r="F389" s="20">
        <f t="shared" si="32"/>
        <v>2</v>
      </c>
      <c r="G389" s="69">
        <v>558</v>
      </c>
      <c r="H389" s="20">
        <f t="shared" si="33"/>
        <v>1116</v>
      </c>
      <c r="I389" s="2"/>
      <c r="J389" s="17"/>
      <c r="K389" s="17"/>
      <c r="L389" s="17"/>
    </row>
    <row r="390" spans="1:12">
      <c r="A390" s="37"/>
      <c r="B390" s="36">
        <v>41</v>
      </c>
      <c r="C390" s="19" t="s">
        <v>434</v>
      </c>
      <c r="D390" s="15">
        <v>0</v>
      </c>
      <c r="E390" s="21">
        <v>1</v>
      </c>
      <c r="F390" s="20">
        <f t="shared" si="32"/>
        <v>0</v>
      </c>
      <c r="G390" s="69">
        <v>9692</v>
      </c>
      <c r="H390" s="20">
        <f t="shared" si="33"/>
        <v>0</v>
      </c>
      <c r="I390" s="2"/>
      <c r="J390" s="17"/>
      <c r="K390" s="17"/>
      <c r="L390" s="17"/>
    </row>
    <row r="391" spans="1:12">
      <c r="A391" s="37"/>
      <c r="B391" s="36">
        <v>42</v>
      </c>
      <c r="C391" s="19" t="s">
        <v>435</v>
      </c>
      <c r="D391" s="15">
        <v>5</v>
      </c>
      <c r="E391" s="21">
        <v>1</v>
      </c>
      <c r="F391" s="20">
        <f t="shared" si="32"/>
        <v>5</v>
      </c>
      <c r="G391" s="69">
        <v>3692</v>
      </c>
      <c r="H391" s="20">
        <f t="shared" si="33"/>
        <v>18460</v>
      </c>
      <c r="I391" s="2"/>
      <c r="J391" s="17"/>
      <c r="K391" s="17"/>
      <c r="L391" s="17"/>
    </row>
    <row r="392" spans="1:12">
      <c r="A392" s="37"/>
      <c r="B392" s="36">
        <v>43</v>
      </c>
      <c r="C392" s="19" t="s">
        <v>436</v>
      </c>
      <c r="D392" s="15">
        <v>15</v>
      </c>
      <c r="E392" s="21">
        <v>1</v>
      </c>
      <c r="F392" s="20">
        <f t="shared" si="32"/>
        <v>15</v>
      </c>
      <c r="G392" s="69">
        <v>1489</v>
      </c>
      <c r="H392" s="20">
        <f t="shared" si="33"/>
        <v>22335</v>
      </c>
      <c r="I392" s="2"/>
      <c r="J392" s="17"/>
      <c r="K392" s="17"/>
      <c r="L392" s="17"/>
    </row>
    <row r="393" spans="1:12">
      <c r="A393" s="37"/>
      <c r="B393" s="36">
        <v>44</v>
      </c>
      <c r="C393" s="19" t="s">
        <v>437</v>
      </c>
      <c r="D393" s="15">
        <v>6</v>
      </c>
      <c r="E393" s="21">
        <v>1</v>
      </c>
      <c r="F393" s="20">
        <f t="shared" si="32"/>
        <v>6</v>
      </c>
      <c r="G393" s="69">
        <v>1489</v>
      </c>
      <c r="H393" s="20">
        <f t="shared" si="33"/>
        <v>8934</v>
      </c>
      <c r="I393" s="2"/>
      <c r="J393" s="17"/>
      <c r="K393" s="17"/>
      <c r="L393" s="17"/>
    </row>
    <row r="394" spans="1:12">
      <c r="A394" s="37"/>
      <c r="B394" s="36">
        <v>45</v>
      </c>
      <c r="C394" s="19" t="s">
        <v>438</v>
      </c>
      <c r="D394" s="15">
        <v>0</v>
      </c>
      <c r="E394" s="21">
        <v>1</v>
      </c>
      <c r="F394" s="20">
        <f t="shared" si="32"/>
        <v>0</v>
      </c>
      <c r="G394" s="69">
        <v>24679</v>
      </c>
      <c r="H394" s="20">
        <f t="shared" si="33"/>
        <v>0</v>
      </c>
      <c r="I394" s="2"/>
      <c r="J394" s="17"/>
      <c r="K394" s="17"/>
      <c r="L394" s="17"/>
    </row>
    <row r="395" spans="1:12">
      <c r="A395" s="37"/>
      <c r="B395" s="36">
        <v>46</v>
      </c>
      <c r="C395" s="19" t="s">
        <v>439</v>
      </c>
      <c r="D395" s="15">
        <v>0</v>
      </c>
      <c r="E395" s="21">
        <v>1</v>
      </c>
      <c r="F395" s="20">
        <f t="shared" si="32"/>
        <v>0</v>
      </c>
      <c r="G395" s="69">
        <v>13559</v>
      </c>
      <c r="H395" s="20">
        <f t="shared" si="33"/>
        <v>0</v>
      </c>
      <c r="I395" s="2"/>
      <c r="J395" s="17"/>
      <c r="K395" s="17"/>
      <c r="L395" s="17"/>
    </row>
    <row r="396" spans="1:12">
      <c r="A396" s="37"/>
      <c r="B396" s="36">
        <v>47</v>
      </c>
      <c r="C396" s="19" t="s">
        <v>440</v>
      </c>
      <c r="D396" s="15">
        <v>2</v>
      </c>
      <c r="E396" s="21">
        <v>1</v>
      </c>
      <c r="F396" s="20">
        <f t="shared" si="32"/>
        <v>2</v>
      </c>
      <c r="G396" s="69">
        <v>3846</v>
      </c>
      <c r="H396" s="20">
        <f t="shared" si="33"/>
        <v>7692</v>
      </c>
      <c r="I396" s="2"/>
      <c r="J396" s="17"/>
      <c r="K396" s="17"/>
      <c r="L396" s="17"/>
    </row>
    <row r="397" spans="1:12">
      <c r="A397" s="37"/>
      <c r="B397" s="36">
        <v>48</v>
      </c>
      <c r="C397" s="19" t="s">
        <v>441</v>
      </c>
      <c r="D397" s="15">
        <v>4</v>
      </c>
      <c r="E397" s="21">
        <v>1</v>
      </c>
      <c r="F397" s="20">
        <f t="shared" si="32"/>
        <v>4</v>
      </c>
      <c r="G397" s="69">
        <v>3846</v>
      </c>
      <c r="H397" s="20">
        <f t="shared" si="33"/>
        <v>15384</v>
      </c>
      <c r="I397" s="2"/>
      <c r="J397" s="17"/>
      <c r="K397" s="17"/>
      <c r="L397" s="17"/>
    </row>
    <row r="398" spans="1:12">
      <c r="A398" s="37"/>
      <c r="B398" s="36">
        <v>49</v>
      </c>
      <c r="C398" s="19" t="s">
        <v>442</v>
      </c>
      <c r="D398" s="15">
        <v>0</v>
      </c>
      <c r="E398" s="21">
        <v>1</v>
      </c>
      <c r="F398" s="20">
        <f t="shared" si="32"/>
        <v>0</v>
      </c>
      <c r="G398" s="69">
        <v>1666</v>
      </c>
      <c r="H398" s="20">
        <f t="shared" si="33"/>
        <v>0</v>
      </c>
      <c r="I398" s="2"/>
      <c r="J398" s="17"/>
      <c r="K398" s="17"/>
      <c r="L398" s="17"/>
    </row>
    <row r="399" spans="1:12">
      <c r="A399" s="37"/>
      <c r="B399" s="36">
        <v>50</v>
      </c>
      <c r="C399" s="19" t="s">
        <v>443</v>
      </c>
      <c r="D399" s="15">
        <v>1</v>
      </c>
      <c r="E399" s="21">
        <v>1</v>
      </c>
      <c r="F399" s="20">
        <f t="shared" si="32"/>
        <v>1</v>
      </c>
      <c r="G399" s="69">
        <v>10758</v>
      </c>
      <c r="H399" s="20">
        <f t="shared" si="33"/>
        <v>10758</v>
      </c>
      <c r="I399" s="2"/>
      <c r="J399" s="17"/>
      <c r="K399" s="17"/>
      <c r="L399" s="17"/>
    </row>
    <row r="400" spans="1:12">
      <c r="A400" s="37"/>
      <c r="B400" s="36">
        <v>51</v>
      </c>
      <c r="C400" s="19" t="s">
        <v>444</v>
      </c>
      <c r="D400" s="15">
        <v>1</v>
      </c>
      <c r="E400" s="21">
        <v>1</v>
      </c>
      <c r="F400" s="20">
        <f t="shared" si="32"/>
        <v>1</v>
      </c>
      <c r="G400" s="69">
        <v>2900</v>
      </c>
      <c r="H400" s="20">
        <f t="shared" si="33"/>
        <v>2900</v>
      </c>
      <c r="I400" s="2"/>
      <c r="J400" s="17"/>
      <c r="K400" s="17"/>
      <c r="L400" s="17"/>
    </row>
    <row r="401" spans="1:12">
      <c r="A401" s="37"/>
      <c r="B401" s="36">
        <v>52</v>
      </c>
      <c r="C401" s="19" t="s">
        <v>445</v>
      </c>
      <c r="D401" s="15">
        <v>10</v>
      </c>
      <c r="E401" s="21">
        <v>1</v>
      </c>
      <c r="F401" s="20">
        <f t="shared" si="32"/>
        <v>10</v>
      </c>
      <c r="G401" s="69">
        <v>100</v>
      </c>
      <c r="H401" s="20">
        <f t="shared" si="33"/>
        <v>1000</v>
      </c>
      <c r="I401" s="2"/>
      <c r="J401" s="17"/>
      <c r="K401" s="17"/>
      <c r="L401" s="17"/>
    </row>
    <row r="402" spans="1:12">
      <c r="A402" s="37"/>
      <c r="B402" s="36">
        <v>53</v>
      </c>
      <c r="C402" s="19" t="s">
        <v>446</v>
      </c>
      <c r="D402" s="15">
        <v>1</v>
      </c>
      <c r="E402" s="21">
        <v>1</v>
      </c>
      <c r="F402" s="20">
        <f t="shared" si="32"/>
        <v>1</v>
      </c>
      <c r="G402" s="69">
        <v>4615</v>
      </c>
      <c r="H402" s="20">
        <f t="shared" si="33"/>
        <v>4615</v>
      </c>
      <c r="I402" s="2"/>
      <c r="J402" s="17"/>
      <c r="K402" s="17"/>
      <c r="L402" s="17"/>
    </row>
    <row r="403" spans="1:12">
      <c r="A403" s="37"/>
      <c r="B403" s="36">
        <v>54</v>
      </c>
      <c r="C403" s="19" t="s">
        <v>447</v>
      </c>
      <c r="D403" s="15">
        <v>2</v>
      </c>
      <c r="E403" s="21">
        <v>1</v>
      </c>
      <c r="F403" s="20">
        <f t="shared" si="32"/>
        <v>2</v>
      </c>
      <c r="G403" s="69">
        <v>19500</v>
      </c>
      <c r="H403" s="20">
        <f t="shared" si="33"/>
        <v>39000</v>
      </c>
      <c r="I403" s="2"/>
      <c r="J403" s="17"/>
      <c r="K403" s="17"/>
      <c r="L403" s="17"/>
    </row>
    <row r="404" spans="1:12">
      <c r="A404" s="37"/>
      <c r="B404" s="36">
        <v>55</v>
      </c>
      <c r="C404" s="19" t="s">
        <v>448</v>
      </c>
      <c r="D404" s="15">
        <v>0</v>
      </c>
      <c r="E404" s="21">
        <v>1</v>
      </c>
      <c r="F404" s="20">
        <f t="shared" si="32"/>
        <v>0</v>
      </c>
      <c r="G404" s="69">
        <v>2407</v>
      </c>
      <c r="H404" s="20">
        <f t="shared" si="33"/>
        <v>0</v>
      </c>
      <c r="I404" s="2"/>
      <c r="J404" s="17"/>
      <c r="K404" s="17"/>
      <c r="L404" s="17"/>
    </row>
    <row r="405" spans="1:12">
      <c r="A405" s="37"/>
      <c r="B405" s="36">
        <v>56</v>
      </c>
      <c r="C405" s="19" t="s">
        <v>449</v>
      </c>
      <c r="D405" s="15">
        <v>0</v>
      </c>
      <c r="E405" s="21">
        <v>1</v>
      </c>
      <c r="F405" s="20">
        <f t="shared" si="32"/>
        <v>0</v>
      </c>
      <c r="G405" s="69">
        <v>6000</v>
      </c>
      <c r="H405" s="20">
        <f t="shared" si="33"/>
        <v>0</v>
      </c>
      <c r="I405" s="2"/>
      <c r="J405" s="17"/>
      <c r="K405" s="17"/>
      <c r="L405" s="17"/>
    </row>
    <row r="406" spans="1:12">
      <c r="A406" s="37"/>
      <c r="B406" s="36">
        <v>57</v>
      </c>
      <c r="C406" s="19" t="s">
        <v>450</v>
      </c>
      <c r="D406" s="15">
        <v>0</v>
      </c>
      <c r="E406" s="21">
        <v>1</v>
      </c>
      <c r="F406" s="20">
        <f t="shared" si="32"/>
        <v>0</v>
      </c>
      <c r="G406" s="69">
        <v>2000</v>
      </c>
      <c r="H406" s="20">
        <f t="shared" si="33"/>
        <v>0</v>
      </c>
      <c r="I406" s="2"/>
      <c r="J406" s="17"/>
      <c r="K406" s="17"/>
      <c r="L406" s="17"/>
    </row>
    <row r="407" spans="1:12">
      <c r="A407" s="37"/>
      <c r="B407" s="36">
        <v>58</v>
      </c>
      <c r="C407" s="19" t="s">
        <v>451</v>
      </c>
      <c r="D407" s="15">
        <v>0</v>
      </c>
      <c r="E407" s="21">
        <v>1</v>
      </c>
      <c r="F407" s="20">
        <f t="shared" si="32"/>
        <v>0</v>
      </c>
      <c r="G407" s="69">
        <v>2140</v>
      </c>
      <c r="H407" s="20">
        <f t="shared" si="33"/>
        <v>0</v>
      </c>
      <c r="I407" s="2"/>
      <c r="J407" s="17"/>
      <c r="K407" s="17"/>
      <c r="L407" s="17"/>
    </row>
    <row r="408" spans="1:12">
      <c r="A408" s="37"/>
      <c r="B408" s="36">
        <v>59</v>
      </c>
      <c r="C408" s="19" t="s">
        <v>452</v>
      </c>
      <c r="D408" s="15">
        <v>5</v>
      </c>
      <c r="E408" s="21">
        <v>1</v>
      </c>
      <c r="F408" s="20">
        <f t="shared" si="32"/>
        <v>5</v>
      </c>
      <c r="G408" s="69">
        <v>2084</v>
      </c>
      <c r="H408" s="20">
        <f t="shared" si="33"/>
        <v>10420</v>
      </c>
      <c r="I408" s="2"/>
      <c r="J408" s="17"/>
      <c r="K408" s="17"/>
      <c r="L408" s="17"/>
    </row>
    <row r="409" spans="1:12">
      <c r="A409" s="37"/>
      <c r="B409" s="36">
        <v>60</v>
      </c>
      <c r="C409" s="19" t="s">
        <v>453</v>
      </c>
      <c r="D409" s="15">
        <v>4</v>
      </c>
      <c r="E409" s="21">
        <v>1</v>
      </c>
      <c r="F409" s="20">
        <f t="shared" si="32"/>
        <v>4</v>
      </c>
      <c r="G409" s="69">
        <v>5000</v>
      </c>
      <c r="H409" s="20">
        <f t="shared" si="33"/>
        <v>20000</v>
      </c>
      <c r="I409" s="2"/>
      <c r="J409" s="17"/>
      <c r="K409" s="17"/>
      <c r="L409" s="17"/>
    </row>
    <row r="410" spans="1:12">
      <c r="A410" s="37"/>
      <c r="B410" s="36">
        <v>61</v>
      </c>
      <c r="C410" s="19" t="s">
        <v>454</v>
      </c>
      <c r="D410" s="15">
        <v>1</v>
      </c>
      <c r="E410" s="21">
        <v>1</v>
      </c>
      <c r="F410" s="20">
        <f t="shared" si="32"/>
        <v>1</v>
      </c>
      <c r="G410" s="69">
        <v>269.23</v>
      </c>
      <c r="H410" s="20">
        <f t="shared" si="33"/>
        <v>269.23</v>
      </c>
      <c r="I410" s="2"/>
      <c r="J410" s="17"/>
      <c r="K410" s="17"/>
      <c r="L410" s="17"/>
    </row>
    <row r="411" spans="1:12">
      <c r="A411" s="37"/>
      <c r="B411" s="36">
        <v>62</v>
      </c>
      <c r="C411" s="19" t="s">
        <v>455</v>
      </c>
      <c r="D411" s="15">
        <v>1</v>
      </c>
      <c r="E411" s="21">
        <v>1</v>
      </c>
      <c r="F411" s="20">
        <f t="shared" si="32"/>
        <v>1</v>
      </c>
      <c r="G411" s="69">
        <v>211.54</v>
      </c>
      <c r="H411" s="20">
        <f t="shared" si="33"/>
        <v>211.54</v>
      </c>
      <c r="I411" s="2"/>
      <c r="J411" s="17"/>
      <c r="K411" s="17"/>
      <c r="L411" s="17"/>
    </row>
    <row r="412" spans="1:12">
      <c r="A412" s="37"/>
      <c r="B412" s="36">
        <v>63</v>
      </c>
      <c r="C412" s="19" t="s">
        <v>456</v>
      </c>
      <c r="D412" s="15">
        <v>0</v>
      </c>
      <c r="E412" s="21">
        <v>1</v>
      </c>
      <c r="F412" s="20">
        <f t="shared" si="32"/>
        <v>0</v>
      </c>
      <c r="G412" s="69">
        <v>211.54</v>
      </c>
      <c r="H412" s="20">
        <f t="shared" si="33"/>
        <v>0</v>
      </c>
      <c r="I412" s="2"/>
      <c r="J412" s="17"/>
      <c r="K412" s="17"/>
      <c r="L412" s="17"/>
    </row>
    <row r="413" spans="1:12">
      <c r="A413" s="37"/>
      <c r="B413" s="36">
        <v>64</v>
      </c>
      <c r="C413" s="19" t="s">
        <v>457</v>
      </c>
      <c r="D413" s="15">
        <v>0</v>
      </c>
      <c r="E413" s="21">
        <v>1</v>
      </c>
      <c r="F413" s="20">
        <f t="shared" si="32"/>
        <v>0</v>
      </c>
      <c r="G413" s="69">
        <v>211.54</v>
      </c>
      <c r="H413" s="20">
        <f t="shared" si="33"/>
        <v>0</v>
      </c>
      <c r="I413" s="2"/>
      <c r="J413" s="17"/>
      <c r="K413" s="17"/>
      <c r="L413" s="17"/>
    </row>
    <row r="414" spans="1:12">
      <c r="A414" s="37"/>
      <c r="B414" s="36">
        <v>65</v>
      </c>
      <c r="C414" s="19" t="s">
        <v>458</v>
      </c>
      <c r="D414" s="15">
        <v>4</v>
      </c>
      <c r="E414" s="21">
        <v>1</v>
      </c>
      <c r="F414" s="20">
        <f t="shared" si="32"/>
        <v>4</v>
      </c>
      <c r="G414" s="69">
        <v>73000</v>
      </c>
      <c r="H414" s="20">
        <f t="shared" si="33"/>
        <v>292000</v>
      </c>
      <c r="I414" s="2"/>
      <c r="J414" s="17"/>
      <c r="K414" s="17"/>
      <c r="L414" s="17"/>
    </row>
    <row r="415" spans="1:12">
      <c r="A415" s="37"/>
      <c r="B415" s="36">
        <v>66</v>
      </c>
      <c r="C415" s="19" t="s">
        <v>459</v>
      </c>
      <c r="D415" s="15">
        <v>0</v>
      </c>
      <c r="E415" s="21">
        <v>1</v>
      </c>
      <c r="F415" s="20">
        <f t="shared" ref="F415:F425" si="34">D415*E415</f>
        <v>0</v>
      </c>
      <c r="G415" s="69">
        <v>48024</v>
      </c>
      <c r="H415" s="20">
        <f t="shared" ref="H415:H425" si="35">F415*G415</f>
        <v>0</v>
      </c>
      <c r="I415" s="2"/>
      <c r="J415" s="17"/>
      <c r="K415" s="17"/>
      <c r="L415" s="17"/>
    </row>
    <row r="416" spans="1:12">
      <c r="A416" s="37"/>
      <c r="B416" s="36">
        <v>67</v>
      </c>
      <c r="C416" s="19" t="s">
        <v>460</v>
      </c>
      <c r="D416" s="15">
        <v>0</v>
      </c>
      <c r="E416" s="21">
        <v>1</v>
      </c>
      <c r="F416" s="20">
        <f t="shared" si="34"/>
        <v>0</v>
      </c>
      <c r="G416" s="69">
        <v>846</v>
      </c>
      <c r="H416" s="20">
        <f t="shared" si="35"/>
        <v>0</v>
      </c>
      <c r="I416" s="2"/>
      <c r="J416" s="17"/>
      <c r="K416" s="17"/>
      <c r="L416" s="17"/>
    </row>
    <row r="417" spans="1:12">
      <c r="A417" s="37"/>
      <c r="B417" s="36">
        <v>68</v>
      </c>
      <c r="C417" s="19" t="s">
        <v>461</v>
      </c>
      <c r="D417" s="15">
        <v>1</v>
      </c>
      <c r="E417" s="21">
        <v>1</v>
      </c>
      <c r="F417" s="20">
        <f t="shared" si="34"/>
        <v>1</v>
      </c>
      <c r="G417" s="69">
        <v>1607.69</v>
      </c>
      <c r="H417" s="20">
        <f t="shared" si="35"/>
        <v>1607.69</v>
      </c>
      <c r="I417" s="2"/>
      <c r="J417" s="17"/>
      <c r="K417" s="17"/>
      <c r="L417" s="17"/>
    </row>
    <row r="418" spans="1:12">
      <c r="A418" s="37"/>
      <c r="B418" s="36">
        <v>69</v>
      </c>
      <c r="C418" s="19" t="s">
        <v>462</v>
      </c>
      <c r="D418" s="15">
        <v>0</v>
      </c>
      <c r="E418" s="21">
        <v>1</v>
      </c>
      <c r="F418" s="20">
        <f t="shared" si="34"/>
        <v>0</v>
      </c>
      <c r="G418" s="69">
        <v>30000</v>
      </c>
      <c r="H418" s="20">
        <f t="shared" si="35"/>
        <v>0</v>
      </c>
      <c r="I418" s="2"/>
      <c r="J418" s="17"/>
      <c r="K418" s="17"/>
      <c r="L418" s="17"/>
    </row>
    <row r="419" spans="1:12">
      <c r="A419" s="37"/>
      <c r="B419" s="36">
        <v>70</v>
      </c>
      <c r="C419" s="19" t="s">
        <v>463</v>
      </c>
      <c r="D419" s="15">
        <v>0</v>
      </c>
      <c r="E419" s="21">
        <v>1</v>
      </c>
      <c r="F419" s="20">
        <f t="shared" si="34"/>
        <v>0</v>
      </c>
      <c r="G419" s="69">
        <v>15000</v>
      </c>
      <c r="H419" s="20">
        <f t="shared" si="35"/>
        <v>0</v>
      </c>
      <c r="I419" s="2"/>
      <c r="J419" s="17"/>
      <c r="K419" s="17"/>
      <c r="L419" s="17"/>
    </row>
    <row r="420" spans="1:12">
      <c r="A420" s="37"/>
      <c r="B420" s="36">
        <v>71</v>
      </c>
      <c r="C420" s="19" t="s">
        <v>464</v>
      </c>
      <c r="D420" s="15">
        <v>1</v>
      </c>
      <c r="E420" s="21">
        <v>1</v>
      </c>
      <c r="F420" s="20">
        <f t="shared" si="34"/>
        <v>1</v>
      </c>
      <c r="G420" s="69">
        <v>2560</v>
      </c>
      <c r="H420" s="20">
        <f t="shared" si="35"/>
        <v>2560</v>
      </c>
      <c r="I420" s="2"/>
      <c r="J420" s="17"/>
      <c r="K420" s="17"/>
      <c r="L420" s="17"/>
    </row>
    <row r="421" spans="1:12">
      <c r="A421" s="37"/>
      <c r="B421" s="36">
        <v>72</v>
      </c>
      <c r="C421" s="19" t="s">
        <v>465</v>
      </c>
      <c r="D421" s="15">
        <v>1</v>
      </c>
      <c r="E421" s="21">
        <v>1</v>
      </c>
      <c r="F421" s="20">
        <f t="shared" si="34"/>
        <v>1</v>
      </c>
      <c r="G421" s="69">
        <v>75450</v>
      </c>
      <c r="H421" s="20">
        <f t="shared" si="35"/>
        <v>75450</v>
      </c>
      <c r="I421" s="2"/>
      <c r="J421" s="17"/>
      <c r="K421" s="17"/>
      <c r="L421" s="17"/>
    </row>
    <row r="422" spans="1:12">
      <c r="A422" s="37"/>
      <c r="B422" s="36">
        <v>73</v>
      </c>
      <c r="C422" s="19" t="s">
        <v>466</v>
      </c>
      <c r="D422" s="20">
        <v>1</v>
      </c>
      <c r="E422" s="21">
        <v>1</v>
      </c>
      <c r="F422" s="20">
        <f t="shared" si="34"/>
        <v>1</v>
      </c>
      <c r="G422" s="69">
        <v>2637462.6800000002</v>
      </c>
      <c r="H422" s="20">
        <f t="shared" si="35"/>
        <v>2637462.6800000002</v>
      </c>
      <c r="I422" s="2"/>
      <c r="J422" s="17"/>
      <c r="K422" s="17"/>
      <c r="L422" s="17"/>
    </row>
    <row r="423" spans="1:12">
      <c r="A423" s="37"/>
      <c r="B423" s="36">
        <v>74</v>
      </c>
      <c r="C423" s="19" t="s">
        <v>467</v>
      </c>
      <c r="D423" s="20">
        <v>0</v>
      </c>
      <c r="E423" s="21">
        <v>1</v>
      </c>
      <c r="F423" s="20">
        <f t="shared" si="34"/>
        <v>0</v>
      </c>
      <c r="G423" s="69">
        <v>32000</v>
      </c>
      <c r="H423" s="20">
        <f t="shared" si="35"/>
        <v>0</v>
      </c>
      <c r="I423" s="2"/>
      <c r="J423" s="17"/>
      <c r="K423" s="17"/>
      <c r="L423" s="17"/>
    </row>
    <row r="424" spans="1:12">
      <c r="A424" s="37"/>
      <c r="B424" s="36">
        <v>75</v>
      </c>
      <c r="C424" s="19" t="s">
        <v>468</v>
      </c>
      <c r="D424" s="20">
        <v>1</v>
      </c>
      <c r="E424" s="21">
        <v>1</v>
      </c>
      <c r="F424" s="20">
        <f t="shared" si="34"/>
        <v>1</v>
      </c>
      <c r="G424" s="69">
        <v>12000</v>
      </c>
      <c r="H424" s="20">
        <f t="shared" si="35"/>
        <v>12000</v>
      </c>
      <c r="I424" s="2"/>
      <c r="J424" s="17"/>
      <c r="K424" s="17"/>
      <c r="L424" s="17"/>
    </row>
    <row r="425" spans="1:12">
      <c r="A425" s="37"/>
      <c r="B425" s="36">
        <v>76</v>
      </c>
      <c r="C425" s="19"/>
      <c r="D425" s="20">
        <v>0</v>
      </c>
      <c r="E425" s="21">
        <v>0</v>
      </c>
      <c r="F425" s="20">
        <f t="shared" si="34"/>
        <v>0</v>
      </c>
      <c r="G425" s="69">
        <v>176</v>
      </c>
      <c r="H425" s="20">
        <f t="shared" si="35"/>
        <v>0</v>
      </c>
      <c r="I425" s="2"/>
      <c r="J425" s="17"/>
      <c r="K425" s="17"/>
      <c r="L425" s="17"/>
    </row>
    <row r="426" spans="1:12">
      <c r="A426" s="37"/>
      <c r="B426" s="36">
        <v>77</v>
      </c>
      <c r="C426" s="19"/>
      <c r="D426" s="20">
        <v>0</v>
      </c>
      <c r="E426" s="21">
        <v>0</v>
      </c>
      <c r="F426" s="20">
        <f>D426*E426</f>
        <v>0</v>
      </c>
      <c r="G426" s="69">
        <v>102</v>
      </c>
      <c r="H426" s="20">
        <f>F426*G426</f>
        <v>0</v>
      </c>
      <c r="I426" s="2"/>
      <c r="J426" s="17"/>
      <c r="K426" s="17"/>
      <c r="L426" s="17"/>
    </row>
    <row r="427" spans="1:12">
      <c r="A427" s="37"/>
      <c r="B427" s="36"/>
      <c r="C427" s="14" t="s">
        <v>156</v>
      </c>
      <c r="D427" s="20"/>
      <c r="F427" s="20"/>
      <c r="H427" s="25">
        <f>SUM(H350:H426)</f>
        <v>4683027.1900000004</v>
      </c>
      <c r="I427" s="2"/>
      <c r="J427" s="17"/>
      <c r="K427" s="17"/>
      <c r="L427" s="17"/>
    </row>
    <row r="428" spans="1:12">
      <c r="A428" s="37"/>
      <c r="B428" s="38"/>
      <c r="C428" s="14"/>
      <c r="D428" s="20"/>
      <c r="F428" s="20"/>
      <c r="H428" s="20"/>
      <c r="I428" s="2"/>
      <c r="J428" s="17"/>
      <c r="K428" s="17"/>
      <c r="L428" s="17"/>
    </row>
    <row r="429" spans="1:12">
      <c r="A429" s="37"/>
      <c r="B429" s="38"/>
      <c r="C429" s="14" t="s">
        <v>157</v>
      </c>
      <c r="D429" s="20"/>
      <c r="F429" s="20"/>
      <c r="H429" s="20"/>
      <c r="I429" s="2"/>
      <c r="J429" s="17"/>
      <c r="K429" s="17"/>
      <c r="L429" s="17"/>
    </row>
    <row r="430" spans="1:12">
      <c r="A430" s="37"/>
      <c r="B430" s="36">
        <v>1</v>
      </c>
      <c r="C430" s="19" t="s">
        <v>469</v>
      </c>
      <c r="D430" s="20">
        <v>2</v>
      </c>
      <c r="E430" s="21">
        <v>1</v>
      </c>
      <c r="F430" s="20">
        <f>D430*E430</f>
        <v>2</v>
      </c>
      <c r="G430" s="21">
        <v>7371.538461538461</v>
      </c>
      <c r="H430" s="20">
        <f>F430*G430</f>
        <v>14743.076923076922</v>
      </c>
      <c r="I430" s="2"/>
      <c r="J430" s="17"/>
      <c r="K430" s="17"/>
      <c r="L430" s="17"/>
    </row>
    <row r="431" spans="1:12">
      <c r="A431" s="37"/>
      <c r="B431" s="36">
        <v>2</v>
      </c>
      <c r="C431" s="19" t="s">
        <v>470</v>
      </c>
      <c r="D431" s="20">
        <v>1</v>
      </c>
      <c r="E431" s="21">
        <v>1</v>
      </c>
      <c r="F431" s="20">
        <f t="shared" ref="F431:F458" si="36">D431*E431</f>
        <v>1</v>
      </c>
      <c r="G431" s="21">
        <v>976.15384615384608</v>
      </c>
      <c r="H431" s="20">
        <f t="shared" ref="H431:H458" si="37">F431*G431</f>
        <v>976.15384615384608</v>
      </c>
      <c r="I431" s="2"/>
      <c r="J431" s="17"/>
      <c r="K431" s="17"/>
      <c r="L431" s="17"/>
    </row>
    <row r="432" spans="1:12">
      <c r="A432" s="37"/>
      <c r="B432" s="36">
        <v>3</v>
      </c>
      <c r="C432" s="19" t="s">
        <v>471</v>
      </c>
      <c r="D432" s="20">
        <v>0.33333333300000001</v>
      </c>
      <c r="E432" s="21">
        <v>1</v>
      </c>
      <c r="F432" s="20">
        <f t="shared" si="36"/>
        <v>0.33333333300000001</v>
      </c>
      <c r="G432" s="21">
        <v>2461.5384615384614</v>
      </c>
      <c r="H432" s="20">
        <f t="shared" si="37"/>
        <v>820.51281969230763</v>
      </c>
      <c r="I432" s="2"/>
      <c r="J432" s="17"/>
      <c r="K432" s="17"/>
      <c r="L432" s="17"/>
    </row>
    <row r="433" spans="1:12">
      <c r="A433" s="37"/>
      <c r="B433" s="36">
        <v>4</v>
      </c>
      <c r="C433" s="19" t="s">
        <v>472</v>
      </c>
      <c r="D433" s="20">
        <v>1</v>
      </c>
      <c r="E433" s="21">
        <v>1</v>
      </c>
      <c r="F433" s="20">
        <f t="shared" si="36"/>
        <v>1</v>
      </c>
      <c r="G433" s="21">
        <v>4307.6923076923076</v>
      </c>
      <c r="H433" s="20">
        <f t="shared" si="37"/>
        <v>4307.6923076923076</v>
      </c>
      <c r="I433" s="2"/>
      <c r="J433" s="17"/>
      <c r="K433" s="17"/>
      <c r="L433" s="17"/>
    </row>
    <row r="434" spans="1:12">
      <c r="A434" s="37"/>
      <c r="B434" s="36">
        <v>5</v>
      </c>
      <c r="C434" s="19" t="s">
        <v>473</v>
      </c>
      <c r="D434" s="20">
        <v>3</v>
      </c>
      <c r="E434" s="21">
        <v>1</v>
      </c>
      <c r="F434" s="20">
        <f t="shared" si="36"/>
        <v>3</v>
      </c>
      <c r="G434" s="21">
        <v>41461.538461538461</v>
      </c>
      <c r="H434" s="20">
        <f t="shared" si="37"/>
        <v>124384.61538461538</v>
      </c>
      <c r="I434" s="2"/>
      <c r="J434" s="17"/>
      <c r="K434" s="17"/>
      <c r="L434" s="17"/>
    </row>
    <row r="435" spans="1:12">
      <c r="A435" s="37"/>
      <c r="B435" s="36">
        <v>6</v>
      </c>
      <c r="C435" s="19" t="s">
        <v>474</v>
      </c>
      <c r="D435" s="20">
        <v>4</v>
      </c>
      <c r="E435" s="21">
        <v>1</v>
      </c>
      <c r="F435" s="20">
        <f t="shared" si="36"/>
        <v>4</v>
      </c>
      <c r="G435" s="21">
        <v>1929.2307692307691</v>
      </c>
      <c r="H435" s="20">
        <f t="shared" si="37"/>
        <v>7716.9230769230762</v>
      </c>
      <c r="I435" s="2"/>
      <c r="J435" s="17"/>
      <c r="K435" s="17"/>
      <c r="L435" s="17"/>
    </row>
    <row r="436" spans="1:12">
      <c r="A436" s="37"/>
      <c r="B436" s="36">
        <v>7</v>
      </c>
      <c r="C436" s="19" t="s">
        <v>475</v>
      </c>
      <c r="D436" s="20">
        <v>0</v>
      </c>
      <c r="E436" s="21">
        <v>1</v>
      </c>
      <c r="F436" s="20">
        <f t="shared" si="36"/>
        <v>0</v>
      </c>
      <c r="G436" s="21">
        <v>558.46153846153845</v>
      </c>
      <c r="H436" s="20">
        <f t="shared" si="37"/>
        <v>0</v>
      </c>
      <c r="I436" s="2"/>
      <c r="J436" s="17"/>
      <c r="K436" s="17"/>
      <c r="L436" s="17"/>
    </row>
    <row r="437" spans="1:12">
      <c r="A437" s="37"/>
      <c r="B437" s="36">
        <v>8</v>
      </c>
      <c r="C437" s="19" t="s">
        <v>476</v>
      </c>
      <c r="D437" s="20">
        <v>2</v>
      </c>
      <c r="E437" s="21">
        <v>1</v>
      </c>
      <c r="F437" s="20">
        <f t="shared" si="36"/>
        <v>2</v>
      </c>
      <c r="G437" s="21">
        <v>5538.4615384615381</v>
      </c>
      <c r="H437" s="20">
        <f t="shared" si="37"/>
        <v>11076.923076923076</v>
      </c>
      <c r="I437" s="2"/>
      <c r="J437" s="17"/>
      <c r="K437" s="17"/>
      <c r="L437" s="17"/>
    </row>
    <row r="438" spans="1:12">
      <c r="A438" s="37"/>
      <c r="B438" s="36">
        <v>9</v>
      </c>
      <c r="C438" s="19" t="s">
        <v>477</v>
      </c>
      <c r="D438" s="20">
        <v>0</v>
      </c>
      <c r="E438" s="21">
        <v>1</v>
      </c>
      <c r="F438" s="20">
        <f t="shared" si="36"/>
        <v>0</v>
      </c>
      <c r="G438" s="21">
        <v>981.53846153846155</v>
      </c>
      <c r="H438" s="20">
        <f t="shared" si="37"/>
        <v>0</v>
      </c>
      <c r="I438" s="2"/>
      <c r="J438" s="17"/>
      <c r="K438" s="17"/>
      <c r="L438" s="17"/>
    </row>
    <row r="439" spans="1:12">
      <c r="A439" s="37"/>
      <c r="B439" s="36">
        <v>10</v>
      </c>
      <c r="C439" s="19" t="s">
        <v>478</v>
      </c>
      <c r="D439" s="20">
        <v>1</v>
      </c>
      <c r="E439" s="21">
        <v>1</v>
      </c>
      <c r="F439" s="20">
        <f t="shared" si="36"/>
        <v>1</v>
      </c>
      <c r="G439" s="21">
        <v>7692.3076923076924</v>
      </c>
      <c r="H439" s="20">
        <f t="shared" si="37"/>
        <v>7692.3076923076924</v>
      </c>
      <c r="I439" s="2"/>
      <c r="J439" s="17"/>
      <c r="K439" s="17"/>
      <c r="L439" s="17"/>
    </row>
    <row r="440" spans="1:12">
      <c r="A440" s="37"/>
      <c r="B440" s="36">
        <v>11</v>
      </c>
      <c r="C440" s="19" t="s">
        <v>479</v>
      </c>
      <c r="D440" s="20">
        <v>2</v>
      </c>
      <c r="E440" s="21">
        <v>1</v>
      </c>
      <c r="F440" s="20">
        <f t="shared" si="36"/>
        <v>2</v>
      </c>
      <c r="G440" s="21">
        <v>4923.0769230769229</v>
      </c>
      <c r="H440" s="20">
        <f t="shared" si="37"/>
        <v>9846.1538461538457</v>
      </c>
      <c r="I440" s="2"/>
      <c r="J440" s="17"/>
      <c r="K440" s="17"/>
      <c r="L440" s="17"/>
    </row>
    <row r="441" spans="1:12">
      <c r="A441" s="37"/>
      <c r="B441" s="36">
        <v>12</v>
      </c>
      <c r="C441" s="19" t="s">
        <v>480</v>
      </c>
      <c r="D441" s="20">
        <v>0</v>
      </c>
      <c r="E441" s="21">
        <v>1</v>
      </c>
      <c r="F441" s="20">
        <f t="shared" si="36"/>
        <v>0</v>
      </c>
      <c r="G441" s="21">
        <v>11846.153846153846</v>
      </c>
      <c r="H441" s="20">
        <f t="shared" si="37"/>
        <v>0</v>
      </c>
      <c r="I441" s="2"/>
      <c r="J441" s="17"/>
      <c r="K441" s="17"/>
      <c r="L441" s="17"/>
    </row>
    <row r="442" spans="1:12">
      <c r="A442" s="37"/>
      <c r="B442" s="36">
        <v>13</v>
      </c>
      <c r="C442" s="19" t="s">
        <v>481</v>
      </c>
      <c r="D442" s="20">
        <v>1</v>
      </c>
      <c r="E442" s="21">
        <v>1</v>
      </c>
      <c r="F442" s="20">
        <f t="shared" si="36"/>
        <v>1</v>
      </c>
      <c r="G442" s="21">
        <v>846.15384615384608</v>
      </c>
      <c r="H442" s="20">
        <f t="shared" si="37"/>
        <v>846.15384615384608</v>
      </c>
      <c r="I442" s="2"/>
      <c r="J442" s="17"/>
      <c r="K442" s="17"/>
      <c r="L442" s="17"/>
    </row>
    <row r="443" spans="1:12">
      <c r="A443" s="37"/>
      <c r="B443" s="36">
        <v>14</v>
      </c>
      <c r="C443" s="19" t="s">
        <v>482</v>
      </c>
      <c r="D443" s="20">
        <v>2</v>
      </c>
      <c r="E443" s="21">
        <v>1</v>
      </c>
      <c r="F443" s="20">
        <f t="shared" si="36"/>
        <v>2</v>
      </c>
      <c r="G443" s="21">
        <v>15992.307692307691</v>
      </c>
      <c r="H443" s="20">
        <f t="shared" si="37"/>
        <v>31984.615384615383</v>
      </c>
      <c r="I443" s="2"/>
      <c r="J443" s="17"/>
      <c r="K443" s="17"/>
      <c r="L443" s="17"/>
    </row>
    <row r="444" spans="1:12">
      <c r="A444" s="37"/>
      <c r="B444" s="36">
        <v>15</v>
      </c>
      <c r="C444" s="19" t="s">
        <v>483</v>
      </c>
      <c r="D444" s="20">
        <v>0</v>
      </c>
      <c r="E444" s="21">
        <v>1</v>
      </c>
      <c r="F444" s="20">
        <f t="shared" si="36"/>
        <v>0</v>
      </c>
      <c r="G444" s="21">
        <v>6769.2307692307686</v>
      </c>
      <c r="H444" s="20">
        <f t="shared" si="37"/>
        <v>0</v>
      </c>
      <c r="I444" s="2"/>
      <c r="J444" s="17"/>
      <c r="K444" s="17"/>
      <c r="L444" s="17"/>
    </row>
    <row r="445" spans="1:12">
      <c r="A445" s="37"/>
      <c r="B445" s="36">
        <v>16</v>
      </c>
      <c r="C445" s="19" t="s">
        <v>484</v>
      </c>
      <c r="D445" s="20">
        <v>1</v>
      </c>
      <c r="E445" s="21">
        <v>1</v>
      </c>
      <c r="F445" s="20">
        <f t="shared" si="36"/>
        <v>1</v>
      </c>
      <c r="G445" s="21">
        <v>1442.3076923076922</v>
      </c>
      <c r="H445" s="20">
        <f t="shared" si="37"/>
        <v>1442.3076923076922</v>
      </c>
      <c r="I445" s="2"/>
      <c r="J445" s="17"/>
      <c r="K445" s="17"/>
      <c r="L445" s="17"/>
    </row>
    <row r="446" spans="1:12">
      <c r="A446" s="37"/>
      <c r="B446" s="36">
        <v>17</v>
      </c>
      <c r="C446" s="19" t="s">
        <v>485</v>
      </c>
      <c r="D446" s="20">
        <v>2</v>
      </c>
      <c r="E446" s="21">
        <v>1</v>
      </c>
      <c r="F446" s="20">
        <f t="shared" si="36"/>
        <v>2</v>
      </c>
      <c r="G446" s="21">
        <v>1530</v>
      </c>
      <c r="H446" s="20">
        <f t="shared" si="37"/>
        <v>3060</v>
      </c>
      <c r="I446" s="2"/>
      <c r="J446" s="17"/>
      <c r="K446" s="17"/>
      <c r="L446" s="17"/>
    </row>
    <row r="447" spans="1:12">
      <c r="A447" s="37"/>
      <c r="B447" s="36">
        <v>18</v>
      </c>
      <c r="C447" s="19" t="s">
        <v>486</v>
      </c>
      <c r="D447" s="20">
        <v>0.2</v>
      </c>
      <c r="E447" s="21">
        <v>1</v>
      </c>
      <c r="F447" s="20">
        <f t="shared" si="36"/>
        <v>0.2</v>
      </c>
      <c r="G447" s="21">
        <v>6923.0769230769229</v>
      </c>
      <c r="H447" s="20">
        <f t="shared" si="37"/>
        <v>1384.6153846153848</v>
      </c>
      <c r="I447" s="2"/>
      <c r="J447" s="17"/>
      <c r="K447" s="17"/>
      <c r="L447" s="17"/>
    </row>
    <row r="448" spans="1:12">
      <c r="A448" s="37"/>
      <c r="B448" s="36">
        <v>19</v>
      </c>
      <c r="C448" s="19" t="s">
        <v>487</v>
      </c>
      <c r="D448" s="20">
        <v>2</v>
      </c>
      <c r="E448" s="21">
        <v>1</v>
      </c>
      <c r="F448" s="20">
        <f t="shared" si="36"/>
        <v>2</v>
      </c>
      <c r="G448" s="21">
        <v>1353.8461538461538</v>
      </c>
      <c r="H448" s="20">
        <f t="shared" si="37"/>
        <v>2707.6923076923076</v>
      </c>
      <c r="I448" s="2"/>
      <c r="J448" s="17"/>
      <c r="K448" s="17"/>
      <c r="L448" s="17"/>
    </row>
    <row r="449" spans="1:12">
      <c r="A449" s="37"/>
      <c r="B449" s="36">
        <v>20</v>
      </c>
      <c r="C449" s="19" t="s">
        <v>488</v>
      </c>
      <c r="D449" s="20">
        <v>0</v>
      </c>
      <c r="E449" s="21">
        <v>1</v>
      </c>
      <c r="F449" s="20">
        <f t="shared" si="36"/>
        <v>0</v>
      </c>
      <c r="G449" s="21">
        <v>664812.30769230763</v>
      </c>
      <c r="H449" s="20">
        <f t="shared" si="37"/>
        <v>0</v>
      </c>
      <c r="I449" s="2"/>
      <c r="J449" s="17"/>
      <c r="K449" s="17"/>
      <c r="L449" s="17"/>
    </row>
    <row r="450" spans="1:12">
      <c r="A450" s="37"/>
      <c r="B450" s="36">
        <v>21</v>
      </c>
      <c r="C450" s="19" t="s">
        <v>489</v>
      </c>
      <c r="D450" s="20">
        <v>1</v>
      </c>
      <c r="E450" s="21">
        <v>1</v>
      </c>
      <c r="F450" s="20">
        <f t="shared" si="36"/>
        <v>1</v>
      </c>
      <c r="G450" s="21">
        <v>3665.3846153846152</v>
      </c>
      <c r="H450" s="20">
        <f t="shared" si="37"/>
        <v>3665.3846153846152</v>
      </c>
      <c r="I450" s="2"/>
      <c r="J450" s="17"/>
      <c r="K450" s="17"/>
      <c r="L450" s="17"/>
    </row>
    <row r="451" spans="1:12">
      <c r="A451" s="37"/>
      <c r="B451" s="36">
        <v>22</v>
      </c>
      <c r="C451" s="19" t="s">
        <v>490</v>
      </c>
      <c r="D451" s="20">
        <v>2</v>
      </c>
      <c r="E451" s="21">
        <v>1</v>
      </c>
      <c r="F451" s="20">
        <f t="shared" si="36"/>
        <v>2</v>
      </c>
      <c r="G451" s="21">
        <v>1356.9230769230769</v>
      </c>
      <c r="H451" s="20">
        <f t="shared" si="37"/>
        <v>2713.8461538461538</v>
      </c>
      <c r="I451" s="2"/>
      <c r="J451" s="17"/>
      <c r="K451" s="17"/>
      <c r="L451" s="17"/>
    </row>
    <row r="452" spans="1:12">
      <c r="A452" s="37"/>
      <c r="B452" s="36">
        <v>23</v>
      </c>
      <c r="C452" s="19" t="s">
        <v>354</v>
      </c>
      <c r="D452" s="20">
        <v>0</v>
      </c>
      <c r="E452" s="21">
        <v>1</v>
      </c>
      <c r="F452" s="20">
        <f t="shared" si="36"/>
        <v>0</v>
      </c>
      <c r="G452" s="21">
        <v>230.76923076923077</v>
      </c>
      <c r="H452" s="20">
        <f t="shared" si="37"/>
        <v>0</v>
      </c>
      <c r="I452" s="2"/>
      <c r="J452" s="17"/>
      <c r="K452" s="17"/>
      <c r="L452" s="17"/>
    </row>
    <row r="453" spans="1:12">
      <c r="A453" s="37"/>
      <c r="B453" s="36">
        <v>24</v>
      </c>
      <c r="C453" s="19" t="s">
        <v>491</v>
      </c>
      <c r="D453" s="20">
        <v>0</v>
      </c>
      <c r="E453" s="21">
        <v>1</v>
      </c>
      <c r="F453" s="20">
        <f t="shared" si="36"/>
        <v>0</v>
      </c>
      <c r="G453" s="21">
        <v>3507.6923076923076</v>
      </c>
      <c r="H453" s="20">
        <f t="shared" si="37"/>
        <v>0</v>
      </c>
      <c r="I453" s="2"/>
      <c r="J453" s="17"/>
      <c r="K453" s="17"/>
      <c r="L453" s="17"/>
    </row>
    <row r="454" spans="1:12">
      <c r="A454" s="37"/>
      <c r="B454" s="36">
        <v>25</v>
      </c>
      <c r="C454" s="19"/>
      <c r="D454" s="20">
        <v>0</v>
      </c>
      <c r="E454" s="21">
        <v>1</v>
      </c>
      <c r="F454" s="20">
        <f t="shared" si="36"/>
        <v>0</v>
      </c>
      <c r="G454" s="21">
        <v>125</v>
      </c>
      <c r="H454" s="20">
        <f t="shared" si="37"/>
        <v>0</v>
      </c>
      <c r="I454" s="2"/>
      <c r="J454" s="17"/>
      <c r="K454" s="17"/>
      <c r="L454" s="17"/>
    </row>
    <row r="455" spans="1:12">
      <c r="A455" s="37"/>
      <c r="B455" s="36">
        <v>26</v>
      </c>
      <c r="C455" s="19"/>
      <c r="D455" s="20">
        <v>0</v>
      </c>
      <c r="E455" s="21">
        <v>1</v>
      </c>
      <c r="F455" s="20">
        <f t="shared" si="36"/>
        <v>0</v>
      </c>
      <c r="G455" s="21">
        <v>126</v>
      </c>
      <c r="H455" s="20">
        <f t="shared" si="37"/>
        <v>0</v>
      </c>
      <c r="I455" s="2"/>
      <c r="J455" s="17"/>
      <c r="K455" s="17"/>
      <c r="L455" s="17"/>
    </row>
    <row r="456" spans="1:12">
      <c r="A456" s="37"/>
      <c r="B456" s="36">
        <v>27</v>
      </c>
      <c r="C456" s="19"/>
      <c r="D456" s="20">
        <v>0</v>
      </c>
      <c r="E456" s="21">
        <v>1</v>
      </c>
      <c r="F456" s="20">
        <f t="shared" si="36"/>
        <v>0</v>
      </c>
      <c r="G456" s="21">
        <v>127</v>
      </c>
      <c r="H456" s="20">
        <f t="shared" si="37"/>
        <v>0</v>
      </c>
      <c r="I456" s="2"/>
      <c r="J456" s="17"/>
      <c r="K456" s="17"/>
      <c r="L456" s="17"/>
    </row>
    <row r="457" spans="1:12">
      <c r="A457" s="37"/>
      <c r="B457" s="36">
        <v>28</v>
      </c>
      <c r="C457" s="19"/>
      <c r="D457" s="20">
        <v>0</v>
      </c>
      <c r="E457" s="21">
        <v>1</v>
      </c>
      <c r="F457" s="20">
        <f t="shared" si="36"/>
        <v>0</v>
      </c>
      <c r="G457" s="21">
        <v>128</v>
      </c>
      <c r="H457" s="20">
        <f t="shared" si="37"/>
        <v>0</v>
      </c>
      <c r="I457" s="2"/>
      <c r="J457" s="17"/>
      <c r="K457" s="17"/>
      <c r="L457" s="17"/>
    </row>
    <row r="458" spans="1:12">
      <c r="A458" s="37"/>
      <c r="B458" s="36">
        <v>29</v>
      </c>
      <c r="C458" s="19"/>
      <c r="D458" s="20">
        <v>0</v>
      </c>
      <c r="E458" s="21">
        <v>1</v>
      </c>
      <c r="F458" s="20">
        <f t="shared" si="36"/>
        <v>0</v>
      </c>
      <c r="G458" s="21">
        <v>129</v>
      </c>
      <c r="H458" s="20">
        <f t="shared" si="37"/>
        <v>0</v>
      </c>
      <c r="I458" s="2"/>
      <c r="J458" s="17"/>
      <c r="K458" s="17"/>
      <c r="L458" s="17"/>
    </row>
    <row r="459" spans="1:12">
      <c r="A459" s="37"/>
      <c r="B459" s="36">
        <v>30</v>
      </c>
      <c r="C459" s="19"/>
      <c r="D459" s="20">
        <v>0</v>
      </c>
      <c r="E459" s="21">
        <v>1</v>
      </c>
      <c r="F459" s="20">
        <f>D459*E459</f>
        <v>0</v>
      </c>
      <c r="G459" s="21">
        <v>102</v>
      </c>
      <c r="H459" s="20">
        <f>F459*G459</f>
        <v>0</v>
      </c>
      <c r="I459" s="2"/>
      <c r="J459" s="17"/>
      <c r="K459" s="17"/>
      <c r="L459" s="17"/>
    </row>
    <row r="460" spans="1:12">
      <c r="A460" s="37"/>
      <c r="B460" s="36"/>
      <c r="C460" s="14" t="s">
        <v>158</v>
      </c>
      <c r="D460" s="20"/>
      <c r="F460" s="20"/>
      <c r="H460" s="25">
        <f>SUM(H430:H459)</f>
        <v>229368.97435815379</v>
      </c>
      <c r="I460" s="2"/>
      <c r="J460" s="17"/>
      <c r="K460" s="17"/>
      <c r="L460" s="17"/>
    </row>
    <row r="461" spans="1:12">
      <c r="A461" s="37"/>
      <c r="B461" s="38"/>
      <c r="C461" s="14"/>
      <c r="D461" s="20"/>
      <c r="F461" s="20"/>
      <c r="H461" s="20"/>
      <c r="I461" s="2"/>
      <c r="J461" s="17"/>
      <c r="K461" s="17"/>
      <c r="L461" s="17"/>
    </row>
    <row r="462" spans="1:12">
      <c r="A462" s="37"/>
      <c r="B462" s="38"/>
      <c r="C462" s="14" t="s">
        <v>159</v>
      </c>
      <c r="D462" s="20"/>
      <c r="F462" s="20"/>
      <c r="H462" s="20"/>
      <c r="I462" s="2"/>
      <c r="J462" s="17"/>
      <c r="K462" s="17"/>
      <c r="L462" s="17"/>
    </row>
    <row r="463" spans="1:12">
      <c r="A463" s="37"/>
      <c r="B463" s="36">
        <v>1</v>
      </c>
      <c r="C463" s="19"/>
      <c r="D463" s="20">
        <v>0</v>
      </c>
      <c r="E463" s="21">
        <v>1</v>
      </c>
      <c r="F463" s="20">
        <f>D463*E463</f>
        <v>0</v>
      </c>
      <c r="G463" s="21">
        <v>101</v>
      </c>
      <c r="H463" s="20">
        <f>F463*G463</f>
        <v>0</v>
      </c>
      <c r="I463" s="2"/>
      <c r="J463" s="17"/>
      <c r="K463" s="17"/>
      <c r="L463" s="17"/>
    </row>
    <row r="464" spans="1:12">
      <c r="A464" s="37"/>
      <c r="B464" s="36">
        <v>2</v>
      </c>
      <c r="C464" s="19"/>
      <c r="D464" s="20">
        <v>0</v>
      </c>
      <c r="E464" s="21">
        <v>1</v>
      </c>
      <c r="F464" s="20">
        <f t="shared" ref="F464:F467" si="38">D464*E464</f>
        <v>0</v>
      </c>
      <c r="G464" s="21">
        <v>102</v>
      </c>
      <c r="H464" s="20">
        <f t="shared" ref="H464:H467" si="39">F464*G464</f>
        <v>0</v>
      </c>
      <c r="I464" s="2"/>
      <c r="J464" s="17"/>
      <c r="K464" s="17"/>
      <c r="L464" s="17"/>
    </row>
    <row r="465" spans="1:12">
      <c r="A465" s="37"/>
      <c r="B465" s="36">
        <v>3</v>
      </c>
      <c r="C465" s="19"/>
      <c r="D465" s="20">
        <v>0</v>
      </c>
      <c r="E465" s="21">
        <v>1</v>
      </c>
      <c r="F465" s="20">
        <f t="shared" si="38"/>
        <v>0</v>
      </c>
      <c r="G465" s="21">
        <v>103</v>
      </c>
      <c r="H465" s="20">
        <f t="shared" si="39"/>
        <v>0</v>
      </c>
      <c r="I465" s="2"/>
      <c r="J465" s="17"/>
      <c r="K465" s="17"/>
      <c r="L465" s="17"/>
    </row>
    <row r="466" spans="1:12">
      <c r="A466" s="37"/>
      <c r="B466" s="36">
        <v>4</v>
      </c>
      <c r="C466" s="19"/>
      <c r="D466" s="20">
        <v>0</v>
      </c>
      <c r="E466" s="21">
        <v>1</v>
      </c>
      <c r="F466" s="20">
        <f t="shared" si="38"/>
        <v>0</v>
      </c>
      <c r="G466" s="21">
        <v>104</v>
      </c>
      <c r="H466" s="20">
        <f t="shared" si="39"/>
        <v>0</v>
      </c>
      <c r="I466" s="2"/>
      <c r="J466" s="17"/>
      <c r="K466" s="17"/>
      <c r="L466" s="17"/>
    </row>
    <row r="467" spans="1:12">
      <c r="A467" s="37"/>
      <c r="B467" s="36">
        <v>5</v>
      </c>
      <c r="C467" s="19"/>
      <c r="D467" s="20">
        <v>0</v>
      </c>
      <c r="E467" s="21">
        <v>1</v>
      </c>
      <c r="F467" s="20">
        <f t="shared" si="38"/>
        <v>0</v>
      </c>
      <c r="G467" s="21">
        <v>105</v>
      </c>
      <c r="H467" s="20">
        <f t="shared" si="39"/>
        <v>0</v>
      </c>
      <c r="I467" s="2"/>
      <c r="J467" s="17"/>
      <c r="K467" s="17"/>
      <c r="L467" s="17"/>
    </row>
    <row r="468" spans="1:12">
      <c r="A468" s="37"/>
      <c r="B468" s="36"/>
      <c r="C468" s="14" t="s">
        <v>160</v>
      </c>
      <c r="D468" s="20"/>
      <c r="F468" s="20"/>
      <c r="H468" s="25">
        <f>SUM(H463:H467)</f>
        <v>0</v>
      </c>
      <c r="I468" s="2"/>
      <c r="J468" s="17"/>
      <c r="K468" s="17"/>
      <c r="L468" s="17"/>
    </row>
    <row r="469" spans="1:12">
      <c r="A469" s="37"/>
      <c r="B469" s="38"/>
      <c r="C469" s="14"/>
      <c r="D469" s="20"/>
      <c r="F469" s="20"/>
      <c r="H469" s="20"/>
      <c r="I469" s="2"/>
      <c r="J469" s="17"/>
      <c r="K469" s="17"/>
      <c r="L469" s="17"/>
    </row>
    <row r="470" spans="1:12">
      <c r="A470" s="37"/>
      <c r="B470" s="38"/>
      <c r="C470" s="14" t="s">
        <v>161</v>
      </c>
      <c r="D470" s="20"/>
      <c r="F470" s="20"/>
      <c r="H470" s="20"/>
      <c r="I470" s="2"/>
      <c r="J470" s="17"/>
      <c r="K470" s="17"/>
      <c r="L470" s="17"/>
    </row>
    <row r="471" spans="1:12">
      <c r="A471" s="37"/>
      <c r="B471" s="36">
        <v>1</v>
      </c>
      <c r="C471" s="19" t="s">
        <v>356</v>
      </c>
      <c r="D471" s="20">
        <v>0</v>
      </c>
      <c r="E471" s="21">
        <v>0</v>
      </c>
      <c r="F471" s="20">
        <f>D471*E471</f>
        <v>0</v>
      </c>
      <c r="G471" s="69">
        <v>22076</v>
      </c>
      <c r="H471" s="20">
        <f>F471*G471</f>
        <v>0</v>
      </c>
      <c r="I471" s="2"/>
      <c r="J471" s="17"/>
      <c r="K471" s="17"/>
      <c r="L471" s="17"/>
    </row>
    <row r="472" spans="1:12">
      <c r="A472" s="37"/>
      <c r="B472" s="36">
        <v>2</v>
      </c>
      <c r="C472" s="19" t="s">
        <v>357</v>
      </c>
      <c r="D472" s="20">
        <v>0</v>
      </c>
      <c r="E472" s="21">
        <v>1</v>
      </c>
      <c r="F472" s="20">
        <f t="shared" ref="F472:F482" si="40">D472*E472</f>
        <v>0</v>
      </c>
      <c r="G472" s="69">
        <v>12507</v>
      </c>
      <c r="H472" s="20">
        <f t="shared" ref="H472:H482" si="41">F472*G472</f>
        <v>0</v>
      </c>
      <c r="I472" s="2"/>
      <c r="J472" s="17"/>
      <c r="K472" s="17"/>
      <c r="L472" s="17"/>
    </row>
    <row r="473" spans="1:12">
      <c r="A473" s="37"/>
      <c r="B473" s="36">
        <v>3</v>
      </c>
      <c r="C473" s="19" t="s">
        <v>219</v>
      </c>
      <c r="D473" s="20">
        <v>0</v>
      </c>
      <c r="E473" s="21">
        <v>1</v>
      </c>
      <c r="F473" s="20">
        <f t="shared" si="40"/>
        <v>0</v>
      </c>
      <c r="G473" s="69">
        <v>12507</v>
      </c>
      <c r="H473" s="20">
        <f t="shared" si="41"/>
        <v>0</v>
      </c>
      <c r="I473" s="2"/>
      <c r="J473" s="17"/>
      <c r="K473" s="17"/>
      <c r="L473" s="17"/>
    </row>
    <row r="474" spans="1:12">
      <c r="A474" s="37"/>
      <c r="B474" s="36">
        <v>4</v>
      </c>
      <c r="C474" s="19" t="s">
        <v>64</v>
      </c>
      <c r="D474" s="20">
        <v>0</v>
      </c>
      <c r="E474" s="21">
        <v>1</v>
      </c>
      <c r="F474" s="20">
        <f t="shared" si="40"/>
        <v>0</v>
      </c>
      <c r="G474" s="69">
        <v>12507</v>
      </c>
      <c r="H474" s="20">
        <f t="shared" si="41"/>
        <v>0</v>
      </c>
      <c r="I474" s="2"/>
      <c r="J474" s="17"/>
      <c r="K474" s="17"/>
      <c r="L474" s="17"/>
    </row>
    <row r="475" spans="1:12">
      <c r="A475" s="37"/>
      <c r="B475" s="36">
        <v>5</v>
      </c>
      <c r="C475" s="19" t="s">
        <v>65</v>
      </c>
      <c r="D475" s="20">
        <v>0</v>
      </c>
      <c r="E475" s="21">
        <v>1</v>
      </c>
      <c r="F475" s="20">
        <f t="shared" si="40"/>
        <v>0</v>
      </c>
      <c r="G475" s="69">
        <v>12507</v>
      </c>
      <c r="H475" s="20">
        <f t="shared" si="41"/>
        <v>0</v>
      </c>
      <c r="I475" s="2"/>
      <c r="J475" s="17"/>
      <c r="K475" s="17"/>
      <c r="L475" s="17"/>
    </row>
    <row r="476" spans="1:12">
      <c r="A476" s="37"/>
      <c r="B476" s="36">
        <v>6</v>
      </c>
      <c r="C476" s="19" t="s">
        <v>358</v>
      </c>
      <c r="D476" s="20">
        <v>0</v>
      </c>
      <c r="E476" s="21">
        <v>1</v>
      </c>
      <c r="F476" s="20">
        <f t="shared" si="40"/>
        <v>0</v>
      </c>
      <c r="G476" s="69">
        <v>12507</v>
      </c>
      <c r="H476" s="20">
        <f t="shared" si="41"/>
        <v>0</v>
      </c>
      <c r="I476" s="2"/>
      <c r="J476" s="17"/>
      <c r="K476" s="17"/>
      <c r="L476" s="17"/>
    </row>
    <row r="477" spans="1:12">
      <c r="A477" s="37"/>
      <c r="B477" s="36">
        <v>7</v>
      </c>
      <c r="C477" s="19" t="s">
        <v>222</v>
      </c>
      <c r="D477" s="20">
        <v>1</v>
      </c>
      <c r="E477" s="21">
        <v>1</v>
      </c>
      <c r="F477" s="20">
        <f t="shared" si="40"/>
        <v>1</v>
      </c>
      <c r="G477" s="69">
        <v>12507</v>
      </c>
      <c r="H477" s="20">
        <f t="shared" si="41"/>
        <v>12507</v>
      </c>
      <c r="I477" s="2"/>
      <c r="J477" s="17"/>
      <c r="K477" s="17"/>
      <c r="L477" s="17"/>
    </row>
    <row r="478" spans="1:12">
      <c r="A478" s="37"/>
      <c r="B478" s="36">
        <v>8</v>
      </c>
      <c r="C478" s="19" t="s">
        <v>359</v>
      </c>
      <c r="D478" s="20">
        <v>0</v>
      </c>
      <c r="E478" s="21">
        <v>1</v>
      </c>
      <c r="F478" s="20">
        <f t="shared" si="40"/>
        <v>0</v>
      </c>
      <c r="G478" s="69">
        <v>12507</v>
      </c>
      <c r="H478" s="20">
        <f t="shared" si="41"/>
        <v>0</v>
      </c>
      <c r="I478" s="2"/>
      <c r="J478" s="17"/>
      <c r="K478" s="17"/>
      <c r="L478" s="17"/>
    </row>
    <row r="479" spans="1:12">
      <c r="A479" s="37"/>
      <c r="B479" s="36">
        <v>9</v>
      </c>
      <c r="C479" s="19" t="s">
        <v>223</v>
      </c>
      <c r="D479" s="20">
        <v>0</v>
      </c>
      <c r="E479" s="21">
        <v>1</v>
      </c>
      <c r="F479" s="20">
        <f t="shared" si="40"/>
        <v>0</v>
      </c>
      <c r="G479" s="69">
        <v>31769</v>
      </c>
      <c r="H479" s="20">
        <f t="shared" si="41"/>
        <v>0</v>
      </c>
      <c r="I479" s="2"/>
      <c r="J479" s="17"/>
      <c r="K479" s="17"/>
      <c r="L479" s="17"/>
    </row>
    <row r="480" spans="1:12">
      <c r="A480" s="37"/>
      <c r="B480" s="36">
        <v>10</v>
      </c>
      <c r="C480" s="19" t="s">
        <v>360</v>
      </c>
      <c r="D480" s="20">
        <v>0</v>
      </c>
      <c r="E480" s="21">
        <v>1</v>
      </c>
      <c r="F480" s="20">
        <f t="shared" si="40"/>
        <v>0</v>
      </c>
      <c r="G480" s="69">
        <v>31769</v>
      </c>
      <c r="H480" s="20">
        <f t="shared" si="41"/>
        <v>0</v>
      </c>
      <c r="I480" s="2"/>
      <c r="J480" s="17"/>
      <c r="K480" s="17"/>
      <c r="L480" s="17"/>
    </row>
    <row r="481" spans="1:12">
      <c r="A481" s="37"/>
      <c r="B481" s="36">
        <v>11</v>
      </c>
      <c r="C481" s="19"/>
      <c r="D481" s="20">
        <v>0</v>
      </c>
      <c r="E481" s="21">
        <v>1</v>
      </c>
      <c r="F481" s="20">
        <f t="shared" si="40"/>
        <v>0</v>
      </c>
      <c r="G481" s="21">
        <v>111</v>
      </c>
      <c r="H481" s="20">
        <f t="shared" si="41"/>
        <v>0</v>
      </c>
      <c r="I481" s="2"/>
      <c r="J481" s="17"/>
      <c r="K481" s="17"/>
      <c r="L481" s="17"/>
    </row>
    <row r="482" spans="1:12">
      <c r="A482" s="37"/>
      <c r="B482" s="36">
        <v>12</v>
      </c>
      <c r="C482" s="19"/>
      <c r="D482" s="20">
        <v>0</v>
      </c>
      <c r="E482" s="21">
        <v>1</v>
      </c>
      <c r="F482" s="20">
        <f t="shared" si="40"/>
        <v>0</v>
      </c>
      <c r="G482" s="21">
        <v>112</v>
      </c>
      <c r="H482" s="20">
        <f t="shared" si="41"/>
        <v>0</v>
      </c>
      <c r="I482" s="2"/>
      <c r="J482" s="17"/>
      <c r="K482" s="17"/>
      <c r="L482" s="17"/>
    </row>
    <row r="483" spans="1:12">
      <c r="A483" s="37"/>
      <c r="B483" s="36">
        <v>13</v>
      </c>
      <c r="C483" s="19"/>
      <c r="D483" s="20">
        <v>0</v>
      </c>
      <c r="E483" s="21">
        <v>1</v>
      </c>
      <c r="F483" s="20">
        <f>D483*E483</f>
        <v>0</v>
      </c>
      <c r="G483" s="21">
        <v>102</v>
      </c>
      <c r="H483" s="20">
        <f>F483*G483</f>
        <v>0</v>
      </c>
      <c r="I483" s="2"/>
      <c r="J483" s="17"/>
      <c r="K483" s="17"/>
      <c r="L483" s="17"/>
    </row>
    <row r="484" spans="1:12">
      <c r="A484" s="37"/>
      <c r="B484" s="36"/>
      <c r="C484" s="14" t="s">
        <v>162</v>
      </c>
      <c r="D484" s="20"/>
      <c r="F484" s="20"/>
      <c r="H484" s="25">
        <f>SUM(H471:H483)</f>
        <v>12507</v>
      </c>
      <c r="I484" s="2"/>
      <c r="J484" s="17"/>
      <c r="K484" s="17"/>
      <c r="L484" s="17"/>
    </row>
    <row r="485" spans="1:12">
      <c r="A485" s="37"/>
      <c r="B485" s="36"/>
      <c r="C485" s="14"/>
      <c r="D485" s="20"/>
      <c r="F485" s="20"/>
      <c r="H485" s="25"/>
      <c r="I485" s="2"/>
      <c r="J485" s="17"/>
      <c r="K485" s="17"/>
      <c r="L485" s="17"/>
    </row>
    <row r="486" spans="1:12">
      <c r="A486" s="37"/>
      <c r="B486" s="38"/>
      <c r="C486" s="14" t="s">
        <v>163</v>
      </c>
      <c r="D486" s="20"/>
      <c r="F486" s="20"/>
      <c r="H486" s="20"/>
      <c r="I486" s="2"/>
      <c r="J486" s="17"/>
      <c r="K486" s="17"/>
      <c r="L486" s="17"/>
    </row>
    <row r="487" spans="1:12">
      <c r="A487" s="37"/>
      <c r="B487" s="36">
        <v>1</v>
      </c>
      <c r="C487" s="19"/>
      <c r="D487" s="20">
        <v>0</v>
      </c>
      <c r="E487" s="21">
        <v>1</v>
      </c>
      <c r="F487" s="20">
        <f>D487*E487</f>
        <v>0</v>
      </c>
      <c r="G487" s="21">
        <v>101</v>
      </c>
      <c r="H487" s="20">
        <f>F487*G487</f>
        <v>0</v>
      </c>
      <c r="I487" s="2"/>
      <c r="J487" s="17"/>
      <c r="K487" s="17"/>
      <c r="L487" s="17"/>
    </row>
    <row r="488" spans="1:12">
      <c r="A488" s="37"/>
      <c r="B488" s="36">
        <v>2</v>
      </c>
      <c r="C488" s="19"/>
      <c r="D488" s="20">
        <v>0</v>
      </c>
      <c r="E488" s="21">
        <v>1</v>
      </c>
      <c r="F488" s="20">
        <f t="shared" ref="F488:F490" si="42">D488*E488</f>
        <v>0</v>
      </c>
      <c r="G488" s="21">
        <v>102</v>
      </c>
      <c r="H488" s="20">
        <f t="shared" ref="H488:H490" si="43">F488*G488</f>
        <v>0</v>
      </c>
      <c r="I488" s="2"/>
      <c r="J488" s="17"/>
      <c r="K488" s="17"/>
      <c r="L488" s="17"/>
    </row>
    <row r="489" spans="1:12">
      <c r="A489" s="37"/>
      <c r="B489" s="36">
        <v>3</v>
      </c>
      <c r="C489" s="19"/>
      <c r="D489" s="20">
        <v>0</v>
      </c>
      <c r="E489" s="21">
        <v>1</v>
      </c>
      <c r="F489" s="20">
        <f t="shared" si="42"/>
        <v>0</v>
      </c>
      <c r="G489" s="21">
        <v>103</v>
      </c>
      <c r="H489" s="20">
        <f t="shared" si="43"/>
        <v>0</v>
      </c>
      <c r="I489" s="2"/>
      <c r="J489" s="17"/>
      <c r="K489" s="17"/>
      <c r="L489" s="17"/>
    </row>
    <row r="490" spans="1:12">
      <c r="A490" s="37"/>
      <c r="B490" s="36">
        <v>4</v>
      </c>
      <c r="C490" s="19"/>
      <c r="D490" s="20">
        <v>0</v>
      </c>
      <c r="E490" s="21">
        <v>1</v>
      </c>
      <c r="F490" s="20">
        <f t="shared" si="42"/>
        <v>0</v>
      </c>
      <c r="G490" s="21">
        <v>104</v>
      </c>
      <c r="H490" s="20">
        <f t="shared" si="43"/>
        <v>0</v>
      </c>
      <c r="I490" s="2"/>
      <c r="J490" s="17"/>
      <c r="K490" s="17"/>
      <c r="L490" s="17"/>
    </row>
    <row r="491" spans="1:12">
      <c r="A491" s="37"/>
      <c r="B491" s="36">
        <v>5</v>
      </c>
      <c r="C491" s="19"/>
      <c r="D491" s="20">
        <v>0</v>
      </c>
      <c r="E491" s="21">
        <v>1</v>
      </c>
      <c r="F491" s="20">
        <f>D491*E491</f>
        <v>0</v>
      </c>
      <c r="G491" s="21">
        <v>102</v>
      </c>
      <c r="H491" s="20">
        <f>F491*G491</f>
        <v>0</v>
      </c>
      <c r="I491" s="2"/>
      <c r="J491" s="17"/>
      <c r="K491" s="17"/>
      <c r="L491" s="17"/>
    </row>
    <row r="492" spans="1:12" ht="18" customHeight="1">
      <c r="A492" s="37"/>
      <c r="B492" s="36"/>
      <c r="C492" s="14" t="s">
        <v>165</v>
      </c>
      <c r="D492" s="20"/>
      <c r="F492" s="20"/>
      <c r="H492" s="25">
        <f>SUM(H487:H491)</f>
        <v>0</v>
      </c>
      <c r="I492" s="2"/>
      <c r="J492" s="17"/>
      <c r="K492" s="17"/>
      <c r="L492" s="17"/>
    </row>
    <row r="493" spans="1:12" ht="18" customHeight="1">
      <c r="A493" s="37"/>
      <c r="B493" s="36"/>
      <c r="C493" s="14"/>
      <c r="D493" s="20"/>
      <c r="F493" s="20"/>
      <c r="H493" s="25"/>
      <c r="I493" s="2"/>
      <c r="J493" s="17"/>
      <c r="K493" s="17"/>
      <c r="L493" s="17"/>
    </row>
    <row r="494" spans="1:12">
      <c r="A494" s="37"/>
      <c r="B494" s="38"/>
      <c r="C494" s="14" t="s">
        <v>166</v>
      </c>
      <c r="D494" s="20"/>
      <c r="F494" s="20"/>
      <c r="H494" s="25">
        <f>H304+H320+H347+H427+H460+H468+H484+H492</f>
        <v>5581882.5672961501</v>
      </c>
      <c r="I494" s="2"/>
      <c r="J494" s="17"/>
      <c r="K494" s="17"/>
      <c r="L494" s="17"/>
    </row>
    <row r="495" spans="1:12">
      <c r="A495" s="37"/>
      <c r="B495" s="38"/>
      <c r="C495" s="14"/>
      <c r="D495" s="20"/>
      <c r="F495" s="20"/>
      <c r="H495" s="20"/>
      <c r="I495" s="2"/>
      <c r="J495" s="17"/>
      <c r="K495" s="17"/>
      <c r="L495" s="17"/>
    </row>
    <row r="496" spans="1:12">
      <c r="A496" s="37"/>
      <c r="B496" s="35" t="s">
        <v>492</v>
      </c>
      <c r="C496" s="14" t="s">
        <v>168</v>
      </c>
      <c r="D496" s="20"/>
      <c r="F496" s="20"/>
      <c r="H496" s="20"/>
      <c r="I496" s="2"/>
      <c r="J496" s="17"/>
      <c r="K496" s="17"/>
      <c r="L496" s="17"/>
    </row>
    <row r="497" spans="1:12">
      <c r="A497" s="37"/>
      <c r="B497" s="36">
        <v>1</v>
      </c>
      <c r="C497" s="19"/>
      <c r="D497" s="20">
        <v>0</v>
      </c>
      <c r="E497" s="21">
        <v>1</v>
      </c>
      <c r="F497" s="20">
        <f>D497*E497</f>
        <v>0</v>
      </c>
      <c r="G497" s="21">
        <v>101</v>
      </c>
      <c r="H497" s="20">
        <f>F497*G497</f>
        <v>0</v>
      </c>
      <c r="I497" s="2"/>
      <c r="J497" s="17"/>
      <c r="K497" s="17"/>
      <c r="L497" s="17"/>
    </row>
    <row r="498" spans="1:12">
      <c r="A498" s="37"/>
      <c r="B498" s="36">
        <v>2</v>
      </c>
      <c r="C498" s="19"/>
      <c r="D498" s="20">
        <v>0</v>
      </c>
      <c r="E498" s="21">
        <v>1</v>
      </c>
      <c r="F498" s="20">
        <f>D498*E498</f>
        <v>0</v>
      </c>
      <c r="G498" s="21">
        <v>102</v>
      </c>
      <c r="H498" s="20">
        <f>F498*G498</f>
        <v>0</v>
      </c>
      <c r="I498" s="2"/>
      <c r="J498" s="17"/>
      <c r="K498" s="17"/>
      <c r="L498" s="17"/>
    </row>
    <row r="499" spans="1:12">
      <c r="A499" s="37"/>
      <c r="B499" s="36"/>
      <c r="C499" s="14" t="s">
        <v>169</v>
      </c>
      <c r="D499" s="20"/>
      <c r="F499" s="20"/>
      <c r="H499" s="25">
        <f>SUM(H497:H498)</f>
        <v>0</v>
      </c>
      <c r="I499" s="2"/>
      <c r="J499" s="17"/>
      <c r="K499" s="17"/>
      <c r="L499" s="17"/>
    </row>
    <row r="500" spans="1:12">
      <c r="A500" s="37"/>
      <c r="B500" s="35"/>
      <c r="C500" s="14"/>
      <c r="D500" s="20"/>
      <c r="F500" s="20"/>
      <c r="H500" s="20"/>
      <c r="I500" s="2"/>
      <c r="J500" s="17"/>
      <c r="K500" s="17"/>
      <c r="L500" s="17"/>
    </row>
    <row r="501" spans="1:12">
      <c r="A501" s="37"/>
      <c r="B501" s="38"/>
      <c r="C501" s="14" t="s">
        <v>170</v>
      </c>
      <c r="D501" s="20"/>
      <c r="F501" s="20"/>
      <c r="H501" s="20"/>
      <c r="I501" s="2"/>
      <c r="J501" s="17"/>
      <c r="K501" s="17"/>
      <c r="L501" s="17"/>
    </row>
    <row r="502" spans="1:12">
      <c r="A502" s="37"/>
      <c r="B502" s="36">
        <v>1</v>
      </c>
      <c r="C502" s="19"/>
      <c r="D502" s="20">
        <v>0</v>
      </c>
      <c r="E502" s="21">
        <v>1</v>
      </c>
      <c r="F502" s="20">
        <f>D502*E502</f>
        <v>0</v>
      </c>
      <c r="G502" s="21">
        <v>101</v>
      </c>
      <c r="H502" s="20">
        <f>F502*G502</f>
        <v>0</v>
      </c>
      <c r="I502" s="2"/>
      <c r="J502" s="17"/>
      <c r="K502" s="17"/>
      <c r="L502" s="17"/>
    </row>
    <row r="503" spans="1:12">
      <c r="A503" s="37"/>
      <c r="B503" s="36">
        <v>2</v>
      </c>
      <c r="C503" s="19"/>
      <c r="D503" s="20">
        <v>0</v>
      </c>
      <c r="E503" s="21">
        <v>1</v>
      </c>
      <c r="F503" s="20">
        <f>D503*E503</f>
        <v>0</v>
      </c>
      <c r="G503" s="21">
        <v>102</v>
      </c>
      <c r="H503" s="20">
        <f>F503*G503</f>
        <v>0</v>
      </c>
      <c r="I503" s="2"/>
      <c r="J503" s="17"/>
      <c r="K503" s="17"/>
      <c r="L503" s="17"/>
    </row>
    <row r="504" spans="1:12">
      <c r="A504" s="37"/>
      <c r="B504" s="36"/>
      <c r="C504" s="14" t="s">
        <v>171</v>
      </c>
      <c r="D504" s="20"/>
      <c r="F504" s="20"/>
      <c r="H504" s="25">
        <f>SUM(H502:H503)</f>
        <v>0</v>
      </c>
      <c r="I504" s="2"/>
      <c r="J504" s="17"/>
      <c r="K504" s="17"/>
      <c r="L504" s="17"/>
    </row>
    <row r="505" spans="1:12">
      <c r="A505" s="37"/>
      <c r="B505" s="38"/>
      <c r="C505" s="14"/>
      <c r="D505" s="20"/>
      <c r="F505" s="20"/>
      <c r="H505" s="20"/>
      <c r="I505" s="2"/>
      <c r="J505" s="17"/>
      <c r="K505" s="17"/>
      <c r="L505" s="17"/>
    </row>
    <row r="506" spans="1:12">
      <c r="A506" s="37"/>
      <c r="B506" s="38"/>
      <c r="C506" s="14" t="s">
        <v>172</v>
      </c>
      <c r="D506" s="20"/>
      <c r="F506" s="20"/>
      <c r="H506" s="20"/>
      <c r="I506" s="2"/>
      <c r="J506" s="17"/>
      <c r="K506" s="17"/>
      <c r="L506" s="17"/>
    </row>
    <row r="507" spans="1:12">
      <c r="A507" s="37"/>
      <c r="B507" s="36">
        <v>1</v>
      </c>
      <c r="C507" s="19"/>
      <c r="D507" s="20">
        <v>0</v>
      </c>
      <c r="E507" s="21">
        <v>1</v>
      </c>
      <c r="F507" s="20">
        <f>D507*E507</f>
        <v>0</v>
      </c>
      <c r="G507" s="21">
        <v>101</v>
      </c>
      <c r="H507" s="20">
        <f>F507*G507</f>
        <v>0</v>
      </c>
      <c r="I507" s="2"/>
      <c r="J507" s="17"/>
      <c r="K507" s="17"/>
      <c r="L507" s="17"/>
    </row>
    <row r="508" spans="1:12">
      <c r="A508" s="37"/>
      <c r="B508" s="36">
        <v>2</v>
      </c>
      <c r="C508" s="19"/>
      <c r="D508" s="20">
        <v>0</v>
      </c>
      <c r="E508" s="21">
        <v>1</v>
      </c>
      <c r="F508" s="20">
        <f>D508*E508</f>
        <v>0</v>
      </c>
      <c r="G508" s="21">
        <v>102</v>
      </c>
      <c r="H508" s="20">
        <f>F508*G508</f>
        <v>0</v>
      </c>
      <c r="I508" s="2"/>
      <c r="J508" s="17"/>
      <c r="K508" s="17"/>
      <c r="L508" s="17"/>
    </row>
    <row r="509" spans="1:12">
      <c r="A509" s="37"/>
      <c r="B509" s="36"/>
      <c r="C509" s="14" t="s">
        <v>173</v>
      </c>
      <c r="D509" s="20"/>
      <c r="F509" s="20"/>
      <c r="H509" s="25">
        <f>SUM(H507:H508)</f>
        <v>0</v>
      </c>
      <c r="I509" s="2"/>
      <c r="J509" s="17"/>
      <c r="K509" s="17"/>
      <c r="L509" s="17"/>
    </row>
    <row r="510" spans="1:12">
      <c r="A510" s="37"/>
      <c r="B510" s="38"/>
      <c r="C510" s="14"/>
      <c r="D510" s="20"/>
      <c r="F510" s="20"/>
      <c r="H510" s="20"/>
      <c r="I510" s="2"/>
      <c r="J510" s="17"/>
      <c r="K510" s="17"/>
      <c r="L510" s="17"/>
    </row>
    <row r="511" spans="1:12">
      <c r="A511" s="37"/>
      <c r="B511" s="38"/>
      <c r="C511" s="14" t="s">
        <v>174</v>
      </c>
      <c r="D511" s="20"/>
      <c r="F511" s="20"/>
      <c r="H511" s="20"/>
      <c r="I511" s="2"/>
      <c r="J511" s="17"/>
      <c r="K511" s="17"/>
      <c r="L511" s="17"/>
    </row>
    <row r="512" spans="1:12">
      <c r="A512" s="37"/>
      <c r="B512" s="36">
        <v>1</v>
      </c>
      <c r="C512" s="19"/>
      <c r="D512" s="68">
        <v>0</v>
      </c>
      <c r="E512" s="69">
        <v>1</v>
      </c>
      <c r="F512" s="68">
        <f>D512*E512</f>
        <v>0</v>
      </c>
      <c r="G512" s="69">
        <v>400</v>
      </c>
      <c r="H512" s="30">
        <f>F512*G512</f>
        <v>0</v>
      </c>
      <c r="I512" s="2"/>
      <c r="J512" s="17"/>
      <c r="K512" s="17"/>
      <c r="L512" s="17"/>
    </row>
    <row r="513" spans="1:12">
      <c r="A513" s="37"/>
      <c r="B513" s="36">
        <v>2</v>
      </c>
      <c r="C513" s="19"/>
      <c r="D513" s="68">
        <v>0</v>
      </c>
      <c r="E513" s="69">
        <v>1</v>
      </c>
      <c r="F513" s="68">
        <f t="shared" ref="F513:F519" si="44">D513*E513</f>
        <v>0</v>
      </c>
      <c r="G513" s="69">
        <v>102</v>
      </c>
      <c r="H513" s="30">
        <f t="shared" ref="H513:H519" si="45">F513*G513</f>
        <v>0</v>
      </c>
      <c r="I513" s="2"/>
      <c r="J513" s="17"/>
      <c r="K513" s="17"/>
      <c r="L513" s="17"/>
    </row>
    <row r="514" spans="1:12">
      <c r="A514" s="37"/>
      <c r="B514" s="36">
        <v>3</v>
      </c>
      <c r="C514" s="19"/>
      <c r="D514" s="68">
        <v>0</v>
      </c>
      <c r="E514" s="69">
        <v>1</v>
      </c>
      <c r="F514" s="68">
        <f t="shared" si="44"/>
        <v>0</v>
      </c>
      <c r="G514" s="69">
        <v>770</v>
      </c>
      <c r="H514" s="30">
        <f t="shared" si="45"/>
        <v>0</v>
      </c>
      <c r="I514" s="2"/>
      <c r="J514" s="17"/>
      <c r="K514" s="17"/>
      <c r="L514" s="17"/>
    </row>
    <row r="515" spans="1:12">
      <c r="A515" s="37"/>
      <c r="B515" s="36">
        <v>4</v>
      </c>
      <c r="C515" s="19"/>
      <c r="D515" s="68">
        <v>0</v>
      </c>
      <c r="E515" s="69">
        <v>1</v>
      </c>
      <c r="F515" s="68">
        <f t="shared" si="44"/>
        <v>0</v>
      </c>
      <c r="G515" s="69">
        <v>104</v>
      </c>
      <c r="H515" s="30">
        <f t="shared" si="45"/>
        <v>0</v>
      </c>
      <c r="I515" s="2"/>
      <c r="J515" s="17"/>
      <c r="K515" s="17"/>
      <c r="L515" s="17"/>
    </row>
    <row r="516" spans="1:12">
      <c r="A516" s="37"/>
      <c r="B516" s="36">
        <v>5</v>
      </c>
      <c r="C516" s="19"/>
      <c r="D516" s="68">
        <v>0</v>
      </c>
      <c r="E516" s="69">
        <v>1</v>
      </c>
      <c r="F516" s="68">
        <f t="shared" si="44"/>
        <v>0</v>
      </c>
      <c r="G516" s="69">
        <v>105</v>
      </c>
      <c r="H516" s="30">
        <f t="shared" si="45"/>
        <v>0</v>
      </c>
      <c r="I516" s="2"/>
      <c r="J516" s="17"/>
      <c r="K516" s="17"/>
      <c r="L516" s="17"/>
    </row>
    <row r="517" spans="1:12">
      <c r="A517" s="37"/>
      <c r="B517" s="36">
        <v>6</v>
      </c>
      <c r="C517" s="19"/>
      <c r="D517" s="30">
        <v>0</v>
      </c>
      <c r="E517" s="21">
        <v>1</v>
      </c>
      <c r="F517" s="20">
        <f t="shared" si="44"/>
        <v>0</v>
      </c>
      <c r="G517" s="21">
        <v>106</v>
      </c>
      <c r="H517" s="20">
        <f t="shared" si="45"/>
        <v>0</v>
      </c>
      <c r="I517" s="2"/>
      <c r="J517" s="17"/>
      <c r="K517" s="17"/>
      <c r="L517" s="17"/>
    </row>
    <row r="518" spans="1:12">
      <c r="A518" s="37"/>
      <c r="B518" s="36">
        <v>7</v>
      </c>
      <c r="C518" s="19"/>
      <c r="D518" s="20">
        <v>0</v>
      </c>
      <c r="E518" s="21">
        <v>1</v>
      </c>
      <c r="F518" s="20">
        <f t="shared" si="44"/>
        <v>0</v>
      </c>
      <c r="G518" s="21">
        <v>107</v>
      </c>
      <c r="H518" s="20">
        <f t="shared" si="45"/>
        <v>0</v>
      </c>
      <c r="I518" s="2"/>
      <c r="J518" s="17"/>
      <c r="K518" s="17"/>
      <c r="L518" s="17"/>
    </row>
    <row r="519" spans="1:12">
      <c r="A519" s="37"/>
      <c r="B519" s="36">
        <v>8</v>
      </c>
      <c r="C519" s="19"/>
      <c r="D519" s="20">
        <v>0</v>
      </c>
      <c r="E519" s="21">
        <v>1</v>
      </c>
      <c r="F519" s="20">
        <f t="shared" si="44"/>
        <v>0</v>
      </c>
      <c r="G519" s="21">
        <v>108</v>
      </c>
      <c r="H519" s="20">
        <f t="shared" si="45"/>
        <v>0</v>
      </c>
      <c r="I519" s="2"/>
      <c r="J519" s="17"/>
      <c r="K519" s="17"/>
      <c r="L519" s="17"/>
    </row>
    <row r="520" spans="1:12">
      <c r="A520" s="37"/>
      <c r="B520" s="36"/>
      <c r="C520" s="14" t="s">
        <v>175</v>
      </c>
      <c r="D520" s="20"/>
      <c r="F520" s="20"/>
      <c r="H520" s="25">
        <f>SUM(H512:H519)</f>
        <v>0</v>
      </c>
      <c r="I520" s="2"/>
      <c r="J520" s="17"/>
      <c r="K520" s="17"/>
      <c r="L520" s="17"/>
    </row>
    <row r="521" spans="1:12">
      <c r="A521" s="37"/>
      <c r="B521" s="38"/>
      <c r="C521" s="14"/>
      <c r="D521" s="20"/>
      <c r="F521" s="20"/>
      <c r="H521" s="20"/>
      <c r="I521" s="2"/>
      <c r="J521" s="17"/>
      <c r="K521" s="17"/>
      <c r="L521" s="17"/>
    </row>
    <row r="522" spans="1:12">
      <c r="A522" s="37"/>
      <c r="B522" s="38"/>
      <c r="C522" s="14" t="s">
        <v>176</v>
      </c>
      <c r="D522" s="20"/>
      <c r="F522" s="20"/>
      <c r="H522" s="20"/>
      <c r="I522" s="2"/>
      <c r="J522" s="17"/>
      <c r="K522" s="17"/>
      <c r="L522" s="17"/>
    </row>
    <row r="523" spans="1:12">
      <c r="A523" s="37"/>
      <c r="B523" s="36">
        <v>1</v>
      </c>
      <c r="C523" s="19" t="s">
        <v>493</v>
      </c>
      <c r="D523" s="20">
        <v>0</v>
      </c>
      <c r="E523" s="21">
        <v>1</v>
      </c>
      <c r="F523" s="20">
        <f>D523*E523</f>
        <v>0</v>
      </c>
      <c r="G523" s="69">
        <v>43076.923076923078</v>
      </c>
      <c r="H523" s="20">
        <f>F523*G523</f>
        <v>0</v>
      </c>
      <c r="I523" s="2"/>
      <c r="J523" s="17"/>
      <c r="K523" s="17"/>
      <c r="L523" s="17"/>
    </row>
    <row r="524" spans="1:12">
      <c r="A524" s="37"/>
      <c r="B524" s="36">
        <v>2</v>
      </c>
      <c r="C524" s="19" t="s">
        <v>494</v>
      </c>
      <c r="D524" s="20">
        <v>0</v>
      </c>
      <c r="E524" s="21">
        <v>1</v>
      </c>
      <c r="F524" s="20">
        <f t="shared" ref="F524:F542" si="46">D524*E524</f>
        <v>0</v>
      </c>
      <c r="G524" s="69">
        <v>500000</v>
      </c>
      <c r="H524" s="20">
        <f t="shared" ref="H524:H542" si="47">F524*G524</f>
        <v>0</v>
      </c>
      <c r="I524" s="2"/>
      <c r="J524" s="17"/>
      <c r="K524" s="17"/>
      <c r="L524" s="17"/>
    </row>
    <row r="525" spans="1:12">
      <c r="A525" s="37"/>
      <c r="B525" s="36">
        <v>3</v>
      </c>
      <c r="C525" s="19" t="s">
        <v>495</v>
      </c>
      <c r="D525" s="20">
        <v>0</v>
      </c>
      <c r="E525" s="21">
        <v>1</v>
      </c>
      <c r="F525" s="20">
        <f t="shared" si="46"/>
        <v>0</v>
      </c>
      <c r="G525" s="69">
        <v>3295162.3076923075</v>
      </c>
      <c r="H525" s="20">
        <f t="shared" si="47"/>
        <v>0</v>
      </c>
      <c r="I525" s="2"/>
      <c r="J525" s="17"/>
      <c r="K525" s="17"/>
      <c r="L525" s="17"/>
    </row>
    <row r="526" spans="1:12">
      <c r="A526" s="37"/>
      <c r="B526" s="36">
        <v>4</v>
      </c>
      <c r="C526" s="19" t="s">
        <v>496</v>
      </c>
      <c r="D526" s="20">
        <v>0</v>
      </c>
      <c r="E526" s="21">
        <v>1</v>
      </c>
      <c r="F526" s="20">
        <f t="shared" si="46"/>
        <v>0</v>
      </c>
      <c r="G526" s="69">
        <v>5384.6153846153848</v>
      </c>
      <c r="H526" s="20">
        <f t="shared" si="47"/>
        <v>0</v>
      </c>
      <c r="I526" s="2"/>
      <c r="J526" s="17"/>
      <c r="K526" s="17"/>
      <c r="L526" s="17"/>
    </row>
    <row r="527" spans="1:12">
      <c r="A527" s="37"/>
      <c r="B527" s="36">
        <v>5</v>
      </c>
      <c r="C527" s="19" t="s">
        <v>497</v>
      </c>
      <c r="D527" s="20">
        <v>0</v>
      </c>
      <c r="E527" s="21">
        <v>1</v>
      </c>
      <c r="F527" s="20">
        <f t="shared" si="46"/>
        <v>0</v>
      </c>
      <c r="G527" s="69">
        <v>8307.6923076923067</v>
      </c>
      <c r="H527" s="20">
        <f t="shared" si="47"/>
        <v>0</v>
      </c>
      <c r="I527" s="2"/>
      <c r="J527" s="17"/>
      <c r="K527" s="17"/>
      <c r="L527" s="17"/>
    </row>
    <row r="528" spans="1:12">
      <c r="A528" s="37"/>
      <c r="B528" s="36">
        <v>6</v>
      </c>
      <c r="C528" s="19" t="s">
        <v>498</v>
      </c>
      <c r="D528" s="20">
        <v>0</v>
      </c>
      <c r="E528" s="21">
        <v>1</v>
      </c>
      <c r="F528" s="20">
        <f t="shared" si="46"/>
        <v>0</v>
      </c>
      <c r="G528" s="69">
        <v>60.769230769230766</v>
      </c>
      <c r="H528" s="20">
        <f t="shared" si="47"/>
        <v>0</v>
      </c>
      <c r="I528" s="2"/>
      <c r="J528" s="17"/>
      <c r="K528" s="17"/>
      <c r="L528" s="17"/>
    </row>
    <row r="529" spans="1:12">
      <c r="A529" s="37"/>
      <c r="B529" s="36">
        <v>7</v>
      </c>
      <c r="C529" s="19" t="s">
        <v>499</v>
      </c>
      <c r="D529" s="20">
        <v>5</v>
      </c>
      <c r="E529" s="21">
        <v>1</v>
      </c>
      <c r="F529" s="20">
        <f t="shared" si="46"/>
        <v>5</v>
      </c>
      <c r="G529" s="69">
        <v>880</v>
      </c>
      <c r="H529" s="20">
        <f t="shared" si="47"/>
        <v>4400</v>
      </c>
      <c r="I529" s="2"/>
      <c r="J529" s="17"/>
      <c r="K529" s="17"/>
      <c r="L529" s="17"/>
    </row>
    <row r="530" spans="1:12">
      <c r="A530" s="37"/>
      <c r="B530" s="36">
        <v>8</v>
      </c>
      <c r="C530" s="19" t="s">
        <v>500</v>
      </c>
      <c r="D530" s="20">
        <v>12</v>
      </c>
      <c r="E530" s="21">
        <v>1</v>
      </c>
      <c r="F530" s="20">
        <f t="shared" si="46"/>
        <v>12</v>
      </c>
      <c r="G530" s="69">
        <v>3665.3846153846152</v>
      </c>
      <c r="H530" s="20">
        <f t="shared" si="47"/>
        <v>43984.615384615383</v>
      </c>
      <c r="I530" s="2"/>
      <c r="J530" s="17"/>
      <c r="K530" s="17"/>
      <c r="L530" s="17"/>
    </row>
    <row r="531" spans="1:12">
      <c r="A531" s="37"/>
      <c r="B531" s="36">
        <v>9</v>
      </c>
      <c r="C531" s="19" t="s">
        <v>474</v>
      </c>
      <c r="D531" s="20">
        <v>1</v>
      </c>
      <c r="E531" s="21">
        <v>1</v>
      </c>
      <c r="F531" s="20">
        <f t="shared" si="46"/>
        <v>1</v>
      </c>
      <c r="G531" s="69">
        <v>3800</v>
      </c>
      <c r="H531" s="20">
        <f t="shared" si="47"/>
        <v>3800</v>
      </c>
      <c r="I531" s="2"/>
      <c r="J531" s="17"/>
      <c r="K531" s="17"/>
      <c r="L531" s="17"/>
    </row>
    <row r="532" spans="1:12">
      <c r="A532" s="37"/>
      <c r="B532" s="36">
        <v>10</v>
      </c>
      <c r="C532" s="19" t="s">
        <v>501</v>
      </c>
      <c r="D532" s="20">
        <v>3</v>
      </c>
      <c r="E532" s="21">
        <v>1</v>
      </c>
      <c r="F532" s="20">
        <f t="shared" si="46"/>
        <v>3</v>
      </c>
      <c r="G532" s="69">
        <v>1556.1538461538462</v>
      </c>
      <c r="H532" s="20">
        <f t="shared" si="47"/>
        <v>4668.461538461539</v>
      </c>
      <c r="I532" s="2"/>
      <c r="J532" s="17"/>
      <c r="K532" s="17"/>
      <c r="L532" s="17"/>
    </row>
    <row r="533" spans="1:12">
      <c r="A533" s="37"/>
      <c r="B533" s="36">
        <v>11</v>
      </c>
      <c r="C533" s="19" t="s">
        <v>502</v>
      </c>
      <c r="D533" s="20">
        <v>0.5</v>
      </c>
      <c r="E533" s="21">
        <v>1</v>
      </c>
      <c r="F533" s="20">
        <f t="shared" si="46"/>
        <v>0.5</v>
      </c>
      <c r="G533" s="69">
        <v>15961.538461538461</v>
      </c>
      <c r="H533" s="20">
        <f t="shared" si="47"/>
        <v>7980.7692307692305</v>
      </c>
      <c r="I533" s="2"/>
      <c r="J533" s="17"/>
      <c r="K533" s="17"/>
      <c r="L533" s="17"/>
    </row>
    <row r="534" spans="1:12">
      <c r="A534" s="37"/>
      <c r="B534" s="36">
        <v>12</v>
      </c>
      <c r="C534" s="19" t="s">
        <v>503</v>
      </c>
      <c r="D534" s="20">
        <v>0</v>
      </c>
      <c r="E534" s="21">
        <v>1</v>
      </c>
      <c r="F534" s="20">
        <f t="shared" si="46"/>
        <v>0</v>
      </c>
      <c r="G534" s="69">
        <v>40</v>
      </c>
      <c r="H534" s="20">
        <f t="shared" si="47"/>
        <v>0</v>
      </c>
      <c r="I534" s="2"/>
      <c r="J534" s="17"/>
      <c r="K534" s="17"/>
      <c r="L534" s="17"/>
    </row>
    <row r="535" spans="1:12">
      <c r="A535" s="37"/>
      <c r="B535" s="36">
        <v>13</v>
      </c>
      <c r="C535" s="19" t="s">
        <v>504</v>
      </c>
      <c r="D535" s="20">
        <v>0</v>
      </c>
      <c r="E535" s="21">
        <v>1</v>
      </c>
      <c r="F535" s="20">
        <f t="shared" si="46"/>
        <v>0</v>
      </c>
      <c r="G535" s="69">
        <v>49000</v>
      </c>
      <c r="H535" s="20">
        <f t="shared" si="47"/>
        <v>0</v>
      </c>
      <c r="I535" s="2"/>
      <c r="J535" s="17"/>
      <c r="K535" s="17"/>
      <c r="L535" s="17"/>
    </row>
    <row r="536" spans="1:12">
      <c r="A536" s="37"/>
      <c r="B536" s="36">
        <v>14</v>
      </c>
      <c r="C536" s="19" t="s">
        <v>505</v>
      </c>
      <c r="D536" s="20">
        <v>0</v>
      </c>
      <c r="E536" s="21">
        <v>1</v>
      </c>
      <c r="F536" s="20">
        <f t="shared" si="46"/>
        <v>0</v>
      </c>
      <c r="G536" s="69">
        <v>2307.6923076923076</v>
      </c>
      <c r="H536" s="20">
        <f t="shared" si="47"/>
        <v>0</v>
      </c>
      <c r="I536" s="2"/>
      <c r="J536" s="17"/>
      <c r="K536" s="17"/>
      <c r="L536" s="17"/>
    </row>
    <row r="537" spans="1:12">
      <c r="A537" s="37"/>
      <c r="B537" s="36">
        <v>15</v>
      </c>
      <c r="C537" s="19" t="s">
        <v>506</v>
      </c>
      <c r="D537" s="20">
        <v>2</v>
      </c>
      <c r="E537" s="21">
        <v>1</v>
      </c>
      <c r="F537" s="20">
        <f t="shared" si="46"/>
        <v>2</v>
      </c>
      <c r="G537" s="69">
        <v>16100</v>
      </c>
      <c r="H537" s="20">
        <f t="shared" si="47"/>
        <v>32200</v>
      </c>
      <c r="I537" s="2"/>
      <c r="J537" s="17"/>
      <c r="K537" s="17"/>
      <c r="L537" s="17"/>
    </row>
    <row r="538" spans="1:12">
      <c r="A538" s="37"/>
      <c r="B538" s="36">
        <v>16</v>
      </c>
      <c r="C538" s="19" t="s">
        <v>507</v>
      </c>
      <c r="D538" s="20">
        <v>0</v>
      </c>
      <c r="E538" s="21">
        <v>1</v>
      </c>
      <c r="F538" s="20">
        <f t="shared" si="46"/>
        <v>0</v>
      </c>
      <c r="G538" s="69">
        <v>230.76923076923077</v>
      </c>
      <c r="H538" s="20">
        <f t="shared" si="47"/>
        <v>0</v>
      </c>
      <c r="I538" s="2"/>
      <c r="J538" s="17"/>
      <c r="K538" s="17"/>
      <c r="L538" s="17"/>
    </row>
    <row r="539" spans="1:12">
      <c r="A539" s="37"/>
      <c r="B539" s="36">
        <v>17</v>
      </c>
      <c r="C539" s="19" t="s">
        <v>508</v>
      </c>
      <c r="D539" s="20">
        <v>0</v>
      </c>
      <c r="E539" s="21">
        <v>1</v>
      </c>
      <c r="F539" s="20">
        <f t="shared" si="46"/>
        <v>0</v>
      </c>
      <c r="G539" s="69">
        <v>9000</v>
      </c>
      <c r="H539" s="20">
        <f t="shared" si="47"/>
        <v>0</v>
      </c>
      <c r="I539" s="2"/>
      <c r="J539" s="17"/>
      <c r="K539" s="17"/>
      <c r="L539" s="17"/>
    </row>
    <row r="540" spans="1:12">
      <c r="A540" s="37"/>
      <c r="B540" s="36">
        <v>18</v>
      </c>
      <c r="C540" s="19" t="s">
        <v>352</v>
      </c>
      <c r="D540" s="20">
        <v>0</v>
      </c>
      <c r="E540" s="21">
        <v>1</v>
      </c>
      <c r="F540" s="20">
        <f t="shared" si="46"/>
        <v>0</v>
      </c>
      <c r="G540" s="69">
        <v>177.69230769230768</v>
      </c>
      <c r="H540" s="20">
        <f t="shared" si="47"/>
        <v>0</v>
      </c>
      <c r="I540" s="2"/>
      <c r="J540" s="17"/>
      <c r="K540" s="17"/>
      <c r="L540" s="17"/>
    </row>
    <row r="541" spans="1:12">
      <c r="A541" s="37"/>
      <c r="B541" s="36">
        <v>19</v>
      </c>
      <c r="C541" s="19" t="s">
        <v>45</v>
      </c>
      <c r="D541" s="20">
        <v>0</v>
      </c>
      <c r="E541" s="21">
        <v>1</v>
      </c>
      <c r="F541" s="20">
        <f t="shared" si="46"/>
        <v>0</v>
      </c>
      <c r="G541" s="69">
        <v>77.692307692307693</v>
      </c>
      <c r="H541" s="20">
        <f t="shared" si="47"/>
        <v>0</v>
      </c>
      <c r="I541" s="2"/>
      <c r="J541" s="17"/>
      <c r="K541" s="17"/>
      <c r="L541" s="17"/>
    </row>
    <row r="542" spans="1:12">
      <c r="A542" s="37"/>
      <c r="B542" s="36">
        <v>20</v>
      </c>
      <c r="C542" s="19" t="s">
        <v>351</v>
      </c>
      <c r="D542" s="20">
        <v>0</v>
      </c>
      <c r="E542" s="21">
        <v>1</v>
      </c>
      <c r="F542" s="20">
        <f t="shared" si="46"/>
        <v>0</v>
      </c>
      <c r="G542" s="69">
        <v>264.61538461538458</v>
      </c>
      <c r="H542" s="20">
        <f t="shared" si="47"/>
        <v>0</v>
      </c>
      <c r="I542" s="2"/>
      <c r="J542" s="17"/>
      <c r="K542" s="17"/>
      <c r="L542" s="17"/>
    </row>
    <row r="543" spans="1:12">
      <c r="A543" s="37"/>
      <c r="B543" s="36">
        <v>21</v>
      </c>
      <c r="C543" s="19"/>
      <c r="D543" s="20">
        <v>0</v>
      </c>
      <c r="E543" s="21">
        <v>1</v>
      </c>
      <c r="F543" s="20">
        <f>D543*E543</f>
        <v>0</v>
      </c>
      <c r="G543" s="69">
        <v>102</v>
      </c>
      <c r="H543" s="20">
        <f>F543*G543</f>
        <v>0</v>
      </c>
      <c r="I543" s="2"/>
      <c r="J543" s="17"/>
      <c r="K543" s="17"/>
      <c r="L543" s="17"/>
    </row>
    <row r="544" spans="1:12">
      <c r="A544" s="37"/>
      <c r="B544" s="36"/>
      <c r="C544" s="14" t="s">
        <v>177</v>
      </c>
      <c r="D544" s="20"/>
      <c r="F544" s="20"/>
      <c r="H544" s="25">
        <f>SUM(H523:H543)</f>
        <v>97033.846153846156</v>
      </c>
      <c r="I544" s="2"/>
      <c r="J544" s="17"/>
      <c r="K544" s="17"/>
      <c r="L544" s="17"/>
    </row>
    <row r="545" spans="1:12">
      <c r="A545" s="37"/>
      <c r="B545" s="38"/>
      <c r="C545" s="14"/>
      <c r="D545" s="20"/>
      <c r="F545" s="20"/>
      <c r="H545" s="20"/>
      <c r="I545" s="2"/>
      <c r="J545" s="17"/>
      <c r="K545" s="17"/>
      <c r="L545" s="17"/>
    </row>
    <row r="546" spans="1:12">
      <c r="A546" s="37"/>
      <c r="B546" s="38"/>
      <c r="C546" s="14" t="s">
        <v>178</v>
      </c>
      <c r="D546" s="20"/>
      <c r="F546" s="20"/>
      <c r="H546" s="20"/>
      <c r="I546" s="2"/>
      <c r="J546" s="17"/>
      <c r="K546" s="17"/>
      <c r="L546" s="17"/>
    </row>
    <row r="547" spans="1:12">
      <c r="A547" s="37"/>
      <c r="B547" s="36">
        <v>1</v>
      </c>
      <c r="C547" s="19" t="s">
        <v>284</v>
      </c>
      <c r="D547" s="20">
        <v>0</v>
      </c>
      <c r="E547" s="21">
        <v>1</v>
      </c>
      <c r="F547" s="20">
        <f>D547*E547</f>
        <v>0</v>
      </c>
      <c r="G547" s="21">
        <v>62500</v>
      </c>
      <c r="H547" s="20">
        <f>F547*G547</f>
        <v>0</v>
      </c>
      <c r="I547" s="2"/>
      <c r="J547" s="17"/>
      <c r="K547" s="17"/>
      <c r="L547" s="17"/>
    </row>
    <row r="548" spans="1:12">
      <c r="A548" s="37"/>
      <c r="B548" s="36">
        <v>2</v>
      </c>
      <c r="C548" s="19" t="s">
        <v>355</v>
      </c>
      <c r="D548" s="20">
        <v>0</v>
      </c>
      <c r="E548" s="21">
        <v>1</v>
      </c>
      <c r="F548" s="20">
        <f>D548*E548</f>
        <v>0</v>
      </c>
      <c r="G548" s="31">
        <v>102</v>
      </c>
      <c r="H548" s="20">
        <f>F548*G548</f>
        <v>0</v>
      </c>
      <c r="I548" s="2"/>
      <c r="J548" s="17"/>
      <c r="K548" s="17"/>
      <c r="L548" s="17"/>
    </row>
    <row r="549" spans="1:12">
      <c r="A549" s="37"/>
      <c r="B549" s="36">
        <v>3</v>
      </c>
      <c r="C549" s="19"/>
      <c r="D549" s="20">
        <v>0</v>
      </c>
      <c r="E549" s="21">
        <v>1</v>
      </c>
      <c r="F549" s="20">
        <f>D549*E549</f>
        <v>0</v>
      </c>
      <c r="G549" s="21">
        <v>103</v>
      </c>
      <c r="H549" s="20">
        <f>F549*G549</f>
        <v>0</v>
      </c>
      <c r="I549" s="2"/>
      <c r="J549" s="17"/>
      <c r="K549" s="17"/>
      <c r="L549" s="17"/>
    </row>
    <row r="550" spans="1:12">
      <c r="A550" s="37"/>
      <c r="B550" s="36">
        <v>4</v>
      </c>
      <c r="C550" s="19"/>
      <c r="D550" s="20">
        <v>0</v>
      </c>
      <c r="E550" s="21">
        <v>1</v>
      </c>
      <c r="F550" s="20">
        <f>D550*E550</f>
        <v>0</v>
      </c>
      <c r="G550" s="21">
        <v>104</v>
      </c>
      <c r="H550" s="20">
        <f>F550*G550</f>
        <v>0</v>
      </c>
      <c r="I550" s="2"/>
      <c r="J550" s="17"/>
      <c r="K550" s="17"/>
      <c r="L550" s="17"/>
    </row>
    <row r="551" spans="1:12">
      <c r="A551" s="37"/>
      <c r="B551" s="36">
        <v>5</v>
      </c>
      <c r="C551" s="19"/>
      <c r="D551" s="20">
        <v>0</v>
      </c>
      <c r="E551" s="21">
        <v>1</v>
      </c>
      <c r="F551" s="20">
        <f>D551*E551</f>
        <v>0</v>
      </c>
      <c r="G551" s="21">
        <v>102</v>
      </c>
      <c r="H551" s="20">
        <f>F551*G551</f>
        <v>0</v>
      </c>
      <c r="I551" s="2"/>
      <c r="J551" s="17"/>
      <c r="K551" s="17"/>
      <c r="L551" s="17"/>
    </row>
    <row r="552" spans="1:12">
      <c r="A552" s="37"/>
      <c r="B552" s="36"/>
      <c r="C552" s="14" t="s">
        <v>179</v>
      </c>
      <c r="D552" s="20"/>
      <c r="F552" s="20"/>
      <c r="H552" s="25">
        <f>SUM(H547:H551)</f>
        <v>0</v>
      </c>
      <c r="I552" s="2"/>
      <c r="J552" s="17"/>
      <c r="K552" s="17"/>
      <c r="L552" s="17"/>
    </row>
    <row r="553" spans="1:12">
      <c r="A553" s="37"/>
      <c r="B553" s="38"/>
      <c r="C553" s="14"/>
      <c r="D553" s="20"/>
      <c r="F553" s="20"/>
      <c r="H553" s="20"/>
      <c r="I553" s="2"/>
      <c r="J553" s="17"/>
      <c r="K553" s="17"/>
      <c r="L553" s="17"/>
    </row>
    <row r="554" spans="1:12">
      <c r="A554" s="37"/>
      <c r="B554" s="38"/>
      <c r="C554" s="14" t="s">
        <v>180</v>
      </c>
      <c r="D554" s="20"/>
      <c r="F554" s="20"/>
      <c r="H554" s="20"/>
      <c r="I554" s="2"/>
      <c r="J554" s="17"/>
      <c r="K554" s="17"/>
      <c r="L554" s="17"/>
    </row>
    <row r="555" spans="1:12">
      <c r="A555" s="37"/>
      <c r="B555" s="36">
        <v>1</v>
      </c>
      <c r="C555" s="19" t="s">
        <v>356</v>
      </c>
      <c r="D555" s="20">
        <v>0</v>
      </c>
      <c r="E555" s="21">
        <v>1</v>
      </c>
      <c r="F555" s="20">
        <f>D555*E555</f>
        <v>0</v>
      </c>
      <c r="G555" s="69">
        <v>22076</v>
      </c>
      <c r="H555" s="20">
        <f>F555*G555</f>
        <v>0</v>
      </c>
      <c r="I555" s="2"/>
      <c r="J555" s="17"/>
      <c r="K555" s="17"/>
      <c r="L555" s="17"/>
    </row>
    <row r="556" spans="1:12">
      <c r="A556" s="37"/>
      <c r="B556" s="36">
        <v>2</v>
      </c>
      <c r="C556" s="19" t="s">
        <v>357</v>
      </c>
      <c r="D556" s="20">
        <v>0</v>
      </c>
      <c r="E556" s="21">
        <v>1</v>
      </c>
      <c r="F556" s="20">
        <f t="shared" ref="F556:F569" si="48">D556*E556</f>
        <v>0</v>
      </c>
      <c r="G556" s="69">
        <v>12507</v>
      </c>
      <c r="H556" s="20">
        <f t="shared" ref="H556:H569" si="49">F556*G556</f>
        <v>0</v>
      </c>
      <c r="I556" s="2"/>
      <c r="J556" s="17"/>
      <c r="K556" s="17"/>
      <c r="L556" s="17"/>
    </row>
    <row r="557" spans="1:12">
      <c r="A557" s="37"/>
      <c r="B557" s="36">
        <v>3</v>
      </c>
      <c r="C557" s="19" t="s">
        <v>219</v>
      </c>
      <c r="D557" s="20">
        <v>0</v>
      </c>
      <c r="E557" s="21">
        <v>1</v>
      </c>
      <c r="F557" s="20">
        <f t="shared" si="48"/>
        <v>0</v>
      </c>
      <c r="G557" s="69">
        <v>12507</v>
      </c>
      <c r="H557" s="20">
        <f t="shared" si="49"/>
        <v>0</v>
      </c>
      <c r="I557" s="2"/>
      <c r="J557" s="17"/>
      <c r="K557" s="17"/>
      <c r="L557" s="17"/>
    </row>
    <row r="558" spans="1:12">
      <c r="A558" s="37"/>
      <c r="B558" s="36">
        <v>4</v>
      </c>
      <c r="C558" s="19" t="s">
        <v>64</v>
      </c>
      <c r="D558" s="20">
        <v>0</v>
      </c>
      <c r="E558" s="21">
        <v>1</v>
      </c>
      <c r="F558" s="20">
        <f t="shared" si="48"/>
        <v>0</v>
      </c>
      <c r="G558" s="69">
        <v>12507</v>
      </c>
      <c r="H558" s="20">
        <f t="shared" si="49"/>
        <v>0</v>
      </c>
      <c r="I558" s="2"/>
      <c r="J558" s="17"/>
      <c r="K558" s="17"/>
      <c r="L558" s="17"/>
    </row>
    <row r="559" spans="1:12">
      <c r="A559" s="37"/>
      <c r="B559" s="36">
        <v>5</v>
      </c>
      <c r="C559" s="19" t="s">
        <v>65</v>
      </c>
      <c r="D559" s="20">
        <v>0</v>
      </c>
      <c r="E559" s="21">
        <v>1</v>
      </c>
      <c r="F559" s="20">
        <f t="shared" si="48"/>
        <v>0</v>
      </c>
      <c r="G559" s="69">
        <v>12507</v>
      </c>
      <c r="H559" s="20">
        <f t="shared" si="49"/>
        <v>0</v>
      </c>
      <c r="I559" s="2"/>
      <c r="J559" s="17"/>
      <c r="K559" s="17"/>
      <c r="L559" s="17"/>
    </row>
    <row r="560" spans="1:12">
      <c r="A560" s="37"/>
      <c r="B560" s="36">
        <v>6</v>
      </c>
      <c r="C560" s="19" t="s">
        <v>358</v>
      </c>
      <c r="D560" s="20">
        <v>0</v>
      </c>
      <c r="E560" s="21">
        <v>1</v>
      </c>
      <c r="F560" s="20">
        <f t="shared" si="48"/>
        <v>0</v>
      </c>
      <c r="G560" s="69">
        <v>12507</v>
      </c>
      <c r="H560" s="20">
        <f t="shared" si="49"/>
        <v>0</v>
      </c>
      <c r="I560" s="2"/>
      <c r="J560" s="17"/>
      <c r="K560" s="17"/>
      <c r="L560" s="17"/>
    </row>
    <row r="561" spans="1:12">
      <c r="A561" s="37"/>
      <c r="B561" s="36">
        <v>7</v>
      </c>
      <c r="C561" s="19" t="s">
        <v>222</v>
      </c>
      <c r="D561" s="20">
        <v>0</v>
      </c>
      <c r="E561" s="21">
        <v>1</v>
      </c>
      <c r="F561" s="20">
        <f t="shared" si="48"/>
        <v>0</v>
      </c>
      <c r="G561" s="69">
        <v>12507</v>
      </c>
      <c r="H561" s="20">
        <f t="shared" si="49"/>
        <v>0</v>
      </c>
      <c r="I561" s="2"/>
      <c r="J561" s="17"/>
      <c r="K561" s="17"/>
      <c r="L561" s="17"/>
    </row>
    <row r="562" spans="1:12">
      <c r="A562" s="37"/>
      <c r="B562" s="36">
        <v>8</v>
      </c>
      <c r="C562" s="19" t="s">
        <v>359</v>
      </c>
      <c r="D562" s="20">
        <v>0</v>
      </c>
      <c r="E562" s="21">
        <v>1</v>
      </c>
      <c r="F562" s="20">
        <f t="shared" si="48"/>
        <v>0</v>
      </c>
      <c r="G562" s="69">
        <v>12507</v>
      </c>
      <c r="H562" s="20">
        <f t="shared" si="49"/>
        <v>0</v>
      </c>
      <c r="I562" s="2"/>
      <c r="J562" s="17"/>
      <c r="K562" s="17"/>
      <c r="L562" s="17"/>
    </row>
    <row r="563" spans="1:12">
      <c r="A563" s="37"/>
      <c r="B563" s="36">
        <v>9</v>
      </c>
      <c r="C563" s="19" t="s">
        <v>223</v>
      </c>
      <c r="D563" s="20">
        <v>0</v>
      </c>
      <c r="E563" s="21">
        <v>1</v>
      </c>
      <c r="F563" s="20">
        <f t="shared" si="48"/>
        <v>0</v>
      </c>
      <c r="G563" s="69">
        <v>31769</v>
      </c>
      <c r="H563" s="20">
        <f t="shared" si="49"/>
        <v>0</v>
      </c>
      <c r="I563" s="2"/>
      <c r="J563" s="17"/>
      <c r="K563" s="17"/>
      <c r="L563" s="17"/>
    </row>
    <row r="564" spans="1:12">
      <c r="A564" s="37"/>
      <c r="B564" s="36">
        <v>10</v>
      </c>
      <c r="C564" s="19" t="s">
        <v>360</v>
      </c>
      <c r="D564" s="20">
        <v>0</v>
      </c>
      <c r="E564" s="21">
        <v>1</v>
      </c>
      <c r="F564" s="20">
        <f t="shared" si="48"/>
        <v>0</v>
      </c>
      <c r="G564" s="69">
        <v>31769</v>
      </c>
      <c r="H564" s="20">
        <f t="shared" si="49"/>
        <v>0</v>
      </c>
      <c r="I564" s="2"/>
      <c r="J564" s="17"/>
      <c r="K564" s="17"/>
      <c r="L564" s="17"/>
    </row>
    <row r="565" spans="1:12">
      <c r="A565" s="37"/>
      <c r="B565" s="36">
        <v>11</v>
      </c>
      <c r="C565" s="19"/>
      <c r="D565" s="20">
        <v>0</v>
      </c>
      <c r="E565" s="21">
        <v>1</v>
      </c>
      <c r="F565" s="20">
        <f t="shared" si="48"/>
        <v>0</v>
      </c>
      <c r="G565" s="69">
        <v>111</v>
      </c>
      <c r="H565" s="20">
        <f t="shared" si="49"/>
        <v>0</v>
      </c>
      <c r="I565" s="2"/>
      <c r="J565" s="17"/>
      <c r="K565" s="17"/>
      <c r="L565" s="17"/>
    </row>
    <row r="566" spans="1:12">
      <c r="A566" s="37"/>
      <c r="B566" s="36">
        <v>12</v>
      </c>
      <c r="C566" s="19"/>
      <c r="D566" s="20">
        <v>0</v>
      </c>
      <c r="E566" s="21">
        <v>1</v>
      </c>
      <c r="F566" s="20">
        <f t="shared" si="48"/>
        <v>0</v>
      </c>
      <c r="G566" s="69">
        <v>112</v>
      </c>
      <c r="H566" s="20">
        <f t="shared" si="49"/>
        <v>0</v>
      </c>
      <c r="I566" s="2"/>
      <c r="J566" s="17"/>
      <c r="K566" s="17"/>
      <c r="L566" s="17"/>
    </row>
    <row r="567" spans="1:12">
      <c r="A567" s="37"/>
      <c r="B567" s="36">
        <v>13</v>
      </c>
      <c r="C567" s="19"/>
      <c r="D567" s="20">
        <v>0</v>
      </c>
      <c r="E567" s="21">
        <v>1</v>
      </c>
      <c r="F567" s="20">
        <f t="shared" si="48"/>
        <v>0</v>
      </c>
      <c r="G567" s="69">
        <v>113</v>
      </c>
      <c r="H567" s="20">
        <f t="shared" si="49"/>
        <v>0</v>
      </c>
      <c r="I567" s="2"/>
      <c r="J567" s="17"/>
      <c r="K567" s="17"/>
      <c r="L567" s="17"/>
    </row>
    <row r="568" spans="1:12">
      <c r="A568" s="37"/>
      <c r="B568" s="36">
        <v>14</v>
      </c>
      <c r="C568" s="19"/>
      <c r="D568" s="20">
        <v>0</v>
      </c>
      <c r="E568" s="21">
        <v>1</v>
      </c>
      <c r="F568" s="20">
        <f t="shared" si="48"/>
        <v>0</v>
      </c>
      <c r="G568" s="69">
        <v>114</v>
      </c>
      <c r="H568" s="20">
        <f t="shared" si="49"/>
        <v>0</v>
      </c>
      <c r="I568" s="2"/>
      <c r="J568" s="17"/>
      <c r="K568" s="17"/>
      <c r="L568" s="17"/>
    </row>
    <row r="569" spans="1:12">
      <c r="A569" s="37"/>
      <c r="B569" s="36">
        <v>15</v>
      </c>
      <c r="C569" s="19"/>
      <c r="D569" s="20">
        <v>0</v>
      </c>
      <c r="E569" s="21">
        <v>1</v>
      </c>
      <c r="F569" s="20">
        <f t="shared" si="48"/>
        <v>0</v>
      </c>
      <c r="G569" s="69">
        <v>115</v>
      </c>
      <c r="H569" s="20">
        <f t="shared" si="49"/>
        <v>0</v>
      </c>
      <c r="I569" s="2"/>
      <c r="J569" s="17"/>
      <c r="K569" s="17"/>
      <c r="L569" s="17"/>
    </row>
    <row r="570" spans="1:12">
      <c r="A570" s="37"/>
      <c r="B570" s="36"/>
      <c r="C570" s="14" t="s">
        <v>181</v>
      </c>
      <c r="D570" s="20"/>
      <c r="F570" s="20"/>
      <c r="H570" s="25">
        <f>SUM(H555:H569)</f>
        <v>0</v>
      </c>
      <c r="I570" s="2"/>
      <c r="J570" s="17"/>
      <c r="K570" s="17"/>
      <c r="L570" s="17"/>
    </row>
    <row r="571" spans="1:12">
      <c r="A571" s="37"/>
      <c r="B571" s="36"/>
      <c r="C571" s="14"/>
      <c r="D571" s="20"/>
      <c r="F571" s="20"/>
      <c r="H571" s="25"/>
      <c r="I571" s="2"/>
      <c r="J571" s="17"/>
      <c r="K571" s="17"/>
      <c r="L571" s="17"/>
    </row>
    <row r="572" spans="1:12">
      <c r="A572" s="37"/>
      <c r="B572" s="38"/>
      <c r="C572" s="14" t="s">
        <v>182</v>
      </c>
      <c r="D572" s="20"/>
      <c r="F572" s="20"/>
      <c r="H572" s="20"/>
      <c r="I572" s="2"/>
      <c r="J572" s="17"/>
      <c r="K572" s="17"/>
      <c r="L572" s="17"/>
    </row>
    <row r="573" spans="1:12">
      <c r="A573" s="37"/>
      <c r="B573" s="36">
        <v>1</v>
      </c>
      <c r="C573" s="19" t="s">
        <v>361</v>
      </c>
      <c r="D573" s="20">
        <v>6</v>
      </c>
      <c r="E573" s="21">
        <v>1</v>
      </c>
      <c r="F573" s="20">
        <f>D573*E573</f>
        <v>6</v>
      </c>
      <c r="G573" s="21">
        <v>576900</v>
      </c>
      <c r="H573" s="20">
        <f>F573*G573</f>
        <v>3461400</v>
      </c>
      <c r="I573" s="2"/>
      <c r="J573" s="17"/>
      <c r="K573" s="17"/>
      <c r="L573" s="17"/>
    </row>
    <row r="574" spans="1:12">
      <c r="A574" s="37"/>
      <c r="B574" s="36">
        <v>2</v>
      </c>
      <c r="C574" s="19" t="s">
        <v>509</v>
      </c>
      <c r="D574" s="20">
        <v>12</v>
      </c>
      <c r="E574" s="21">
        <v>1</v>
      </c>
      <c r="F574" s="20">
        <f>D574*E574</f>
        <v>12</v>
      </c>
      <c r="G574" s="21">
        <v>30770</v>
      </c>
      <c r="H574" s="20">
        <f>F574*G574</f>
        <v>369240</v>
      </c>
      <c r="I574" s="2"/>
      <c r="J574" s="17"/>
      <c r="K574" s="17"/>
      <c r="L574" s="17"/>
    </row>
    <row r="575" spans="1:12">
      <c r="A575" s="37"/>
      <c r="B575" s="36">
        <v>3</v>
      </c>
      <c r="C575" s="19" t="s">
        <v>76</v>
      </c>
      <c r="D575" s="20">
        <v>12</v>
      </c>
      <c r="E575" s="21">
        <v>1</v>
      </c>
      <c r="F575" s="20">
        <f t="shared" ref="F575:F582" si="50">D575*E575</f>
        <v>12</v>
      </c>
      <c r="G575" s="21">
        <v>30770</v>
      </c>
      <c r="H575" s="20">
        <f t="shared" ref="H575:H582" si="51">F575*G575</f>
        <v>369240</v>
      </c>
      <c r="I575" s="2"/>
      <c r="J575" s="17"/>
      <c r="K575" s="17"/>
      <c r="L575" s="17"/>
    </row>
    <row r="576" spans="1:12">
      <c r="A576" s="37"/>
      <c r="B576" s="36">
        <v>4</v>
      </c>
      <c r="C576" s="19" t="s">
        <v>364</v>
      </c>
      <c r="D576" s="20">
        <v>48</v>
      </c>
      <c r="E576" s="21">
        <v>1</v>
      </c>
      <c r="F576" s="20">
        <f t="shared" si="50"/>
        <v>48</v>
      </c>
      <c r="G576" s="21">
        <v>30770</v>
      </c>
      <c r="H576" s="20">
        <f t="shared" si="51"/>
        <v>1476960</v>
      </c>
      <c r="I576" s="2"/>
      <c r="J576" s="17"/>
      <c r="K576" s="17"/>
      <c r="L576" s="17"/>
    </row>
    <row r="577" spans="1:12">
      <c r="A577" s="37"/>
      <c r="B577" s="36">
        <v>5</v>
      </c>
      <c r="C577" s="19" t="s">
        <v>510</v>
      </c>
      <c r="D577" s="20">
        <v>6</v>
      </c>
      <c r="E577" s="21">
        <v>1</v>
      </c>
      <c r="F577" s="20">
        <f t="shared" si="50"/>
        <v>6</v>
      </c>
      <c r="G577" s="21">
        <v>30770</v>
      </c>
      <c r="H577" s="20">
        <f t="shared" si="51"/>
        <v>184620</v>
      </c>
      <c r="I577" s="2"/>
      <c r="J577" s="17"/>
      <c r="K577" s="17"/>
      <c r="L577" s="17"/>
    </row>
    <row r="578" spans="1:12">
      <c r="A578" s="37"/>
      <c r="B578" s="36">
        <v>6</v>
      </c>
      <c r="C578" s="19" t="s">
        <v>511</v>
      </c>
      <c r="D578" s="20">
        <v>6</v>
      </c>
      <c r="E578" s="21">
        <v>1</v>
      </c>
      <c r="F578" s="20">
        <f t="shared" si="50"/>
        <v>6</v>
      </c>
      <c r="G578" s="21">
        <v>30770</v>
      </c>
      <c r="H578" s="20">
        <f t="shared" si="51"/>
        <v>184620</v>
      </c>
      <c r="I578" s="2"/>
      <c r="J578" s="17"/>
      <c r="K578" s="17"/>
      <c r="L578" s="17"/>
    </row>
    <row r="579" spans="1:12">
      <c r="A579" s="37"/>
      <c r="B579" s="36">
        <v>7</v>
      </c>
      <c r="C579" s="19"/>
      <c r="D579" s="20">
        <v>0</v>
      </c>
      <c r="E579" s="21">
        <v>1</v>
      </c>
      <c r="F579" s="20">
        <f t="shared" si="50"/>
        <v>0</v>
      </c>
      <c r="G579" s="21">
        <v>106</v>
      </c>
      <c r="H579" s="20">
        <f t="shared" si="51"/>
        <v>0</v>
      </c>
      <c r="I579" s="2"/>
      <c r="J579" s="17"/>
      <c r="K579" s="17"/>
      <c r="L579" s="17"/>
    </row>
    <row r="580" spans="1:12">
      <c r="A580" s="37"/>
      <c r="B580" s="36">
        <v>8</v>
      </c>
      <c r="C580" s="19"/>
      <c r="D580" s="20">
        <v>0</v>
      </c>
      <c r="E580" s="21">
        <v>1</v>
      </c>
      <c r="F580" s="20">
        <f t="shared" si="50"/>
        <v>0</v>
      </c>
      <c r="G580" s="21">
        <v>107</v>
      </c>
      <c r="H580" s="20">
        <f t="shared" si="51"/>
        <v>0</v>
      </c>
      <c r="I580" s="2"/>
      <c r="J580" s="17"/>
      <c r="K580" s="17"/>
      <c r="L580" s="17"/>
    </row>
    <row r="581" spans="1:12">
      <c r="A581" s="37"/>
      <c r="B581" s="36">
        <v>9</v>
      </c>
      <c r="C581" s="19"/>
      <c r="D581" s="20">
        <v>0</v>
      </c>
      <c r="E581" s="21">
        <v>1</v>
      </c>
      <c r="F581" s="20">
        <f t="shared" si="50"/>
        <v>0</v>
      </c>
      <c r="G581" s="21">
        <v>108</v>
      </c>
      <c r="H581" s="20">
        <f t="shared" si="51"/>
        <v>0</v>
      </c>
      <c r="I581" s="2"/>
      <c r="J581" s="17"/>
      <c r="K581" s="17"/>
      <c r="L581" s="17"/>
    </row>
    <row r="582" spans="1:12">
      <c r="A582" s="37"/>
      <c r="B582" s="36">
        <v>10</v>
      </c>
      <c r="C582" s="19"/>
      <c r="D582" s="20">
        <v>0</v>
      </c>
      <c r="E582" s="21">
        <v>1</v>
      </c>
      <c r="F582" s="20">
        <f t="shared" si="50"/>
        <v>0</v>
      </c>
      <c r="G582" s="21">
        <v>109</v>
      </c>
      <c r="H582" s="20">
        <f t="shared" si="51"/>
        <v>0</v>
      </c>
      <c r="I582" s="2"/>
      <c r="J582" s="17"/>
      <c r="K582" s="17"/>
      <c r="L582" s="17"/>
    </row>
    <row r="583" spans="1:12">
      <c r="A583" s="37"/>
      <c r="B583" s="36"/>
      <c r="C583" s="14" t="s">
        <v>183</v>
      </c>
      <c r="D583" s="20"/>
      <c r="F583" s="20"/>
      <c r="H583" s="25">
        <f>SUM(H573:H582)</f>
        <v>6046080</v>
      </c>
      <c r="I583" s="2"/>
      <c r="J583" s="17"/>
      <c r="K583" s="17"/>
      <c r="L583" s="17"/>
    </row>
    <row r="584" spans="1:12">
      <c r="A584" s="37"/>
      <c r="B584" s="36"/>
      <c r="C584" s="14"/>
      <c r="D584" s="20"/>
      <c r="F584" s="20"/>
      <c r="H584" s="25"/>
      <c r="I584" s="2"/>
      <c r="J584" s="17"/>
      <c r="K584" s="17"/>
      <c r="L584" s="17"/>
    </row>
    <row r="585" spans="1:12">
      <c r="A585" s="37"/>
      <c r="B585" s="38"/>
      <c r="C585" s="14" t="s">
        <v>184</v>
      </c>
      <c r="D585" s="20"/>
      <c r="F585" s="20"/>
      <c r="H585" s="25">
        <f>H499+H504+H509+H520+H544+H552+H570+H583</f>
        <v>6143113.846153846</v>
      </c>
      <c r="I585" s="2"/>
      <c r="J585" s="17"/>
      <c r="K585" s="17"/>
      <c r="L585" s="17"/>
    </row>
    <row r="586" spans="1:12">
      <c r="A586" s="37"/>
      <c r="B586" s="38"/>
      <c r="C586" s="14"/>
      <c r="D586" s="20"/>
      <c r="F586" s="20"/>
      <c r="H586" s="20"/>
      <c r="I586" s="2"/>
      <c r="J586" s="17"/>
      <c r="K586" s="17"/>
      <c r="L586" s="17"/>
    </row>
    <row r="587" spans="1:12" ht="26">
      <c r="A587" s="37"/>
      <c r="B587" s="35" t="s">
        <v>512</v>
      </c>
      <c r="C587" s="14" t="s">
        <v>186</v>
      </c>
      <c r="D587" s="20"/>
      <c r="F587" s="20"/>
      <c r="H587" s="20"/>
      <c r="I587" s="2"/>
      <c r="J587" s="17"/>
      <c r="K587" s="17"/>
      <c r="L587" s="17"/>
    </row>
    <row r="588" spans="1:12">
      <c r="A588" s="37"/>
      <c r="B588" s="36">
        <v>1</v>
      </c>
      <c r="C588" s="19"/>
      <c r="D588" s="20">
        <v>0</v>
      </c>
      <c r="E588" s="21">
        <v>1</v>
      </c>
      <c r="F588" s="20">
        <f>D588*E588</f>
        <v>0</v>
      </c>
      <c r="G588" s="21">
        <v>101</v>
      </c>
      <c r="H588" s="20">
        <f>F588*G588</f>
        <v>0</v>
      </c>
      <c r="I588" s="2"/>
      <c r="J588" s="17"/>
      <c r="K588" s="17"/>
      <c r="L588" s="17"/>
    </row>
    <row r="589" spans="1:12">
      <c r="A589" s="37"/>
      <c r="B589" s="36">
        <v>2</v>
      </c>
      <c r="C589" s="19"/>
      <c r="D589" s="20">
        <v>0</v>
      </c>
      <c r="E589" s="21">
        <v>1</v>
      </c>
      <c r="F589" s="20">
        <f t="shared" ref="F589:F591" si="52">D589*E589</f>
        <v>0</v>
      </c>
      <c r="G589" s="21">
        <v>102</v>
      </c>
      <c r="H589" s="20">
        <f t="shared" ref="H589:H591" si="53">F589*G589</f>
        <v>0</v>
      </c>
      <c r="I589" s="2"/>
      <c r="J589" s="17"/>
      <c r="K589" s="17"/>
      <c r="L589" s="17"/>
    </row>
    <row r="590" spans="1:12">
      <c r="A590" s="37"/>
      <c r="B590" s="36">
        <v>3</v>
      </c>
      <c r="C590" s="19"/>
      <c r="D590" s="20">
        <v>0</v>
      </c>
      <c r="E590" s="21">
        <v>1</v>
      </c>
      <c r="F590" s="20">
        <f t="shared" si="52"/>
        <v>0</v>
      </c>
      <c r="G590" s="21">
        <v>103</v>
      </c>
      <c r="H590" s="20">
        <f t="shared" si="53"/>
        <v>0</v>
      </c>
      <c r="I590" s="2"/>
      <c r="J590" s="17"/>
      <c r="K590" s="17"/>
      <c r="L590" s="17"/>
    </row>
    <row r="591" spans="1:12">
      <c r="A591" s="37"/>
      <c r="B591" s="36">
        <v>4</v>
      </c>
      <c r="C591" s="19"/>
      <c r="D591" s="20">
        <v>0</v>
      </c>
      <c r="E591" s="21">
        <v>1</v>
      </c>
      <c r="F591" s="20">
        <f t="shared" si="52"/>
        <v>0</v>
      </c>
      <c r="G591" s="21">
        <v>103</v>
      </c>
      <c r="H591" s="20">
        <f t="shared" si="53"/>
        <v>0</v>
      </c>
      <c r="I591" s="2"/>
      <c r="J591" s="17"/>
      <c r="K591" s="17"/>
      <c r="L591" s="17"/>
    </row>
    <row r="592" spans="1:12">
      <c r="A592" s="37"/>
      <c r="B592" s="36">
        <v>5</v>
      </c>
      <c r="C592" s="19"/>
      <c r="D592" s="20">
        <v>0</v>
      </c>
      <c r="E592" s="21">
        <v>1</v>
      </c>
      <c r="F592" s="20">
        <f>D592*E592</f>
        <v>0</v>
      </c>
      <c r="G592" s="21">
        <v>102</v>
      </c>
      <c r="H592" s="20">
        <f>F592*G592</f>
        <v>0</v>
      </c>
      <c r="I592" s="2"/>
      <c r="J592" s="17"/>
      <c r="K592" s="17"/>
      <c r="L592" s="17"/>
    </row>
    <row r="593" spans="1:12">
      <c r="A593" s="37"/>
      <c r="B593" s="36"/>
      <c r="C593" s="14" t="s">
        <v>187</v>
      </c>
      <c r="D593" s="20"/>
      <c r="F593" s="20"/>
      <c r="H593" s="25">
        <f>SUM(H588:H592)</f>
        <v>0</v>
      </c>
      <c r="I593" s="2"/>
      <c r="J593" s="17"/>
      <c r="K593" s="17"/>
      <c r="L593" s="17"/>
    </row>
    <row r="594" spans="1:12">
      <c r="A594" s="37"/>
      <c r="B594" s="35"/>
      <c r="C594" s="14"/>
      <c r="D594" s="20"/>
      <c r="F594" s="20"/>
      <c r="H594" s="20"/>
      <c r="I594" s="2"/>
      <c r="J594" s="17"/>
      <c r="K594" s="17"/>
      <c r="L594" s="17"/>
    </row>
    <row r="595" spans="1:12">
      <c r="A595" s="37"/>
      <c r="B595" s="38"/>
      <c r="C595" s="14" t="s">
        <v>188</v>
      </c>
      <c r="D595" s="20"/>
      <c r="F595" s="20"/>
      <c r="H595" s="20"/>
      <c r="I595" s="2"/>
      <c r="J595" s="17"/>
      <c r="K595" s="17"/>
      <c r="L595" s="17"/>
    </row>
    <row r="596" spans="1:12">
      <c r="A596" s="37"/>
      <c r="B596" s="36">
        <v>1</v>
      </c>
      <c r="C596" s="19"/>
      <c r="D596" s="20">
        <v>0</v>
      </c>
      <c r="E596" s="21">
        <v>1</v>
      </c>
      <c r="F596" s="20">
        <f>D596*E596</f>
        <v>0</v>
      </c>
      <c r="G596" s="21">
        <v>101</v>
      </c>
      <c r="H596" s="20">
        <f>F596*G596</f>
        <v>0</v>
      </c>
      <c r="I596" s="2"/>
      <c r="J596" s="17"/>
      <c r="K596" s="17"/>
      <c r="L596" s="17"/>
    </row>
    <row r="597" spans="1:12">
      <c r="A597" s="37"/>
      <c r="B597" s="36">
        <v>2</v>
      </c>
      <c r="C597" s="19"/>
      <c r="D597" s="20">
        <v>0</v>
      </c>
      <c r="E597" s="21">
        <v>1</v>
      </c>
      <c r="F597" s="20">
        <f t="shared" ref="F597:F600" si="54">D597*E597</f>
        <v>0</v>
      </c>
      <c r="G597" s="21">
        <v>102</v>
      </c>
      <c r="H597" s="20">
        <f t="shared" ref="H597:H600" si="55">F597*G597</f>
        <v>0</v>
      </c>
      <c r="I597" s="2"/>
      <c r="J597" s="17"/>
      <c r="K597" s="17"/>
      <c r="L597" s="17"/>
    </row>
    <row r="598" spans="1:12">
      <c r="A598" s="37"/>
      <c r="B598" s="36">
        <v>3</v>
      </c>
      <c r="C598" s="19"/>
      <c r="D598" s="20">
        <v>0</v>
      </c>
      <c r="E598" s="21">
        <v>1</v>
      </c>
      <c r="F598" s="20">
        <f t="shared" si="54"/>
        <v>0</v>
      </c>
      <c r="G598" s="21">
        <v>103</v>
      </c>
      <c r="H598" s="20">
        <f t="shared" si="55"/>
        <v>0</v>
      </c>
      <c r="I598" s="2"/>
      <c r="J598" s="17"/>
      <c r="K598" s="17"/>
      <c r="L598" s="17"/>
    </row>
    <row r="599" spans="1:12">
      <c r="A599" s="37"/>
      <c r="B599" s="36">
        <v>4</v>
      </c>
      <c r="C599" s="19"/>
      <c r="D599" s="20">
        <v>0</v>
      </c>
      <c r="E599" s="21">
        <v>1</v>
      </c>
      <c r="F599" s="20">
        <f t="shared" si="54"/>
        <v>0</v>
      </c>
      <c r="G599" s="21">
        <v>104</v>
      </c>
      <c r="H599" s="20">
        <f t="shared" si="55"/>
        <v>0</v>
      </c>
      <c r="I599" s="2"/>
      <c r="J599" s="17"/>
      <c r="K599" s="17"/>
      <c r="L599" s="17"/>
    </row>
    <row r="600" spans="1:12">
      <c r="A600" s="37"/>
      <c r="B600" s="36">
        <v>5</v>
      </c>
      <c r="C600" s="19"/>
      <c r="D600" s="20">
        <v>0</v>
      </c>
      <c r="E600" s="21">
        <v>1</v>
      </c>
      <c r="F600" s="20">
        <f t="shared" si="54"/>
        <v>0</v>
      </c>
      <c r="G600" s="21">
        <v>105</v>
      </c>
      <c r="H600" s="20">
        <f t="shared" si="55"/>
        <v>0</v>
      </c>
      <c r="I600" s="2"/>
      <c r="J600" s="17"/>
      <c r="K600" s="17"/>
      <c r="L600" s="17"/>
    </row>
    <row r="601" spans="1:12">
      <c r="A601" s="37"/>
      <c r="B601" s="36">
        <v>6</v>
      </c>
      <c r="C601" s="19"/>
      <c r="D601" s="20">
        <v>0</v>
      </c>
      <c r="E601" s="21">
        <v>1</v>
      </c>
      <c r="F601" s="20">
        <f>D601*E601</f>
        <v>0</v>
      </c>
      <c r="G601" s="21">
        <v>102</v>
      </c>
      <c r="H601" s="20">
        <f>F601*G601</f>
        <v>0</v>
      </c>
      <c r="I601" s="2"/>
      <c r="J601" s="17"/>
      <c r="K601" s="17"/>
      <c r="L601" s="17"/>
    </row>
    <row r="602" spans="1:12">
      <c r="A602" s="37"/>
      <c r="B602" s="36"/>
      <c r="C602" s="14" t="s">
        <v>189</v>
      </c>
      <c r="D602" s="20"/>
      <c r="F602" s="20"/>
      <c r="H602" s="25">
        <f>SUM(H596:H601)</f>
        <v>0</v>
      </c>
      <c r="I602" s="2"/>
      <c r="J602" s="17"/>
      <c r="K602" s="17"/>
      <c r="L602" s="17"/>
    </row>
    <row r="603" spans="1:12">
      <c r="A603" s="37"/>
      <c r="B603" s="38"/>
      <c r="C603" s="14"/>
      <c r="D603" s="20"/>
      <c r="F603" s="20"/>
      <c r="H603" s="20"/>
      <c r="I603" s="2"/>
      <c r="J603" s="17"/>
      <c r="K603" s="17"/>
      <c r="L603" s="17"/>
    </row>
    <row r="604" spans="1:12">
      <c r="A604" s="37"/>
      <c r="B604" s="38"/>
      <c r="C604" s="14" t="s">
        <v>190</v>
      </c>
      <c r="D604" s="20"/>
      <c r="F604" s="20"/>
      <c r="H604" s="20"/>
      <c r="I604" s="2"/>
      <c r="J604" s="17"/>
      <c r="K604" s="17"/>
      <c r="L604" s="17"/>
    </row>
    <row r="605" spans="1:12">
      <c r="A605" s="37"/>
      <c r="B605" s="36">
        <v>1</v>
      </c>
      <c r="C605" s="19"/>
      <c r="D605" s="20">
        <v>0</v>
      </c>
      <c r="E605" s="21">
        <v>1</v>
      </c>
      <c r="F605" s="20">
        <f>D605*E605</f>
        <v>0</v>
      </c>
      <c r="G605" s="21">
        <v>101</v>
      </c>
      <c r="H605" s="20">
        <f>F605*G605</f>
        <v>0</v>
      </c>
      <c r="I605" s="2"/>
      <c r="J605" s="17"/>
      <c r="K605" s="17"/>
      <c r="L605" s="17"/>
    </row>
    <row r="606" spans="1:12">
      <c r="A606" s="37"/>
      <c r="B606" s="36">
        <v>2</v>
      </c>
      <c r="C606" s="19"/>
      <c r="D606" s="20">
        <v>0</v>
      </c>
      <c r="E606" s="21">
        <v>1</v>
      </c>
      <c r="F606" s="20">
        <f>D606*E606</f>
        <v>0</v>
      </c>
      <c r="G606" s="21">
        <v>102</v>
      </c>
      <c r="H606" s="20">
        <f>F606*G606</f>
        <v>0</v>
      </c>
      <c r="I606" s="2"/>
      <c r="J606" s="17"/>
      <c r="K606" s="17"/>
      <c r="L606" s="17"/>
    </row>
    <row r="607" spans="1:12">
      <c r="A607" s="37"/>
      <c r="B607" s="36"/>
      <c r="C607" s="14" t="s">
        <v>191</v>
      </c>
      <c r="D607" s="20"/>
      <c r="F607" s="20"/>
      <c r="H607" s="25">
        <f>SUM(H605:H606)</f>
        <v>0</v>
      </c>
      <c r="I607" s="2"/>
      <c r="J607" s="17"/>
      <c r="K607" s="17"/>
      <c r="L607" s="17"/>
    </row>
    <row r="608" spans="1:12">
      <c r="A608" s="37"/>
      <c r="B608" s="38"/>
      <c r="C608" s="14"/>
      <c r="D608" s="20"/>
      <c r="F608" s="20"/>
      <c r="H608" s="20"/>
      <c r="I608" s="2"/>
      <c r="J608" s="17"/>
      <c r="K608" s="17"/>
      <c r="L608" s="17"/>
    </row>
    <row r="609" spans="1:12">
      <c r="A609" s="37"/>
      <c r="B609" s="38"/>
      <c r="C609" s="14" t="s">
        <v>192</v>
      </c>
      <c r="D609" s="20"/>
      <c r="F609" s="20"/>
      <c r="H609" s="20"/>
      <c r="I609" s="2"/>
      <c r="J609" s="17"/>
      <c r="K609" s="17"/>
      <c r="L609" s="17"/>
    </row>
    <row r="610" spans="1:12">
      <c r="A610" s="37"/>
      <c r="B610" s="36">
        <v>1</v>
      </c>
      <c r="C610" s="19"/>
      <c r="D610" s="20">
        <v>0</v>
      </c>
      <c r="E610" s="21">
        <v>1</v>
      </c>
      <c r="F610" s="20">
        <f>D610*E610</f>
        <v>0</v>
      </c>
      <c r="G610" s="21">
        <v>101</v>
      </c>
      <c r="H610" s="20">
        <f>F610*G610</f>
        <v>0</v>
      </c>
      <c r="I610" s="2"/>
      <c r="J610" s="17"/>
      <c r="K610" s="17"/>
      <c r="L610" s="17"/>
    </row>
    <row r="611" spans="1:12">
      <c r="A611" s="37"/>
      <c r="B611" s="36">
        <v>2</v>
      </c>
      <c r="C611" s="19"/>
      <c r="D611" s="20">
        <v>0</v>
      </c>
      <c r="E611" s="21">
        <v>1</v>
      </c>
      <c r="F611" s="20">
        <f t="shared" ref="F611:F614" si="56">D611*E611</f>
        <v>0</v>
      </c>
      <c r="G611" s="21">
        <v>102</v>
      </c>
      <c r="H611" s="20">
        <f t="shared" ref="H611:H614" si="57">F611*G611</f>
        <v>0</v>
      </c>
      <c r="I611" s="2"/>
      <c r="J611" s="17"/>
      <c r="K611" s="17"/>
      <c r="L611" s="17"/>
    </row>
    <row r="612" spans="1:12">
      <c r="A612" s="37"/>
      <c r="B612" s="36">
        <v>3</v>
      </c>
      <c r="C612" s="19"/>
      <c r="D612" s="20">
        <v>0</v>
      </c>
      <c r="E612" s="21">
        <v>1</v>
      </c>
      <c r="F612" s="20">
        <f t="shared" si="56"/>
        <v>0</v>
      </c>
      <c r="G612" s="21">
        <v>103</v>
      </c>
      <c r="H612" s="20">
        <f t="shared" si="57"/>
        <v>0</v>
      </c>
      <c r="I612" s="2"/>
      <c r="J612" s="17"/>
      <c r="K612" s="17"/>
      <c r="L612" s="17"/>
    </row>
    <row r="613" spans="1:12">
      <c r="A613" s="37"/>
      <c r="B613" s="36">
        <v>4</v>
      </c>
      <c r="C613" s="19"/>
      <c r="D613" s="20">
        <v>0</v>
      </c>
      <c r="E613" s="21">
        <v>1</v>
      </c>
      <c r="F613" s="20">
        <f t="shared" si="56"/>
        <v>0</v>
      </c>
      <c r="G613" s="21">
        <v>104</v>
      </c>
      <c r="H613" s="20">
        <f t="shared" si="57"/>
        <v>0</v>
      </c>
      <c r="I613" s="2"/>
      <c r="J613" s="17"/>
      <c r="K613" s="17"/>
      <c r="L613" s="17"/>
    </row>
    <row r="614" spans="1:12">
      <c r="A614" s="37"/>
      <c r="B614" s="36">
        <v>5</v>
      </c>
      <c r="C614" s="19"/>
      <c r="D614" s="20">
        <v>0</v>
      </c>
      <c r="E614" s="21">
        <v>1</v>
      </c>
      <c r="F614" s="20">
        <f t="shared" si="56"/>
        <v>0</v>
      </c>
      <c r="G614" s="21">
        <v>105</v>
      </c>
      <c r="H614" s="20">
        <f t="shared" si="57"/>
        <v>0</v>
      </c>
      <c r="I614" s="2"/>
      <c r="J614" s="17"/>
      <c r="K614" s="17"/>
      <c r="L614" s="17"/>
    </row>
    <row r="615" spans="1:12">
      <c r="A615" s="37"/>
      <c r="B615" s="36">
        <v>6</v>
      </c>
      <c r="C615" s="19"/>
      <c r="D615" s="20">
        <v>0</v>
      </c>
      <c r="E615" s="21">
        <v>1</v>
      </c>
      <c r="F615" s="20">
        <f>D615*E615</f>
        <v>0</v>
      </c>
      <c r="G615" s="21">
        <v>102</v>
      </c>
      <c r="H615" s="20">
        <f>F615*G615</f>
        <v>0</v>
      </c>
      <c r="I615" s="2"/>
      <c r="J615" s="17"/>
      <c r="K615" s="17"/>
      <c r="L615" s="17"/>
    </row>
    <row r="616" spans="1:12">
      <c r="A616" s="37"/>
      <c r="B616" s="36"/>
      <c r="C616" s="14" t="s">
        <v>193</v>
      </c>
      <c r="D616" s="20"/>
      <c r="F616" s="20"/>
      <c r="H616" s="25">
        <f>SUM(H610:H615)</f>
        <v>0</v>
      </c>
      <c r="I616" s="2"/>
      <c r="J616" s="17"/>
      <c r="K616" s="17"/>
      <c r="L616" s="17"/>
    </row>
    <row r="617" spans="1:12">
      <c r="A617" s="37"/>
      <c r="B617" s="38"/>
      <c r="C617" s="14"/>
      <c r="D617" s="20"/>
      <c r="F617" s="20"/>
      <c r="H617" s="20"/>
      <c r="I617" s="2"/>
      <c r="J617" s="17"/>
      <c r="K617" s="17"/>
      <c r="L617" s="17"/>
    </row>
    <row r="618" spans="1:12">
      <c r="A618" s="37"/>
      <c r="B618" s="38"/>
      <c r="C618" s="14" t="s">
        <v>194</v>
      </c>
      <c r="D618" s="20"/>
      <c r="F618" s="20"/>
      <c r="H618" s="20"/>
      <c r="I618" s="2"/>
      <c r="J618" s="17"/>
      <c r="K618" s="17"/>
      <c r="L618" s="17"/>
    </row>
    <row r="619" spans="1:12">
      <c r="A619" s="37"/>
      <c r="B619" s="36">
        <v>1</v>
      </c>
      <c r="C619" s="19" t="s">
        <v>496</v>
      </c>
      <c r="D619" s="20">
        <v>0</v>
      </c>
      <c r="E619" s="21">
        <v>1</v>
      </c>
      <c r="F619" s="20">
        <f>D619*E619</f>
        <v>0</v>
      </c>
      <c r="G619" s="69">
        <v>5384.6153846153848</v>
      </c>
      <c r="H619" s="20">
        <f>F619*G619</f>
        <v>0</v>
      </c>
      <c r="I619" s="2"/>
      <c r="J619" s="17"/>
      <c r="K619" s="17"/>
      <c r="L619" s="17"/>
    </row>
    <row r="620" spans="1:12">
      <c r="A620" s="37"/>
      <c r="B620" s="36">
        <v>2</v>
      </c>
      <c r="C620" s="19" t="s">
        <v>497</v>
      </c>
      <c r="D620" s="20">
        <v>0</v>
      </c>
      <c r="E620" s="21">
        <v>1</v>
      </c>
      <c r="F620" s="20">
        <f t="shared" ref="F620:F630" si="58">D620*E620</f>
        <v>0</v>
      </c>
      <c r="G620" s="69">
        <v>8307.6923076923067</v>
      </c>
      <c r="H620" s="20">
        <f t="shared" ref="H620:H630" si="59">F620*G620</f>
        <v>0</v>
      </c>
      <c r="I620" s="2"/>
      <c r="J620" s="17"/>
      <c r="K620" s="17"/>
      <c r="L620" s="17"/>
    </row>
    <row r="621" spans="1:12">
      <c r="A621" s="37"/>
      <c r="B621" s="36">
        <v>3</v>
      </c>
      <c r="C621" s="19" t="s">
        <v>513</v>
      </c>
      <c r="D621" s="20">
        <v>0</v>
      </c>
      <c r="E621" s="21">
        <v>1</v>
      </c>
      <c r="F621" s="20">
        <f t="shared" si="58"/>
        <v>0</v>
      </c>
      <c r="G621" s="69">
        <v>60.769230769230766</v>
      </c>
      <c r="H621" s="20">
        <f t="shared" si="59"/>
        <v>0</v>
      </c>
      <c r="I621" s="2"/>
      <c r="J621" s="17"/>
      <c r="K621" s="17"/>
      <c r="L621" s="17"/>
    </row>
    <row r="622" spans="1:12">
      <c r="A622" s="37"/>
      <c r="B622" s="36">
        <v>4</v>
      </c>
      <c r="C622" s="19" t="s">
        <v>503</v>
      </c>
      <c r="D622" s="20">
        <v>0</v>
      </c>
      <c r="E622" s="21">
        <v>1</v>
      </c>
      <c r="F622" s="20">
        <f t="shared" si="58"/>
        <v>0</v>
      </c>
      <c r="G622" s="69">
        <v>40</v>
      </c>
      <c r="H622" s="20">
        <f t="shared" si="59"/>
        <v>0</v>
      </c>
      <c r="I622" s="2"/>
      <c r="J622" s="17"/>
      <c r="K622" s="17"/>
      <c r="L622" s="17"/>
    </row>
    <row r="623" spans="1:12">
      <c r="A623" s="37"/>
      <c r="B623" s="36">
        <v>5</v>
      </c>
      <c r="C623" s="19" t="s">
        <v>504</v>
      </c>
      <c r="D623" s="20">
        <v>0</v>
      </c>
      <c r="E623" s="21">
        <v>0.42599999999999999</v>
      </c>
      <c r="F623" s="20">
        <f t="shared" si="58"/>
        <v>0</v>
      </c>
      <c r="G623" s="69">
        <v>49000</v>
      </c>
      <c r="H623" s="20">
        <f t="shared" si="59"/>
        <v>0</v>
      </c>
      <c r="I623" s="2"/>
      <c r="J623" s="17"/>
      <c r="K623" s="17"/>
      <c r="L623" s="17"/>
    </row>
    <row r="624" spans="1:12">
      <c r="A624" s="37"/>
      <c r="B624" s="36">
        <v>6</v>
      </c>
      <c r="C624" s="19" t="s">
        <v>507</v>
      </c>
      <c r="D624" s="20">
        <v>0</v>
      </c>
      <c r="E624" s="21">
        <v>1</v>
      </c>
      <c r="F624" s="20">
        <f t="shared" si="58"/>
        <v>0</v>
      </c>
      <c r="G624" s="69">
        <v>230.76923076923077</v>
      </c>
      <c r="H624" s="20">
        <f t="shared" si="59"/>
        <v>0</v>
      </c>
      <c r="I624" s="2"/>
      <c r="J624" s="17"/>
      <c r="K624" s="17"/>
      <c r="L624" s="17"/>
    </row>
    <row r="625" spans="1:12">
      <c r="A625" s="37"/>
      <c r="B625" s="36">
        <v>7</v>
      </c>
      <c r="C625" s="19" t="s">
        <v>508</v>
      </c>
      <c r="D625" s="20">
        <v>0</v>
      </c>
      <c r="E625" s="21">
        <v>0.14399999999999999</v>
      </c>
      <c r="F625" s="20">
        <f t="shared" si="58"/>
        <v>0</v>
      </c>
      <c r="G625" s="69">
        <v>9000</v>
      </c>
      <c r="H625" s="20">
        <f t="shared" si="59"/>
        <v>0</v>
      </c>
      <c r="I625" s="2"/>
      <c r="J625" s="17"/>
      <c r="K625" s="17"/>
      <c r="L625" s="17"/>
    </row>
    <row r="626" spans="1:12">
      <c r="A626" s="37"/>
      <c r="B626" s="36">
        <v>8</v>
      </c>
      <c r="C626" s="19" t="s">
        <v>352</v>
      </c>
      <c r="D626" s="20">
        <v>0</v>
      </c>
      <c r="E626" s="21">
        <v>0.58199999999999996</v>
      </c>
      <c r="F626" s="20">
        <f t="shared" si="58"/>
        <v>0</v>
      </c>
      <c r="G626" s="69">
        <v>177.69230769230768</v>
      </c>
      <c r="H626" s="20">
        <f t="shared" si="59"/>
        <v>0</v>
      </c>
      <c r="I626" s="2"/>
      <c r="J626" s="17"/>
      <c r="K626" s="17"/>
      <c r="L626" s="17"/>
    </row>
    <row r="627" spans="1:12">
      <c r="A627" s="37"/>
      <c r="B627" s="36">
        <v>9</v>
      </c>
      <c r="C627" s="19" t="s">
        <v>45</v>
      </c>
      <c r="D627" s="20">
        <v>0</v>
      </c>
      <c r="E627" s="21">
        <v>0.58199999999999996</v>
      </c>
      <c r="F627" s="20">
        <f t="shared" si="58"/>
        <v>0</v>
      </c>
      <c r="G627" s="69">
        <v>77.692307692307693</v>
      </c>
      <c r="H627" s="20">
        <f t="shared" si="59"/>
        <v>0</v>
      </c>
      <c r="I627" s="2"/>
      <c r="J627" s="17"/>
      <c r="K627" s="17"/>
      <c r="L627" s="17"/>
    </row>
    <row r="628" spans="1:12">
      <c r="A628" s="37"/>
      <c r="B628" s="36">
        <v>10</v>
      </c>
      <c r="C628" s="19" t="s">
        <v>351</v>
      </c>
      <c r="D628" s="20">
        <v>0</v>
      </c>
      <c r="E628" s="21">
        <v>0.58199999999999996</v>
      </c>
      <c r="F628" s="20">
        <f t="shared" si="58"/>
        <v>0</v>
      </c>
      <c r="G628" s="69">
        <v>264.61538461538458</v>
      </c>
      <c r="H628" s="20">
        <f t="shared" si="59"/>
        <v>0</v>
      </c>
      <c r="I628" s="2"/>
      <c r="J628" s="17"/>
      <c r="K628" s="17"/>
      <c r="L628" s="17"/>
    </row>
    <row r="629" spans="1:12">
      <c r="A629" s="37"/>
      <c r="B629" s="36">
        <v>11</v>
      </c>
      <c r="C629" s="19"/>
      <c r="D629" s="20">
        <v>0</v>
      </c>
      <c r="E629" s="21">
        <v>1</v>
      </c>
      <c r="F629" s="20">
        <f t="shared" si="58"/>
        <v>0</v>
      </c>
      <c r="G629" s="69">
        <v>100</v>
      </c>
      <c r="H629" s="20">
        <f t="shared" si="59"/>
        <v>0</v>
      </c>
      <c r="I629" s="2"/>
      <c r="J629" s="17"/>
      <c r="K629" s="17"/>
      <c r="L629" s="17"/>
    </row>
    <row r="630" spans="1:12">
      <c r="A630" s="37"/>
      <c r="B630" s="36">
        <v>12</v>
      </c>
      <c r="C630" s="19"/>
      <c r="D630" s="20">
        <v>0</v>
      </c>
      <c r="E630" s="21">
        <v>1</v>
      </c>
      <c r="F630" s="20">
        <f t="shared" si="58"/>
        <v>0</v>
      </c>
      <c r="G630" s="21">
        <v>101</v>
      </c>
      <c r="H630" s="20">
        <f t="shared" si="59"/>
        <v>0</v>
      </c>
      <c r="I630" s="2"/>
      <c r="J630" s="17"/>
      <c r="K630" s="17"/>
      <c r="L630" s="17"/>
    </row>
    <row r="631" spans="1:12">
      <c r="A631" s="37"/>
      <c r="B631" s="36">
        <v>13</v>
      </c>
      <c r="C631" s="19"/>
      <c r="D631" s="20">
        <v>0</v>
      </c>
      <c r="E631" s="21">
        <v>1</v>
      </c>
      <c r="F631" s="20">
        <f>D631*E631</f>
        <v>0</v>
      </c>
      <c r="G631" s="21">
        <v>102</v>
      </c>
      <c r="H631" s="20">
        <f>F631*G631</f>
        <v>0</v>
      </c>
      <c r="I631" s="2"/>
      <c r="J631" s="17"/>
      <c r="K631" s="17"/>
      <c r="L631" s="17"/>
    </row>
    <row r="632" spans="1:12">
      <c r="A632" s="37"/>
      <c r="B632" s="36"/>
      <c r="C632" s="14" t="s">
        <v>195</v>
      </c>
      <c r="D632" s="20"/>
      <c r="F632" s="20"/>
      <c r="H632" s="25">
        <f>SUM(H619:H631)</f>
        <v>0</v>
      </c>
      <c r="I632" s="2"/>
      <c r="J632" s="17"/>
      <c r="K632" s="17"/>
      <c r="L632" s="17"/>
    </row>
    <row r="633" spans="1:12">
      <c r="A633" s="37"/>
      <c r="B633" s="38"/>
      <c r="C633" s="14"/>
      <c r="D633" s="20"/>
      <c r="F633" s="20"/>
      <c r="H633" s="20"/>
      <c r="I633" s="2"/>
      <c r="J633" s="17"/>
      <c r="K633" s="17"/>
      <c r="L633" s="17"/>
    </row>
    <row r="634" spans="1:12">
      <c r="A634" s="37"/>
      <c r="B634" s="38"/>
      <c r="C634" s="14" t="s">
        <v>196</v>
      </c>
      <c r="D634" s="20"/>
      <c r="F634" s="20"/>
      <c r="H634" s="20"/>
      <c r="I634" s="2"/>
      <c r="J634" s="17"/>
      <c r="K634" s="17"/>
      <c r="L634" s="17"/>
    </row>
    <row r="635" spans="1:12">
      <c r="A635" s="37"/>
      <c r="B635" s="36">
        <v>1</v>
      </c>
      <c r="C635" s="19" t="s">
        <v>514</v>
      </c>
      <c r="D635" s="20">
        <v>0</v>
      </c>
      <c r="E635" s="21">
        <v>1</v>
      </c>
      <c r="F635" s="20">
        <f>D635*E635</f>
        <v>0</v>
      </c>
      <c r="G635" s="21">
        <v>40000</v>
      </c>
      <c r="H635" s="20">
        <f>F635*G635</f>
        <v>0</v>
      </c>
      <c r="I635" s="2"/>
      <c r="J635" s="17"/>
      <c r="K635" s="17"/>
      <c r="L635" s="17"/>
    </row>
    <row r="636" spans="1:12">
      <c r="A636" s="37"/>
      <c r="B636" s="36">
        <v>2</v>
      </c>
      <c r="C636" s="19" t="s">
        <v>515</v>
      </c>
      <c r="D636" s="20">
        <v>0</v>
      </c>
      <c r="E636" s="21">
        <v>1</v>
      </c>
      <c r="F636" s="20">
        <f>D636*E636</f>
        <v>0</v>
      </c>
      <c r="G636" s="21">
        <v>200000</v>
      </c>
      <c r="H636" s="20">
        <f>F636*G636</f>
        <v>0</v>
      </c>
      <c r="I636" s="2"/>
      <c r="J636" s="17"/>
      <c r="K636" s="17"/>
      <c r="L636" s="17"/>
    </row>
    <row r="637" spans="1:12">
      <c r="A637" s="37"/>
      <c r="B637" s="36">
        <v>3</v>
      </c>
      <c r="I637" s="2"/>
      <c r="J637" s="17"/>
      <c r="K637" s="17"/>
      <c r="L637" s="17"/>
    </row>
    <row r="638" spans="1:12">
      <c r="A638" s="37"/>
      <c r="B638" s="36">
        <v>4</v>
      </c>
      <c r="C638" s="19"/>
      <c r="D638" s="20"/>
      <c r="F638" s="20"/>
      <c r="H638" s="20"/>
      <c r="I638" s="2"/>
      <c r="J638" s="17"/>
      <c r="K638" s="17"/>
      <c r="L638" s="17"/>
    </row>
    <row r="639" spans="1:12">
      <c r="A639" s="37"/>
      <c r="B639" s="36">
        <v>5</v>
      </c>
      <c r="C639" s="19"/>
      <c r="D639" s="20"/>
      <c r="F639" s="20"/>
      <c r="H639" s="20"/>
      <c r="I639" s="2"/>
      <c r="J639" s="17"/>
      <c r="K639" s="17"/>
      <c r="L639" s="17"/>
    </row>
    <row r="640" spans="1:12">
      <c r="A640" s="37"/>
      <c r="B640" s="36"/>
      <c r="C640" s="14" t="s">
        <v>197</v>
      </c>
      <c r="D640" s="20"/>
      <c r="F640" s="20"/>
      <c r="H640" s="25">
        <f>SUM(H635:H639)</f>
        <v>0</v>
      </c>
      <c r="I640" s="2"/>
      <c r="J640" s="17"/>
      <c r="K640" s="17"/>
      <c r="L640" s="17"/>
    </row>
    <row r="641" spans="1:12">
      <c r="A641" s="37"/>
      <c r="B641" s="38"/>
      <c r="C641" s="14"/>
      <c r="D641" s="20"/>
      <c r="F641" s="20"/>
      <c r="H641" s="20"/>
      <c r="I641" s="2"/>
      <c r="J641" s="17"/>
      <c r="K641" s="17"/>
      <c r="L641" s="17"/>
    </row>
    <row r="642" spans="1:12">
      <c r="A642" s="37"/>
      <c r="B642" s="38"/>
      <c r="C642" s="14" t="s">
        <v>198</v>
      </c>
      <c r="D642" s="20"/>
      <c r="F642" s="20"/>
      <c r="H642" s="20"/>
      <c r="I642" s="2"/>
      <c r="J642" s="17"/>
      <c r="K642" s="17"/>
      <c r="L642" s="17"/>
    </row>
    <row r="643" spans="1:12">
      <c r="A643" s="37"/>
      <c r="B643" s="36">
        <v>1</v>
      </c>
      <c r="C643" s="19" t="s">
        <v>64</v>
      </c>
      <c r="D643" s="20">
        <v>0</v>
      </c>
      <c r="E643" s="21">
        <v>1</v>
      </c>
      <c r="F643" s="20">
        <f>D643*E643</f>
        <v>0</v>
      </c>
      <c r="G643" s="69">
        <v>12507</v>
      </c>
      <c r="H643" s="20">
        <f>F643*G643</f>
        <v>0</v>
      </c>
      <c r="I643" s="2"/>
      <c r="J643" s="17"/>
      <c r="K643" s="17"/>
      <c r="L643" s="17"/>
    </row>
    <row r="644" spans="1:12">
      <c r="A644" s="37"/>
      <c r="B644" s="36">
        <v>2</v>
      </c>
      <c r="C644" s="19" t="s">
        <v>65</v>
      </c>
      <c r="D644" s="20">
        <v>0</v>
      </c>
      <c r="E644" s="21">
        <v>1</v>
      </c>
      <c r="F644" s="20">
        <f t="shared" ref="F644:F651" si="60">D644*E644</f>
        <v>0</v>
      </c>
      <c r="G644" s="69">
        <v>12507</v>
      </c>
      <c r="H644" s="20">
        <f t="shared" ref="H644:H651" si="61">F644*G644</f>
        <v>0</v>
      </c>
      <c r="I644" s="2"/>
      <c r="J644" s="17"/>
      <c r="K644" s="17"/>
      <c r="L644" s="17"/>
    </row>
    <row r="645" spans="1:12">
      <c r="A645" s="37"/>
      <c r="B645" s="36">
        <v>3</v>
      </c>
      <c r="C645" s="19" t="s">
        <v>358</v>
      </c>
      <c r="D645" s="20">
        <v>0</v>
      </c>
      <c r="E645" s="21">
        <v>1</v>
      </c>
      <c r="F645" s="20">
        <f t="shared" si="60"/>
        <v>0</v>
      </c>
      <c r="G645" s="69">
        <v>12507</v>
      </c>
      <c r="H645" s="20">
        <f t="shared" si="61"/>
        <v>0</v>
      </c>
      <c r="I645" s="2"/>
      <c r="J645" s="17"/>
      <c r="K645" s="17"/>
      <c r="L645" s="17"/>
    </row>
    <row r="646" spans="1:12">
      <c r="A646" s="37"/>
      <c r="B646" s="36">
        <v>4</v>
      </c>
      <c r="C646" s="19" t="s">
        <v>222</v>
      </c>
      <c r="D646" s="20">
        <v>0</v>
      </c>
      <c r="E646" s="21">
        <v>1</v>
      </c>
      <c r="F646" s="20">
        <f t="shared" si="60"/>
        <v>0</v>
      </c>
      <c r="G646" s="69">
        <v>12507</v>
      </c>
      <c r="H646" s="20">
        <f t="shared" si="61"/>
        <v>0</v>
      </c>
      <c r="I646" s="2"/>
      <c r="J646" s="17"/>
      <c r="K646" s="17"/>
      <c r="L646" s="17"/>
    </row>
    <row r="647" spans="1:12">
      <c r="A647" s="37"/>
      <c r="B647" s="36">
        <v>5</v>
      </c>
      <c r="C647" s="19" t="s">
        <v>360</v>
      </c>
      <c r="D647" s="20">
        <v>0</v>
      </c>
      <c r="E647" s="21">
        <v>1</v>
      </c>
      <c r="F647" s="20">
        <f t="shared" si="60"/>
        <v>0</v>
      </c>
      <c r="G647" s="69">
        <v>31769</v>
      </c>
      <c r="H647" s="20">
        <f t="shared" si="61"/>
        <v>0</v>
      </c>
      <c r="I647" s="2"/>
      <c r="J647" s="17"/>
      <c r="K647" s="17"/>
      <c r="L647" s="17"/>
    </row>
    <row r="648" spans="1:12">
      <c r="A648" s="37"/>
      <c r="B648" s="36">
        <v>6</v>
      </c>
      <c r="C648" s="19" t="s">
        <v>516</v>
      </c>
      <c r="D648" s="20">
        <v>0</v>
      </c>
      <c r="E648" s="21">
        <v>1</v>
      </c>
      <c r="F648" s="20">
        <f>D648*E648</f>
        <v>0</v>
      </c>
      <c r="G648" s="21">
        <v>192307</v>
      </c>
      <c r="H648" s="20">
        <f>F648*G648</f>
        <v>0</v>
      </c>
      <c r="I648" s="2"/>
      <c r="J648" s="17"/>
      <c r="K648" s="17"/>
      <c r="L648" s="17"/>
    </row>
    <row r="649" spans="1:12">
      <c r="A649" s="37"/>
      <c r="B649" s="36">
        <v>7</v>
      </c>
      <c r="C649" s="19"/>
      <c r="D649" s="20"/>
      <c r="E649" s="21">
        <v>7</v>
      </c>
      <c r="F649" s="20">
        <f t="shared" si="60"/>
        <v>0</v>
      </c>
      <c r="G649" s="21">
        <v>107</v>
      </c>
      <c r="H649" s="20">
        <f t="shared" si="61"/>
        <v>0</v>
      </c>
      <c r="I649" s="2"/>
      <c r="J649" s="17"/>
      <c r="K649" s="17"/>
      <c r="L649" s="17"/>
    </row>
    <row r="650" spans="1:12">
      <c r="A650" s="37"/>
      <c r="B650" s="36">
        <v>8</v>
      </c>
      <c r="C650" s="19"/>
      <c r="D650" s="20"/>
      <c r="E650" s="21">
        <v>8</v>
      </c>
      <c r="F650" s="20">
        <f t="shared" si="60"/>
        <v>0</v>
      </c>
      <c r="G650" s="21">
        <v>108</v>
      </c>
      <c r="H650" s="20">
        <f t="shared" si="61"/>
        <v>0</v>
      </c>
      <c r="I650" s="2"/>
      <c r="J650" s="17"/>
      <c r="K650" s="17"/>
      <c r="L650" s="17"/>
    </row>
    <row r="651" spans="1:12">
      <c r="A651" s="37"/>
      <c r="B651" s="36">
        <v>9</v>
      </c>
      <c r="C651" s="19"/>
      <c r="D651" s="20"/>
      <c r="E651" s="21">
        <v>9</v>
      </c>
      <c r="F651" s="20">
        <f t="shared" si="60"/>
        <v>0</v>
      </c>
      <c r="G651" s="21">
        <v>109</v>
      </c>
      <c r="H651" s="20">
        <f t="shared" si="61"/>
        <v>0</v>
      </c>
      <c r="I651" s="2"/>
      <c r="J651" s="17"/>
      <c r="K651" s="17"/>
      <c r="L651" s="17"/>
    </row>
    <row r="652" spans="1:12">
      <c r="A652" s="37"/>
      <c r="B652" s="36">
        <v>10</v>
      </c>
      <c r="C652" s="19"/>
      <c r="D652" s="20">
        <v>0</v>
      </c>
      <c r="E652" s="21">
        <v>1</v>
      </c>
      <c r="F652" s="20">
        <f>D652*E652</f>
        <v>0</v>
      </c>
      <c r="G652" s="21">
        <v>102</v>
      </c>
      <c r="H652" s="20">
        <f>F652*G652</f>
        <v>0</v>
      </c>
      <c r="I652" s="2"/>
      <c r="J652" s="17"/>
      <c r="K652" s="17"/>
      <c r="L652" s="17"/>
    </row>
    <row r="653" spans="1:12">
      <c r="A653" s="37"/>
      <c r="B653" s="36"/>
      <c r="C653" s="14" t="s">
        <v>199</v>
      </c>
      <c r="D653" s="20"/>
      <c r="F653" s="20"/>
      <c r="H653" s="25">
        <f>SUM(H643:H652)</f>
        <v>0</v>
      </c>
      <c r="I653" s="2"/>
      <c r="J653" s="17"/>
      <c r="K653" s="17"/>
      <c r="L653" s="17"/>
    </row>
    <row r="654" spans="1:12">
      <c r="A654" s="37"/>
      <c r="B654" s="36"/>
      <c r="C654" s="14"/>
      <c r="D654" s="20"/>
      <c r="F654" s="20"/>
      <c r="H654" s="25"/>
      <c r="I654" s="2"/>
      <c r="J654" s="17"/>
      <c r="K654" s="17"/>
      <c r="L654" s="17"/>
    </row>
    <row r="655" spans="1:12">
      <c r="A655" s="37"/>
      <c r="B655" s="38"/>
      <c r="C655" s="14" t="s">
        <v>200</v>
      </c>
      <c r="D655" s="20"/>
      <c r="F655" s="20"/>
      <c r="H655" s="20"/>
      <c r="I655" s="2"/>
      <c r="J655" s="17"/>
      <c r="K655" s="17"/>
      <c r="L655" s="17"/>
    </row>
    <row r="656" spans="1:12">
      <c r="A656" s="37"/>
      <c r="B656" s="36">
        <v>1</v>
      </c>
      <c r="C656" s="19" t="s">
        <v>104</v>
      </c>
      <c r="D656" s="20">
        <v>0</v>
      </c>
      <c r="E656" s="21">
        <v>1</v>
      </c>
      <c r="F656" s="20">
        <f>D656*E656</f>
        <v>0</v>
      </c>
      <c r="G656" s="21">
        <v>140000</v>
      </c>
      <c r="H656" s="20">
        <f>F656*G656</f>
        <v>0</v>
      </c>
      <c r="I656" s="2"/>
      <c r="J656" s="17"/>
      <c r="K656" s="17"/>
      <c r="L656" s="17"/>
    </row>
    <row r="657" spans="1:12">
      <c r="A657" s="37"/>
      <c r="B657" s="36">
        <v>2</v>
      </c>
      <c r="C657" s="19" t="s">
        <v>76</v>
      </c>
      <c r="D657" s="20">
        <v>0</v>
      </c>
      <c r="E657" s="21">
        <v>1</v>
      </c>
      <c r="F657" s="20">
        <f t="shared" ref="F657:F665" si="62">D657*E657</f>
        <v>0</v>
      </c>
      <c r="G657" s="21">
        <v>30770</v>
      </c>
      <c r="H657" s="20">
        <f t="shared" ref="H657:H665" si="63">F657*G657</f>
        <v>0</v>
      </c>
      <c r="I657" s="2"/>
      <c r="J657" s="17"/>
      <c r="K657" s="17"/>
      <c r="L657" s="17"/>
    </row>
    <row r="658" spans="1:12">
      <c r="A658" s="37"/>
      <c r="B658" s="36">
        <v>3</v>
      </c>
      <c r="C658" s="19" t="s">
        <v>364</v>
      </c>
      <c r="D658" s="20">
        <v>0</v>
      </c>
      <c r="E658" s="21">
        <v>1</v>
      </c>
      <c r="F658" s="20">
        <f t="shared" si="62"/>
        <v>0</v>
      </c>
      <c r="G658" s="21">
        <v>30770</v>
      </c>
      <c r="H658" s="20">
        <f t="shared" si="63"/>
        <v>0</v>
      </c>
      <c r="I658" s="2"/>
      <c r="J658" s="17"/>
      <c r="K658" s="17"/>
      <c r="L658" s="17"/>
    </row>
    <row r="659" spans="1:12">
      <c r="A659" s="37"/>
      <c r="B659" s="36">
        <v>4</v>
      </c>
      <c r="C659" s="19" t="s">
        <v>362</v>
      </c>
      <c r="D659" s="20">
        <v>0</v>
      </c>
      <c r="E659" s="21">
        <v>1</v>
      </c>
      <c r="F659" s="20">
        <f t="shared" si="62"/>
        <v>0</v>
      </c>
      <c r="G659" s="21">
        <v>30770</v>
      </c>
      <c r="H659" s="20">
        <f t="shared" si="63"/>
        <v>0</v>
      </c>
      <c r="I659" s="2"/>
      <c r="J659" s="17"/>
      <c r="K659" s="17"/>
      <c r="L659" s="17"/>
    </row>
    <row r="660" spans="1:12">
      <c r="A660" s="37"/>
      <c r="B660" s="36">
        <v>5</v>
      </c>
      <c r="C660" s="19" t="s">
        <v>510</v>
      </c>
      <c r="D660" s="20">
        <v>0</v>
      </c>
      <c r="E660" s="21">
        <v>1</v>
      </c>
      <c r="F660" s="20">
        <f t="shared" si="62"/>
        <v>0</v>
      </c>
      <c r="G660" s="21">
        <v>30770</v>
      </c>
      <c r="H660" s="20">
        <f t="shared" si="63"/>
        <v>0</v>
      </c>
      <c r="I660" s="2"/>
      <c r="J660" s="17"/>
      <c r="K660" s="17"/>
      <c r="L660" s="17"/>
    </row>
    <row r="661" spans="1:12">
      <c r="A661" s="37"/>
      <c r="B661" s="36">
        <v>6</v>
      </c>
      <c r="C661" s="19" t="s">
        <v>78</v>
      </c>
      <c r="D661" s="20">
        <v>0</v>
      </c>
      <c r="E661" s="21">
        <v>1</v>
      </c>
      <c r="F661" s="20">
        <f t="shared" si="62"/>
        <v>0</v>
      </c>
      <c r="G661" s="21">
        <v>180000</v>
      </c>
      <c r="H661" s="20">
        <f t="shared" si="63"/>
        <v>0</v>
      </c>
      <c r="I661" s="2"/>
      <c r="J661" s="17"/>
      <c r="K661" s="17"/>
      <c r="L661" s="17"/>
    </row>
    <row r="662" spans="1:12">
      <c r="A662" s="37"/>
      <c r="B662" s="36">
        <v>7</v>
      </c>
      <c r="C662" s="19"/>
      <c r="D662" s="20">
        <v>0</v>
      </c>
      <c r="E662" s="21">
        <v>1</v>
      </c>
      <c r="F662" s="20">
        <f t="shared" si="62"/>
        <v>0</v>
      </c>
      <c r="G662" s="21">
        <v>100</v>
      </c>
      <c r="H662" s="20">
        <f t="shared" si="63"/>
        <v>0</v>
      </c>
      <c r="I662" s="2"/>
      <c r="J662" s="17"/>
      <c r="K662" s="17"/>
      <c r="L662" s="17"/>
    </row>
    <row r="663" spans="1:12">
      <c r="A663" s="37"/>
      <c r="B663" s="36">
        <v>8</v>
      </c>
      <c r="C663" s="19"/>
      <c r="D663" s="20">
        <v>0</v>
      </c>
      <c r="E663" s="21">
        <v>1</v>
      </c>
      <c r="F663" s="20">
        <f t="shared" si="62"/>
        <v>0</v>
      </c>
      <c r="G663" s="21">
        <v>100</v>
      </c>
      <c r="H663" s="20">
        <f t="shared" si="63"/>
        <v>0</v>
      </c>
      <c r="I663" s="2"/>
      <c r="J663" s="17"/>
      <c r="K663" s="17"/>
      <c r="L663" s="17"/>
    </row>
    <row r="664" spans="1:12">
      <c r="A664" s="37"/>
      <c r="B664" s="36">
        <v>9</v>
      </c>
      <c r="C664" s="19"/>
      <c r="D664" s="20">
        <v>0</v>
      </c>
      <c r="E664" s="21">
        <v>1</v>
      </c>
      <c r="F664" s="20">
        <f t="shared" si="62"/>
        <v>0</v>
      </c>
      <c r="G664" s="21">
        <v>100</v>
      </c>
      <c r="H664" s="20">
        <f t="shared" si="63"/>
        <v>0</v>
      </c>
      <c r="I664" s="2"/>
      <c r="J664" s="17"/>
      <c r="K664" s="17"/>
      <c r="L664" s="17"/>
    </row>
    <row r="665" spans="1:12">
      <c r="A665" s="37"/>
      <c r="B665" s="36">
        <v>10</v>
      </c>
      <c r="C665" s="19"/>
      <c r="D665" s="20">
        <v>0</v>
      </c>
      <c r="E665" s="21">
        <v>1</v>
      </c>
      <c r="F665" s="20">
        <f t="shared" si="62"/>
        <v>0</v>
      </c>
      <c r="G665" s="21">
        <v>100</v>
      </c>
      <c r="H665" s="20">
        <f t="shared" si="63"/>
        <v>0</v>
      </c>
      <c r="I665" s="2"/>
      <c r="J665" s="17"/>
      <c r="K665" s="17"/>
      <c r="L665" s="17"/>
    </row>
    <row r="666" spans="1:12">
      <c r="A666" s="37"/>
      <c r="B666" s="36"/>
      <c r="C666" s="14" t="s">
        <v>203</v>
      </c>
      <c r="D666" s="20"/>
      <c r="F666" s="20"/>
      <c r="H666" s="25">
        <f>SUM(H656:H665)</f>
        <v>0</v>
      </c>
      <c r="I666" s="2"/>
      <c r="J666" s="17"/>
      <c r="K666" s="17"/>
      <c r="L666" s="17"/>
    </row>
    <row r="667" spans="1:12">
      <c r="A667" s="37"/>
      <c r="B667" s="36"/>
      <c r="C667" s="14"/>
      <c r="D667" s="20"/>
      <c r="F667" s="20"/>
      <c r="H667" s="25"/>
      <c r="I667" s="2"/>
      <c r="J667" s="17"/>
      <c r="K667" s="17"/>
      <c r="L667" s="17"/>
    </row>
    <row r="668" spans="1:12">
      <c r="A668" s="37"/>
      <c r="B668" s="38"/>
      <c r="C668" s="14" t="s">
        <v>204</v>
      </c>
      <c r="D668" s="20"/>
      <c r="F668" s="20"/>
      <c r="H668" s="25">
        <f>H593+H602+H607+H616+H632+H640+H653+H666</f>
        <v>0</v>
      </c>
      <c r="I668" s="2"/>
      <c r="J668" s="17"/>
      <c r="K668" s="17"/>
      <c r="L668" s="17"/>
    </row>
    <row r="669" spans="1:12">
      <c r="A669" s="37"/>
      <c r="B669" s="38"/>
      <c r="C669" s="14"/>
      <c r="D669" s="20"/>
      <c r="F669" s="20"/>
      <c r="H669" s="20"/>
      <c r="I669" s="2"/>
      <c r="J669" s="17"/>
      <c r="K669" s="17"/>
      <c r="L669" s="17"/>
    </row>
    <row r="670" spans="1:12" ht="26">
      <c r="A670" s="37"/>
      <c r="B670" s="35" t="s">
        <v>517</v>
      </c>
      <c r="C670" s="14" t="s">
        <v>518</v>
      </c>
      <c r="D670" s="20"/>
      <c r="F670" s="20"/>
      <c r="H670" s="20"/>
      <c r="I670" s="2"/>
      <c r="J670" s="17"/>
      <c r="K670" s="17"/>
      <c r="L670" s="17"/>
    </row>
    <row r="671" spans="1:12">
      <c r="A671" s="37"/>
      <c r="B671" s="36">
        <v>1</v>
      </c>
      <c r="C671" s="19"/>
      <c r="D671" s="20">
        <v>0</v>
      </c>
      <c r="E671" s="21">
        <v>1</v>
      </c>
      <c r="F671" s="20">
        <f>D671*E671</f>
        <v>0</v>
      </c>
      <c r="G671" s="21">
        <v>101</v>
      </c>
      <c r="H671" s="20">
        <f>F671*G671</f>
        <v>0</v>
      </c>
      <c r="I671" s="2"/>
      <c r="J671" s="17"/>
      <c r="K671" s="17"/>
      <c r="L671" s="17"/>
    </row>
    <row r="672" spans="1:12">
      <c r="A672" s="37"/>
      <c r="B672" s="36">
        <v>2</v>
      </c>
      <c r="C672" s="19"/>
      <c r="D672" s="20">
        <v>0</v>
      </c>
      <c r="E672" s="21">
        <v>1</v>
      </c>
      <c r="F672" s="20">
        <f t="shared" ref="F672:F674" si="64">D672*E672</f>
        <v>0</v>
      </c>
      <c r="G672" s="21">
        <v>102</v>
      </c>
      <c r="H672" s="20">
        <f t="shared" ref="H672:H674" si="65">F672*G672</f>
        <v>0</v>
      </c>
      <c r="I672" s="2"/>
      <c r="J672" s="17"/>
      <c r="K672" s="17"/>
      <c r="L672" s="17"/>
    </row>
    <row r="673" spans="1:12">
      <c r="A673" s="37"/>
      <c r="B673" s="36">
        <v>3</v>
      </c>
      <c r="C673" s="19"/>
      <c r="D673" s="20">
        <v>0</v>
      </c>
      <c r="E673" s="21">
        <v>1</v>
      </c>
      <c r="F673" s="20">
        <f t="shared" si="64"/>
        <v>0</v>
      </c>
      <c r="G673" s="21">
        <v>103</v>
      </c>
      <c r="H673" s="20">
        <f t="shared" si="65"/>
        <v>0</v>
      </c>
      <c r="I673" s="2"/>
      <c r="J673" s="17"/>
      <c r="K673" s="17"/>
      <c r="L673" s="17"/>
    </row>
    <row r="674" spans="1:12">
      <c r="A674" s="37"/>
      <c r="B674" s="36">
        <v>4</v>
      </c>
      <c r="C674" s="19"/>
      <c r="D674" s="20">
        <v>0</v>
      </c>
      <c r="E674" s="21">
        <v>1</v>
      </c>
      <c r="F674" s="20">
        <f t="shared" si="64"/>
        <v>0</v>
      </c>
      <c r="G674" s="21">
        <v>104</v>
      </c>
      <c r="H674" s="20">
        <f t="shared" si="65"/>
        <v>0</v>
      </c>
      <c r="I674" s="2"/>
      <c r="J674" s="17"/>
      <c r="K674" s="17"/>
      <c r="L674" s="17"/>
    </row>
    <row r="675" spans="1:12">
      <c r="A675" s="37"/>
      <c r="B675" s="36">
        <v>5</v>
      </c>
      <c r="C675" s="19"/>
      <c r="D675" s="20">
        <v>0</v>
      </c>
      <c r="E675" s="21">
        <v>1</v>
      </c>
      <c r="F675" s="20">
        <f>D675*E675</f>
        <v>0</v>
      </c>
      <c r="G675" s="21">
        <v>102</v>
      </c>
      <c r="H675" s="20">
        <f>F675*G675</f>
        <v>0</v>
      </c>
      <c r="I675" s="2"/>
      <c r="J675" s="17"/>
      <c r="K675" s="17"/>
      <c r="L675" s="17"/>
    </row>
    <row r="676" spans="1:12">
      <c r="A676" s="37"/>
      <c r="B676" s="36"/>
      <c r="C676" s="14" t="s">
        <v>519</v>
      </c>
      <c r="D676" s="20"/>
      <c r="F676" s="20"/>
      <c r="H676" s="25">
        <f>SUM(H671:H675)</f>
        <v>0</v>
      </c>
      <c r="I676" s="2"/>
      <c r="J676" s="17"/>
      <c r="K676" s="17"/>
      <c r="L676" s="17"/>
    </row>
    <row r="677" spans="1:12">
      <c r="A677" s="37"/>
      <c r="B677" s="35"/>
      <c r="C677" s="14"/>
      <c r="D677" s="20"/>
      <c r="F677" s="20"/>
      <c r="H677" s="20"/>
      <c r="I677" s="2"/>
      <c r="J677" s="17"/>
      <c r="K677" s="17"/>
      <c r="L677" s="17"/>
    </row>
    <row r="678" spans="1:12">
      <c r="A678" s="37"/>
      <c r="B678" s="38"/>
      <c r="C678" s="14" t="s">
        <v>520</v>
      </c>
      <c r="D678" s="20"/>
      <c r="F678" s="20"/>
      <c r="H678" s="20"/>
      <c r="I678" s="2"/>
      <c r="J678" s="17"/>
      <c r="K678" s="17"/>
      <c r="L678" s="17"/>
    </row>
    <row r="679" spans="1:12">
      <c r="A679" s="37"/>
      <c r="B679" s="36">
        <v>1</v>
      </c>
      <c r="C679" s="19"/>
      <c r="D679" s="20">
        <v>0</v>
      </c>
      <c r="E679" s="21">
        <v>1</v>
      </c>
      <c r="F679" s="20">
        <f>D679*E679</f>
        <v>0</v>
      </c>
      <c r="G679" s="21">
        <v>101</v>
      </c>
      <c r="H679" s="20">
        <f>F679*G679</f>
        <v>0</v>
      </c>
      <c r="I679" s="2"/>
      <c r="J679" s="17"/>
      <c r="K679" s="17"/>
      <c r="L679" s="17"/>
    </row>
    <row r="680" spans="1:12">
      <c r="A680" s="37"/>
      <c r="B680" s="36">
        <v>2</v>
      </c>
      <c r="C680" s="19"/>
      <c r="D680" s="20">
        <v>0</v>
      </c>
      <c r="E680" s="21">
        <v>1</v>
      </c>
      <c r="F680" s="20">
        <f t="shared" ref="F680:F683" si="66">D680*E680</f>
        <v>0</v>
      </c>
      <c r="G680" s="21">
        <v>102</v>
      </c>
      <c r="H680" s="20">
        <f t="shared" ref="H680:H683" si="67">F680*G680</f>
        <v>0</v>
      </c>
      <c r="I680" s="2"/>
      <c r="J680" s="17"/>
      <c r="K680" s="17"/>
      <c r="L680" s="17"/>
    </row>
    <row r="681" spans="1:12">
      <c r="A681" s="37"/>
      <c r="B681" s="36">
        <v>3</v>
      </c>
      <c r="C681" s="19"/>
      <c r="D681" s="20">
        <v>0</v>
      </c>
      <c r="E681" s="21">
        <v>1</v>
      </c>
      <c r="F681" s="20">
        <f t="shared" si="66"/>
        <v>0</v>
      </c>
      <c r="G681" s="21">
        <v>103</v>
      </c>
      <c r="H681" s="20">
        <f t="shared" si="67"/>
        <v>0</v>
      </c>
      <c r="I681" s="2"/>
      <c r="J681" s="17"/>
      <c r="K681" s="17"/>
      <c r="L681" s="17"/>
    </row>
    <row r="682" spans="1:12">
      <c r="A682" s="37"/>
      <c r="B682" s="36">
        <v>4</v>
      </c>
      <c r="C682" s="19"/>
      <c r="D682" s="20">
        <v>0</v>
      </c>
      <c r="E682" s="21">
        <v>1</v>
      </c>
      <c r="F682" s="20">
        <f t="shared" si="66"/>
        <v>0</v>
      </c>
      <c r="G682" s="21">
        <v>104</v>
      </c>
      <c r="H682" s="20">
        <f t="shared" si="67"/>
        <v>0</v>
      </c>
      <c r="I682" s="2"/>
      <c r="J682" s="17"/>
      <c r="K682" s="17"/>
      <c r="L682" s="17"/>
    </row>
    <row r="683" spans="1:12">
      <c r="A683" s="37"/>
      <c r="B683" s="36">
        <v>5</v>
      </c>
      <c r="C683" s="19"/>
      <c r="D683" s="20">
        <v>0</v>
      </c>
      <c r="E683" s="21">
        <v>1</v>
      </c>
      <c r="F683" s="20">
        <f t="shared" si="66"/>
        <v>0</v>
      </c>
      <c r="G683" s="21">
        <v>105</v>
      </c>
      <c r="H683" s="20">
        <f t="shared" si="67"/>
        <v>0</v>
      </c>
      <c r="I683" s="2"/>
      <c r="J683" s="17"/>
      <c r="K683" s="17"/>
      <c r="L683" s="17"/>
    </row>
    <row r="684" spans="1:12">
      <c r="A684" s="37"/>
      <c r="B684" s="36">
        <v>6</v>
      </c>
      <c r="C684" s="19"/>
      <c r="D684" s="20">
        <v>0</v>
      </c>
      <c r="E684" s="21">
        <v>1</v>
      </c>
      <c r="F684" s="20">
        <f>D684*E684</f>
        <v>0</v>
      </c>
      <c r="G684" s="21">
        <v>102</v>
      </c>
      <c r="H684" s="20">
        <f>F684*G684</f>
        <v>0</v>
      </c>
      <c r="I684" s="2"/>
      <c r="J684" s="17"/>
      <c r="K684" s="17"/>
      <c r="L684" s="17"/>
    </row>
    <row r="685" spans="1:12">
      <c r="A685" s="37"/>
      <c r="B685" s="36"/>
      <c r="C685" s="14" t="s">
        <v>521</v>
      </c>
      <c r="D685" s="20"/>
      <c r="F685" s="20"/>
      <c r="H685" s="25">
        <f>SUM(H679:H684)</f>
        <v>0</v>
      </c>
      <c r="I685" s="2"/>
      <c r="J685" s="17"/>
      <c r="K685" s="17"/>
      <c r="L685" s="17"/>
    </row>
    <row r="686" spans="1:12">
      <c r="A686" s="37"/>
      <c r="B686" s="38"/>
      <c r="C686" s="14"/>
      <c r="D686" s="20"/>
      <c r="F686" s="20"/>
      <c r="H686" s="20"/>
      <c r="I686" s="2"/>
      <c r="J686" s="17"/>
      <c r="K686" s="17"/>
      <c r="L686" s="17"/>
    </row>
    <row r="687" spans="1:12">
      <c r="A687" s="37"/>
      <c r="B687" s="38"/>
      <c r="C687" s="14" t="s">
        <v>522</v>
      </c>
      <c r="D687" s="20"/>
      <c r="F687" s="20"/>
      <c r="H687" s="20"/>
      <c r="I687" s="2"/>
      <c r="J687" s="17"/>
      <c r="K687" s="17"/>
      <c r="L687" s="17"/>
    </row>
    <row r="688" spans="1:12">
      <c r="A688" s="37"/>
      <c r="B688" s="36">
        <v>1</v>
      </c>
      <c r="C688" s="19"/>
      <c r="D688" s="20">
        <v>0</v>
      </c>
      <c r="E688" s="21">
        <v>1</v>
      </c>
      <c r="F688" s="20">
        <f>D688*E688</f>
        <v>0</v>
      </c>
      <c r="G688" s="21">
        <v>101</v>
      </c>
      <c r="H688" s="20">
        <f>F688*G688</f>
        <v>0</v>
      </c>
      <c r="I688" s="2"/>
      <c r="J688" s="17"/>
      <c r="K688" s="17"/>
      <c r="L688" s="17"/>
    </row>
    <row r="689" spans="1:12">
      <c r="A689" s="37"/>
      <c r="B689" s="36">
        <v>2</v>
      </c>
      <c r="C689" s="19"/>
      <c r="D689" s="20">
        <v>0</v>
      </c>
      <c r="E689" s="21">
        <v>1</v>
      </c>
      <c r="F689" s="20">
        <f t="shared" ref="F689:F692" si="68">D689*E689</f>
        <v>0</v>
      </c>
      <c r="G689" s="21">
        <v>102</v>
      </c>
      <c r="H689" s="20">
        <f t="shared" ref="H689:H692" si="69">F689*G689</f>
        <v>0</v>
      </c>
      <c r="I689" s="2"/>
      <c r="J689" s="17"/>
      <c r="K689" s="17"/>
      <c r="L689" s="17"/>
    </row>
    <row r="690" spans="1:12">
      <c r="A690" s="37"/>
      <c r="B690" s="36">
        <v>3</v>
      </c>
      <c r="C690" s="19"/>
      <c r="D690" s="20">
        <v>0</v>
      </c>
      <c r="E690" s="21">
        <v>1</v>
      </c>
      <c r="F690" s="20">
        <f t="shared" si="68"/>
        <v>0</v>
      </c>
      <c r="G690" s="21">
        <v>103</v>
      </c>
      <c r="H690" s="20">
        <f t="shared" si="69"/>
        <v>0</v>
      </c>
      <c r="I690" s="2"/>
      <c r="J690" s="17"/>
      <c r="K690" s="17"/>
      <c r="L690" s="17"/>
    </row>
    <row r="691" spans="1:12">
      <c r="A691" s="37"/>
      <c r="B691" s="36">
        <v>4</v>
      </c>
      <c r="C691" s="19"/>
      <c r="D691" s="20">
        <v>0</v>
      </c>
      <c r="E691" s="21">
        <v>1</v>
      </c>
      <c r="F691" s="20">
        <f t="shared" si="68"/>
        <v>0</v>
      </c>
      <c r="G691" s="21">
        <v>104</v>
      </c>
      <c r="H691" s="20">
        <f t="shared" si="69"/>
        <v>0</v>
      </c>
      <c r="I691" s="2"/>
      <c r="J691" s="17"/>
      <c r="K691" s="17"/>
      <c r="L691" s="17"/>
    </row>
    <row r="692" spans="1:12">
      <c r="A692" s="37"/>
      <c r="B692" s="36">
        <v>5</v>
      </c>
      <c r="C692" s="19"/>
      <c r="D692" s="20">
        <v>0</v>
      </c>
      <c r="E692" s="21">
        <v>1</v>
      </c>
      <c r="F692" s="20">
        <f t="shared" si="68"/>
        <v>0</v>
      </c>
      <c r="G692" s="21">
        <v>105</v>
      </c>
      <c r="H692" s="20">
        <f t="shared" si="69"/>
        <v>0</v>
      </c>
      <c r="I692" s="2"/>
      <c r="J692" s="17"/>
      <c r="K692" s="17"/>
      <c r="L692" s="17"/>
    </row>
    <row r="693" spans="1:12">
      <c r="A693" s="37"/>
      <c r="B693" s="36">
        <v>6</v>
      </c>
      <c r="C693" s="19"/>
      <c r="D693" s="20">
        <v>0</v>
      </c>
      <c r="E693" s="21">
        <v>1</v>
      </c>
      <c r="F693" s="20">
        <f>D693*E693</f>
        <v>0</v>
      </c>
      <c r="G693" s="21">
        <v>102</v>
      </c>
      <c r="H693" s="20">
        <f>F693*G693</f>
        <v>0</v>
      </c>
      <c r="I693" s="2"/>
      <c r="J693" s="17"/>
      <c r="K693" s="17"/>
      <c r="L693" s="17"/>
    </row>
    <row r="694" spans="1:12">
      <c r="A694" s="37"/>
      <c r="B694" s="36"/>
      <c r="C694" s="14" t="s">
        <v>523</v>
      </c>
      <c r="D694" s="20"/>
      <c r="F694" s="20"/>
      <c r="H694" s="25">
        <f>SUM(H688:H693)</f>
        <v>0</v>
      </c>
      <c r="I694" s="2"/>
      <c r="J694" s="17"/>
      <c r="K694" s="17"/>
      <c r="L694" s="17"/>
    </row>
    <row r="695" spans="1:12">
      <c r="A695" s="37"/>
      <c r="B695" s="38"/>
      <c r="C695" s="14"/>
      <c r="D695" s="20"/>
      <c r="F695" s="20"/>
      <c r="H695" s="20"/>
      <c r="I695" s="2"/>
      <c r="J695" s="17"/>
      <c r="K695" s="17"/>
      <c r="L695" s="17"/>
    </row>
    <row r="696" spans="1:12">
      <c r="A696" s="37"/>
      <c r="B696" s="38"/>
      <c r="C696" s="14" t="s">
        <v>524</v>
      </c>
      <c r="D696" s="20"/>
      <c r="F696" s="20"/>
      <c r="H696" s="20"/>
      <c r="I696" s="2"/>
      <c r="J696" s="17"/>
      <c r="K696" s="17"/>
      <c r="L696" s="17"/>
    </row>
    <row r="697" spans="1:12">
      <c r="A697" s="37"/>
      <c r="B697" s="36">
        <v>1</v>
      </c>
      <c r="C697" s="19"/>
      <c r="D697" s="20">
        <v>0</v>
      </c>
      <c r="E697" s="21">
        <v>1</v>
      </c>
      <c r="F697" s="20">
        <f>D697*E697</f>
        <v>0</v>
      </c>
      <c r="G697" s="21">
        <v>101</v>
      </c>
      <c r="H697" s="20">
        <f>F697*G697</f>
        <v>0</v>
      </c>
      <c r="I697" s="2"/>
      <c r="J697" s="17"/>
      <c r="K697" s="17"/>
      <c r="L697" s="17"/>
    </row>
    <row r="698" spans="1:12">
      <c r="A698" s="37"/>
      <c r="B698" s="36">
        <v>2</v>
      </c>
      <c r="C698" s="19"/>
      <c r="D698" s="20">
        <v>0</v>
      </c>
      <c r="E698" s="21">
        <v>1</v>
      </c>
      <c r="F698" s="20">
        <f t="shared" ref="F698:F702" si="70">D698*E698</f>
        <v>0</v>
      </c>
      <c r="G698" s="21">
        <v>102</v>
      </c>
      <c r="H698" s="20">
        <f t="shared" ref="H698:H702" si="71">F698*G698</f>
        <v>0</v>
      </c>
      <c r="I698" s="2"/>
      <c r="J698" s="17"/>
      <c r="K698" s="17"/>
      <c r="L698" s="17"/>
    </row>
    <row r="699" spans="1:12">
      <c r="A699" s="37"/>
      <c r="B699" s="36">
        <v>3</v>
      </c>
      <c r="C699" s="19"/>
      <c r="D699" s="20">
        <v>0</v>
      </c>
      <c r="E699" s="21">
        <v>1</v>
      </c>
      <c r="F699" s="20">
        <f t="shared" si="70"/>
        <v>0</v>
      </c>
      <c r="G699" s="21">
        <v>103</v>
      </c>
      <c r="H699" s="20">
        <f t="shared" si="71"/>
        <v>0</v>
      </c>
      <c r="I699" s="2"/>
      <c r="J699" s="17"/>
      <c r="K699" s="17"/>
      <c r="L699" s="17"/>
    </row>
    <row r="700" spans="1:12">
      <c r="A700" s="37"/>
      <c r="B700" s="36">
        <v>4</v>
      </c>
      <c r="C700" s="19"/>
      <c r="D700" s="20">
        <v>0</v>
      </c>
      <c r="E700" s="21">
        <v>1</v>
      </c>
      <c r="F700" s="20">
        <f t="shared" si="70"/>
        <v>0</v>
      </c>
      <c r="G700" s="21">
        <v>104</v>
      </c>
      <c r="H700" s="20">
        <f t="shared" si="71"/>
        <v>0</v>
      </c>
      <c r="I700" s="2"/>
      <c r="J700" s="17"/>
      <c r="K700" s="17"/>
      <c r="L700" s="17"/>
    </row>
    <row r="701" spans="1:12">
      <c r="A701" s="37"/>
      <c r="B701" s="36">
        <v>5</v>
      </c>
      <c r="C701" s="19"/>
      <c r="D701" s="20">
        <v>0</v>
      </c>
      <c r="E701" s="21">
        <v>1</v>
      </c>
      <c r="F701" s="20">
        <f t="shared" si="70"/>
        <v>0</v>
      </c>
      <c r="G701" s="21">
        <v>105</v>
      </c>
      <c r="H701" s="20">
        <f t="shared" si="71"/>
        <v>0</v>
      </c>
      <c r="I701" s="2"/>
      <c r="J701" s="17"/>
      <c r="K701" s="17"/>
      <c r="L701" s="17"/>
    </row>
    <row r="702" spans="1:12">
      <c r="A702" s="37"/>
      <c r="B702" s="36">
        <v>6</v>
      </c>
      <c r="C702" s="19"/>
      <c r="D702" s="20">
        <v>0</v>
      </c>
      <c r="E702" s="21">
        <v>1</v>
      </c>
      <c r="F702" s="20">
        <f t="shared" si="70"/>
        <v>0</v>
      </c>
      <c r="G702" s="21">
        <v>106</v>
      </c>
      <c r="H702" s="20">
        <f t="shared" si="71"/>
        <v>0</v>
      </c>
      <c r="I702" s="2"/>
      <c r="J702" s="17"/>
      <c r="K702" s="17"/>
      <c r="L702" s="17"/>
    </row>
    <row r="703" spans="1:12">
      <c r="A703" s="37"/>
      <c r="B703" s="36">
        <v>7</v>
      </c>
      <c r="C703" s="19"/>
      <c r="D703" s="20">
        <v>0</v>
      </c>
      <c r="E703" s="21">
        <v>1</v>
      </c>
      <c r="F703" s="20">
        <f>D703*E703</f>
        <v>0</v>
      </c>
      <c r="G703" s="21">
        <v>102</v>
      </c>
      <c r="H703" s="20">
        <f>F703*G703</f>
        <v>0</v>
      </c>
      <c r="I703" s="2"/>
      <c r="J703" s="17"/>
      <c r="K703" s="17"/>
      <c r="L703" s="17"/>
    </row>
    <row r="704" spans="1:12">
      <c r="A704" s="37"/>
      <c r="B704" s="36"/>
      <c r="C704" s="14" t="s">
        <v>525</v>
      </c>
      <c r="D704" s="20"/>
      <c r="F704" s="20"/>
      <c r="H704" s="25">
        <f>SUM(H697:H703)</f>
        <v>0</v>
      </c>
      <c r="I704" s="2"/>
      <c r="J704" s="17"/>
      <c r="K704" s="17"/>
      <c r="L704" s="17"/>
    </row>
    <row r="705" spans="1:12">
      <c r="A705" s="37"/>
      <c r="B705" s="38"/>
      <c r="C705" s="14"/>
      <c r="D705" s="20"/>
      <c r="F705" s="20"/>
      <c r="H705" s="20"/>
      <c r="I705" s="2"/>
      <c r="J705" s="17"/>
      <c r="K705" s="17"/>
      <c r="L705" s="17"/>
    </row>
    <row r="706" spans="1:12">
      <c r="A706" s="37"/>
      <c r="B706" s="38"/>
      <c r="C706" s="14" t="s">
        <v>526</v>
      </c>
      <c r="D706" s="20"/>
      <c r="F706" s="20"/>
      <c r="H706" s="20"/>
      <c r="I706" s="2"/>
      <c r="J706" s="17"/>
      <c r="K706" s="17"/>
      <c r="L706" s="17"/>
    </row>
    <row r="707" spans="1:12">
      <c r="A707" s="37"/>
      <c r="B707" s="36">
        <v>1</v>
      </c>
      <c r="C707" s="19" t="s">
        <v>496</v>
      </c>
      <c r="D707" s="20">
        <v>0</v>
      </c>
      <c r="E707" s="21">
        <v>1</v>
      </c>
      <c r="F707" s="20">
        <f>D707*E707</f>
        <v>0</v>
      </c>
      <c r="G707" s="21">
        <v>5384.6153846153848</v>
      </c>
      <c r="H707" s="20">
        <f>F707*G707</f>
        <v>0</v>
      </c>
      <c r="I707" s="2"/>
      <c r="J707" s="17"/>
      <c r="K707" s="17"/>
      <c r="L707" s="17"/>
    </row>
    <row r="708" spans="1:12">
      <c r="A708" s="37"/>
      <c r="B708" s="36">
        <v>2</v>
      </c>
      <c r="C708" s="19" t="s">
        <v>497</v>
      </c>
      <c r="D708" s="20">
        <v>0</v>
      </c>
      <c r="E708" s="21">
        <v>1</v>
      </c>
      <c r="F708" s="20">
        <f t="shared" ref="F708:F718" si="72">D708*E708</f>
        <v>0</v>
      </c>
      <c r="G708" s="21">
        <v>8307.6923076923067</v>
      </c>
      <c r="H708" s="20">
        <f t="shared" ref="H708:H718" si="73">F708*G708</f>
        <v>0</v>
      </c>
      <c r="I708" s="2"/>
      <c r="J708" s="17"/>
      <c r="K708" s="17"/>
      <c r="L708" s="17"/>
    </row>
    <row r="709" spans="1:12">
      <c r="A709" s="37"/>
      <c r="B709" s="36">
        <v>3</v>
      </c>
      <c r="C709" s="19" t="s">
        <v>513</v>
      </c>
      <c r="D709" s="20">
        <v>0</v>
      </c>
      <c r="E709" s="21">
        <v>1</v>
      </c>
      <c r="F709" s="20">
        <f t="shared" si="72"/>
        <v>0</v>
      </c>
      <c r="G709" s="21">
        <v>60.769230769230766</v>
      </c>
      <c r="H709" s="20">
        <f t="shared" si="73"/>
        <v>0</v>
      </c>
      <c r="I709" s="2"/>
      <c r="J709" s="17"/>
      <c r="K709" s="17"/>
      <c r="L709" s="17"/>
    </row>
    <row r="710" spans="1:12">
      <c r="A710" s="37"/>
      <c r="B710" s="36">
        <v>4</v>
      </c>
      <c r="C710" s="19" t="s">
        <v>503</v>
      </c>
      <c r="D710" s="20">
        <v>0</v>
      </c>
      <c r="E710" s="21">
        <v>1</v>
      </c>
      <c r="F710" s="20">
        <f t="shared" si="72"/>
        <v>0</v>
      </c>
      <c r="G710" s="21">
        <v>40</v>
      </c>
      <c r="H710" s="20">
        <f t="shared" si="73"/>
        <v>0</v>
      </c>
      <c r="I710" s="2"/>
      <c r="J710" s="17"/>
      <c r="K710" s="17"/>
      <c r="L710" s="17"/>
    </row>
    <row r="711" spans="1:12">
      <c r="A711" s="37"/>
      <c r="B711" s="36">
        <v>5</v>
      </c>
      <c r="C711" s="19" t="s">
        <v>504</v>
      </c>
      <c r="D711" s="20">
        <v>0</v>
      </c>
      <c r="E711" s="21">
        <v>0.42599999999999999</v>
      </c>
      <c r="F711" s="20">
        <f t="shared" si="72"/>
        <v>0</v>
      </c>
      <c r="G711" s="21">
        <v>49000</v>
      </c>
      <c r="H711" s="20">
        <f t="shared" si="73"/>
        <v>0</v>
      </c>
      <c r="I711" s="2"/>
      <c r="J711" s="17"/>
      <c r="K711" s="17"/>
      <c r="L711" s="17"/>
    </row>
    <row r="712" spans="1:12">
      <c r="A712" s="37"/>
      <c r="B712" s="36">
        <v>6</v>
      </c>
      <c r="C712" s="19" t="s">
        <v>507</v>
      </c>
      <c r="D712" s="20">
        <v>0</v>
      </c>
      <c r="E712" s="21">
        <v>1</v>
      </c>
      <c r="F712" s="20">
        <f t="shared" si="72"/>
        <v>0</v>
      </c>
      <c r="G712" s="21">
        <v>230.76923076923077</v>
      </c>
      <c r="H712" s="20">
        <f t="shared" si="73"/>
        <v>0</v>
      </c>
      <c r="I712" s="2"/>
      <c r="J712" s="17"/>
      <c r="K712" s="17"/>
      <c r="L712" s="17"/>
    </row>
    <row r="713" spans="1:12">
      <c r="A713" s="37"/>
      <c r="B713" s="36">
        <v>7</v>
      </c>
      <c r="C713" s="19" t="s">
        <v>508</v>
      </c>
      <c r="D713" s="20">
        <v>0</v>
      </c>
      <c r="E713" s="21">
        <v>0.14399999999999999</v>
      </c>
      <c r="F713" s="20">
        <f t="shared" si="72"/>
        <v>0</v>
      </c>
      <c r="G713" s="21">
        <v>9000</v>
      </c>
      <c r="H713" s="20">
        <f t="shared" si="73"/>
        <v>0</v>
      </c>
      <c r="I713" s="2"/>
      <c r="J713" s="17"/>
      <c r="K713" s="17"/>
      <c r="L713" s="17"/>
    </row>
    <row r="714" spans="1:12">
      <c r="A714" s="37"/>
      <c r="B714" s="36">
        <v>8</v>
      </c>
      <c r="C714" s="19" t="s">
        <v>352</v>
      </c>
      <c r="D714" s="20">
        <v>0</v>
      </c>
      <c r="E714" s="21">
        <v>0.58199999999999996</v>
      </c>
      <c r="F714" s="20">
        <f t="shared" si="72"/>
        <v>0</v>
      </c>
      <c r="G714" s="21">
        <v>177.69230769230768</v>
      </c>
      <c r="H714" s="20">
        <f t="shared" si="73"/>
        <v>0</v>
      </c>
      <c r="I714" s="2"/>
      <c r="J714" s="17"/>
      <c r="K714" s="17"/>
      <c r="L714" s="17"/>
    </row>
    <row r="715" spans="1:12">
      <c r="A715" s="37"/>
      <c r="B715" s="36">
        <v>9</v>
      </c>
      <c r="C715" s="19" t="s">
        <v>45</v>
      </c>
      <c r="D715" s="20">
        <v>0</v>
      </c>
      <c r="E715" s="21">
        <v>0.58199999999999996</v>
      </c>
      <c r="F715" s="20">
        <f>D715*E715</f>
        <v>0</v>
      </c>
      <c r="G715" s="21">
        <v>77.692307692307693</v>
      </c>
      <c r="H715" s="20">
        <f t="shared" si="73"/>
        <v>0</v>
      </c>
      <c r="I715" s="2"/>
      <c r="J715" s="17"/>
      <c r="K715" s="17"/>
      <c r="L715" s="17"/>
    </row>
    <row r="716" spans="1:12">
      <c r="A716" s="37"/>
      <c r="B716" s="36">
        <v>10</v>
      </c>
      <c r="C716" s="19" t="s">
        <v>351</v>
      </c>
      <c r="D716" s="20">
        <v>0</v>
      </c>
      <c r="E716" s="21">
        <v>0.58199999999999996</v>
      </c>
      <c r="F716" s="20">
        <f t="shared" si="72"/>
        <v>0</v>
      </c>
      <c r="G716" s="21">
        <v>264.61538461538458</v>
      </c>
      <c r="H716" s="20">
        <f t="shared" si="73"/>
        <v>0</v>
      </c>
      <c r="I716" s="2"/>
      <c r="J716" s="17"/>
      <c r="K716" s="17"/>
      <c r="L716" s="17"/>
    </row>
    <row r="717" spans="1:12">
      <c r="A717" s="37"/>
      <c r="B717" s="36">
        <v>11</v>
      </c>
      <c r="C717" s="19" t="s">
        <v>527</v>
      </c>
      <c r="D717" s="20">
        <v>0</v>
      </c>
      <c r="E717" s="21">
        <v>1</v>
      </c>
      <c r="F717" s="20">
        <f t="shared" si="72"/>
        <v>0</v>
      </c>
      <c r="G717" s="69">
        <v>470</v>
      </c>
      <c r="H717" s="20">
        <f t="shared" si="73"/>
        <v>0</v>
      </c>
      <c r="I717" s="2"/>
      <c r="J717" s="17"/>
      <c r="K717" s="17"/>
      <c r="L717" s="17"/>
    </row>
    <row r="718" spans="1:12">
      <c r="A718" s="37"/>
      <c r="B718" s="36">
        <v>12</v>
      </c>
      <c r="C718" s="19"/>
      <c r="D718" s="20">
        <v>0</v>
      </c>
      <c r="E718" s="21">
        <v>0</v>
      </c>
      <c r="F718" s="20">
        <f t="shared" si="72"/>
        <v>0</v>
      </c>
      <c r="G718" s="21">
        <v>108</v>
      </c>
      <c r="H718" s="20">
        <f t="shared" si="73"/>
        <v>0</v>
      </c>
      <c r="I718" s="2"/>
      <c r="J718" s="17"/>
      <c r="K718" s="17"/>
      <c r="L718" s="17"/>
    </row>
    <row r="719" spans="1:12">
      <c r="A719" s="37"/>
      <c r="B719" s="36">
        <v>13</v>
      </c>
      <c r="C719" s="19"/>
      <c r="D719" s="20">
        <v>0</v>
      </c>
      <c r="E719" s="21">
        <v>0</v>
      </c>
      <c r="F719" s="20">
        <f>D719*E719</f>
        <v>0</v>
      </c>
      <c r="G719" s="21">
        <v>102</v>
      </c>
      <c r="H719" s="20">
        <f>F719*G719</f>
        <v>0</v>
      </c>
      <c r="I719" s="2"/>
      <c r="J719" s="17"/>
      <c r="K719" s="17"/>
      <c r="L719" s="17"/>
    </row>
    <row r="720" spans="1:12">
      <c r="A720" s="37"/>
      <c r="B720" s="36"/>
      <c r="C720" s="14" t="s">
        <v>528</v>
      </c>
      <c r="D720" s="20"/>
      <c r="F720" s="20"/>
      <c r="H720" s="25">
        <f>SUM(H707:H719)</f>
        <v>0</v>
      </c>
      <c r="I720" s="2"/>
      <c r="J720" s="17"/>
      <c r="K720" s="17"/>
      <c r="L720" s="17"/>
    </row>
    <row r="721" spans="1:12">
      <c r="A721" s="37"/>
      <c r="B721" s="38"/>
      <c r="C721" s="14"/>
      <c r="D721" s="20"/>
      <c r="F721" s="20"/>
      <c r="H721" s="20"/>
      <c r="I721" s="2"/>
      <c r="J721" s="17"/>
      <c r="K721" s="17"/>
      <c r="L721" s="17"/>
    </row>
    <row r="722" spans="1:12">
      <c r="A722" s="37"/>
      <c r="B722" s="38"/>
      <c r="C722" s="14" t="s">
        <v>529</v>
      </c>
      <c r="D722" s="20"/>
      <c r="F722" s="20"/>
      <c r="H722" s="20"/>
      <c r="I722" s="2"/>
      <c r="J722" s="17"/>
      <c r="K722" s="17"/>
      <c r="L722" s="17"/>
    </row>
    <row r="723" spans="1:12">
      <c r="A723" s="37"/>
      <c r="B723" s="36">
        <v>1</v>
      </c>
      <c r="C723" s="19" t="s">
        <v>284</v>
      </c>
      <c r="D723" s="20">
        <v>0</v>
      </c>
      <c r="E723" s="21">
        <v>1</v>
      </c>
      <c r="F723" s="20">
        <f>D723*E723</f>
        <v>0</v>
      </c>
      <c r="G723" s="21">
        <v>40000</v>
      </c>
      <c r="H723" s="20">
        <f>F723*G723</f>
        <v>0</v>
      </c>
      <c r="I723" s="2"/>
      <c r="J723" s="17"/>
      <c r="K723" s="17"/>
      <c r="L723" s="17"/>
    </row>
    <row r="724" spans="1:12">
      <c r="A724" s="37"/>
      <c r="B724" s="36">
        <v>2</v>
      </c>
      <c r="C724" s="19"/>
      <c r="D724" s="20">
        <v>0</v>
      </c>
      <c r="E724" s="21">
        <v>1</v>
      </c>
      <c r="F724" s="20">
        <f t="shared" ref="F724:F728" si="74">D724*E724</f>
        <v>0</v>
      </c>
      <c r="G724" s="21">
        <v>102</v>
      </c>
      <c r="H724" s="20">
        <f t="shared" ref="H724:H728" si="75">F724*G724</f>
        <v>0</v>
      </c>
      <c r="I724" s="2"/>
      <c r="J724" s="17"/>
      <c r="K724" s="17"/>
      <c r="L724" s="17"/>
    </row>
    <row r="725" spans="1:12">
      <c r="A725" s="37"/>
      <c r="B725" s="36">
        <v>3</v>
      </c>
      <c r="C725" s="19"/>
      <c r="D725" s="20">
        <v>0</v>
      </c>
      <c r="E725" s="21">
        <v>1</v>
      </c>
      <c r="F725" s="20">
        <f t="shared" si="74"/>
        <v>0</v>
      </c>
      <c r="G725" s="21">
        <v>103</v>
      </c>
      <c r="H725" s="20">
        <f t="shared" si="75"/>
        <v>0</v>
      </c>
      <c r="I725" s="2"/>
      <c r="J725" s="17"/>
      <c r="K725" s="17"/>
      <c r="L725" s="17"/>
    </row>
    <row r="726" spans="1:12">
      <c r="A726" s="37"/>
      <c r="B726" s="36">
        <v>4</v>
      </c>
      <c r="C726" s="19"/>
      <c r="D726" s="20">
        <v>0</v>
      </c>
      <c r="E726" s="21">
        <v>1</v>
      </c>
      <c r="F726" s="20">
        <f t="shared" si="74"/>
        <v>0</v>
      </c>
      <c r="G726" s="21">
        <v>104</v>
      </c>
      <c r="H726" s="20">
        <f t="shared" si="75"/>
        <v>0</v>
      </c>
      <c r="I726" s="2"/>
      <c r="J726" s="17"/>
      <c r="K726" s="17"/>
      <c r="L726" s="17"/>
    </row>
    <row r="727" spans="1:12">
      <c r="A727" s="37"/>
      <c r="B727" s="36">
        <v>5</v>
      </c>
      <c r="C727" s="19"/>
      <c r="D727" s="20">
        <v>0</v>
      </c>
      <c r="E727" s="21">
        <v>1</v>
      </c>
      <c r="F727" s="20">
        <f t="shared" si="74"/>
        <v>0</v>
      </c>
      <c r="G727" s="21">
        <v>105</v>
      </c>
      <c r="H727" s="20">
        <f t="shared" si="75"/>
        <v>0</v>
      </c>
      <c r="I727" s="2"/>
      <c r="J727" s="17"/>
      <c r="K727" s="17"/>
      <c r="L727" s="17"/>
    </row>
    <row r="728" spans="1:12">
      <c r="A728" s="37"/>
      <c r="B728" s="36">
        <v>6</v>
      </c>
      <c r="C728" s="19"/>
      <c r="D728" s="20">
        <v>0</v>
      </c>
      <c r="E728" s="21">
        <v>1</v>
      </c>
      <c r="F728" s="20">
        <f t="shared" si="74"/>
        <v>0</v>
      </c>
      <c r="G728" s="21">
        <v>106</v>
      </c>
      <c r="H728" s="20">
        <f t="shared" si="75"/>
        <v>0</v>
      </c>
      <c r="I728" s="2"/>
      <c r="J728" s="17"/>
      <c r="K728" s="17"/>
      <c r="L728" s="17"/>
    </row>
    <row r="729" spans="1:12">
      <c r="A729" s="37"/>
      <c r="B729" s="36">
        <v>7</v>
      </c>
      <c r="C729" s="19"/>
      <c r="D729" s="20">
        <v>0</v>
      </c>
      <c r="E729" s="21">
        <v>1</v>
      </c>
      <c r="F729" s="20">
        <f>D729*E729</f>
        <v>0</v>
      </c>
      <c r="G729" s="21">
        <v>102</v>
      </c>
      <c r="H729" s="20">
        <f>F729*G729</f>
        <v>0</v>
      </c>
      <c r="I729" s="2"/>
      <c r="J729" s="17"/>
      <c r="K729" s="17"/>
      <c r="L729" s="17"/>
    </row>
    <row r="730" spans="1:12">
      <c r="A730" s="37"/>
      <c r="B730" s="36"/>
      <c r="C730" s="14" t="s">
        <v>530</v>
      </c>
      <c r="D730" s="20"/>
      <c r="F730" s="20"/>
      <c r="H730" s="25">
        <f>SUM(H723:H729)</f>
        <v>0</v>
      </c>
      <c r="I730" s="2"/>
      <c r="J730" s="17"/>
      <c r="K730" s="17"/>
      <c r="L730" s="17"/>
    </row>
    <row r="731" spans="1:12">
      <c r="A731" s="37"/>
      <c r="B731" s="38"/>
      <c r="C731" s="14"/>
      <c r="D731" s="20"/>
      <c r="F731" s="20"/>
      <c r="H731" s="20"/>
      <c r="I731" s="2"/>
      <c r="J731" s="17"/>
      <c r="K731" s="17"/>
      <c r="L731" s="17"/>
    </row>
    <row r="732" spans="1:12">
      <c r="A732" s="37"/>
      <c r="B732" s="38"/>
      <c r="C732" s="14" t="s">
        <v>531</v>
      </c>
      <c r="D732" s="20"/>
      <c r="F732" s="20"/>
      <c r="H732" s="20"/>
      <c r="I732" s="2"/>
      <c r="J732" s="17"/>
      <c r="K732" s="17"/>
      <c r="L732" s="17"/>
    </row>
    <row r="733" spans="1:12">
      <c r="A733" s="37"/>
      <c r="B733" s="36">
        <v>1</v>
      </c>
      <c r="C733" s="19" t="s">
        <v>219</v>
      </c>
      <c r="D733" s="20">
        <v>0</v>
      </c>
      <c r="E733" s="21">
        <v>1</v>
      </c>
      <c r="F733" s="20">
        <f>D733*E733</f>
        <v>0</v>
      </c>
      <c r="G733" s="69">
        <v>12507</v>
      </c>
      <c r="H733" s="20">
        <f>F733*G733</f>
        <v>0</v>
      </c>
      <c r="I733" s="2"/>
      <c r="J733" s="17"/>
      <c r="K733" s="17"/>
      <c r="L733" s="17"/>
    </row>
    <row r="734" spans="1:12">
      <c r="A734" s="37"/>
      <c r="B734" s="36">
        <v>2</v>
      </c>
      <c r="C734" s="19" t="s">
        <v>64</v>
      </c>
      <c r="D734" s="20">
        <v>0</v>
      </c>
      <c r="E734" s="21">
        <v>1</v>
      </c>
      <c r="F734" s="20">
        <f>D734*E734</f>
        <v>0</v>
      </c>
      <c r="G734" s="69">
        <v>12507</v>
      </c>
      <c r="H734" s="20">
        <f>F734*G734</f>
        <v>0</v>
      </c>
      <c r="I734" s="2"/>
      <c r="J734" s="17"/>
      <c r="K734" s="17"/>
      <c r="L734" s="17"/>
    </row>
    <row r="735" spans="1:12">
      <c r="A735" s="37"/>
      <c r="B735" s="36">
        <v>3</v>
      </c>
      <c r="C735" s="19" t="s">
        <v>65</v>
      </c>
      <c r="D735" s="20">
        <v>0</v>
      </c>
      <c r="E735" s="21">
        <v>1</v>
      </c>
      <c r="F735" s="20">
        <f t="shared" ref="F735:F740" si="76">D735*E735</f>
        <v>0</v>
      </c>
      <c r="G735" s="69">
        <v>12507</v>
      </c>
      <c r="H735" s="20">
        <f t="shared" ref="H735:H740" si="77">F735*G735</f>
        <v>0</v>
      </c>
      <c r="I735" s="2"/>
      <c r="J735" s="17"/>
      <c r="K735" s="17"/>
      <c r="L735" s="17"/>
    </row>
    <row r="736" spans="1:12">
      <c r="A736" s="37"/>
      <c r="B736" s="36">
        <v>4</v>
      </c>
      <c r="C736" s="19" t="s">
        <v>358</v>
      </c>
      <c r="D736" s="20">
        <v>0</v>
      </c>
      <c r="E736" s="21">
        <v>1</v>
      </c>
      <c r="F736" s="20">
        <f t="shared" si="76"/>
        <v>0</v>
      </c>
      <c r="G736" s="69">
        <v>12507</v>
      </c>
      <c r="H736" s="20">
        <f t="shared" si="77"/>
        <v>0</v>
      </c>
      <c r="I736" s="2"/>
      <c r="J736" s="17"/>
      <c r="K736" s="17"/>
      <c r="L736" s="17"/>
    </row>
    <row r="737" spans="1:12">
      <c r="A737" s="37"/>
      <c r="B737" s="36">
        <v>5</v>
      </c>
      <c r="C737" s="19" t="s">
        <v>222</v>
      </c>
      <c r="D737" s="20">
        <v>0</v>
      </c>
      <c r="E737" s="21">
        <v>1</v>
      </c>
      <c r="F737" s="20">
        <f t="shared" si="76"/>
        <v>0</v>
      </c>
      <c r="G737" s="69">
        <v>12507</v>
      </c>
      <c r="H737" s="20">
        <f t="shared" si="77"/>
        <v>0</v>
      </c>
      <c r="I737" s="2"/>
      <c r="J737" s="17"/>
      <c r="K737" s="17"/>
      <c r="L737" s="17"/>
    </row>
    <row r="738" spans="1:12">
      <c r="A738" s="37"/>
      <c r="B738" s="36">
        <v>6</v>
      </c>
      <c r="C738" s="19" t="s">
        <v>360</v>
      </c>
      <c r="D738" s="20">
        <v>0</v>
      </c>
      <c r="E738" s="21">
        <v>1</v>
      </c>
      <c r="F738" s="20">
        <f t="shared" si="76"/>
        <v>0</v>
      </c>
      <c r="G738" s="69">
        <v>31769</v>
      </c>
      <c r="H738" s="20">
        <f t="shared" si="77"/>
        <v>0</v>
      </c>
      <c r="I738" s="2"/>
      <c r="J738" s="17"/>
      <c r="K738" s="17"/>
      <c r="L738" s="17"/>
    </row>
    <row r="739" spans="1:12">
      <c r="A739" s="37"/>
      <c r="B739" s="36">
        <v>7</v>
      </c>
      <c r="C739" s="19"/>
      <c r="D739" s="20">
        <v>0</v>
      </c>
      <c r="E739" s="21">
        <v>1</v>
      </c>
      <c r="F739" s="20">
        <f t="shared" si="76"/>
        <v>0</v>
      </c>
      <c r="G739" s="21">
        <v>107</v>
      </c>
      <c r="H739" s="20">
        <f t="shared" si="77"/>
        <v>0</v>
      </c>
      <c r="I739" s="2"/>
      <c r="J739" s="17"/>
      <c r="K739" s="17"/>
      <c r="L739" s="17"/>
    </row>
    <row r="740" spans="1:12">
      <c r="A740" s="37"/>
      <c r="B740" s="36">
        <v>8</v>
      </c>
      <c r="C740" s="19"/>
      <c r="D740" s="20">
        <v>0</v>
      </c>
      <c r="E740" s="21">
        <v>1</v>
      </c>
      <c r="F740" s="20">
        <f t="shared" si="76"/>
        <v>0</v>
      </c>
      <c r="G740" s="21">
        <v>108</v>
      </c>
      <c r="H740" s="20">
        <f t="shared" si="77"/>
        <v>0</v>
      </c>
      <c r="I740" s="2"/>
      <c r="J740" s="17"/>
      <c r="K740" s="17"/>
      <c r="L740" s="17"/>
    </row>
    <row r="741" spans="1:12">
      <c r="A741" s="37"/>
      <c r="B741" s="36">
        <v>9</v>
      </c>
      <c r="C741" s="19"/>
      <c r="D741" s="20">
        <v>0</v>
      </c>
      <c r="E741" s="21">
        <v>1</v>
      </c>
      <c r="F741" s="20">
        <f>D741*E741</f>
        <v>0</v>
      </c>
      <c r="G741" s="21">
        <v>102</v>
      </c>
      <c r="H741" s="20">
        <f>F741*G741</f>
        <v>0</v>
      </c>
      <c r="I741" s="2"/>
      <c r="J741" s="17"/>
      <c r="K741" s="17"/>
      <c r="L741" s="17"/>
    </row>
    <row r="742" spans="1:12">
      <c r="A742" s="37"/>
      <c r="B742" s="36"/>
      <c r="C742" s="14" t="s">
        <v>532</v>
      </c>
      <c r="D742" s="20"/>
      <c r="F742" s="20"/>
      <c r="H742" s="25">
        <f>SUM(H733:H741)</f>
        <v>0</v>
      </c>
      <c r="I742" s="2"/>
      <c r="J742" s="17"/>
      <c r="K742" s="17"/>
      <c r="L742" s="17"/>
    </row>
    <row r="743" spans="1:12">
      <c r="A743" s="37"/>
      <c r="B743" s="36"/>
      <c r="C743" s="14"/>
      <c r="D743" s="20"/>
      <c r="F743" s="20"/>
      <c r="H743" s="25"/>
      <c r="I743" s="2"/>
      <c r="J743" s="17"/>
      <c r="K743" s="17"/>
      <c r="L743" s="17"/>
    </row>
    <row r="744" spans="1:12">
      <c r="A744" s="37"/>
      <c r="B744" s="38"/>
      <c r="C744" s="14" t="s">
        <v>533</v>
      </c>
      <c r="D744" s="20"/>
      <c r="F744" s="20"/>
      <c r="H744" s="20"/>
      <c r="I744" s="2"/>
      <c r="J744" s="17"/>
      <c r="K744" s="17"/>
      <c r="L744" s="17"/>
    </row>
    <row r="745" spans="1:12">
      <c r="A745" s="37"/>
      <c r="B745" s="36">
        <v>1</v>
      </c>
      <c r="C745" s="19" t="s">
        <v>361</v>
      </c>
      <c r="D745" s="20">
        <v>0</v>
      </c>
      <c r="E745" s="21">
        <v>1</v>
      </c>
      <c r="F745" s="20">
        <f>D745*E745</f>
        <v>0</v>
      </c>
      <c r="G745" s="21">
        <v>576900</v>
      </c>
      <c r="H745" s="20">
        <f>F745*G745</f>
        <v>0</v>
      </c>
      <c r="I745" s="2"/>
      <c r="J745" s="17"/>
      <c r="K745" s="17"/>
      <c r="L745" s="17"/>
    </row>
    <row r="746" spans="1:12">
      <c r="A746" s="37"/>
      <c r="B746" s="36">
        <v>2</v>
      </c>
      <c r="C746" s="19" t="s">
        <v>534</v>
      </c>
      <c r="D746" s="20">
        <v>0</v>
      </c>
      <c r="E746" s="21">
        <v>0.8</v>
      </c>
      <c r="F746" s="20">
        <f t="shared" ref="F746:F751" si="78">D746*E746</f>
        <v>0</v>
      </c>
      <c r="G746" s="21">
        <v>212500</v>
      </c>
      <c r="H746" s="20">
        <f t="shared" ref="H746:H751" si="79">F746*G746</f>
        <v>0</v>
      </c>
      <c r="I746" s="2"/>
      <c r="J746" s="17"/>
      <c r="K746" s="17"/>
      <c r="L746" s="17"/>
    </row>
    <row r="747" spans="1:12">
      <c r="A747" s="37"/>
      <c r="B747" s="36">
        <v>3</v>
      </c>
      <c r="C747" s="19" t="s">
        <v>76</v>
      </c>
      <c r="D747" s="20">
        <v>0</v>
      </c>
      <c r="E747" s="21">
        <v>1</v>
      </c>
      <c r="F747" s="20">
        <f t="shared" si="78"/>
        <v>0</v>
      </c>
      <c r="G747" s="21">
        <v>30770</v>
      </c>
      <c r="H747" s="20">
        <f t="shared" si="79"/>
        <v>0</v>
      </c>
      <c r="I747" s="2"/>
      <c r="J747" s="17"/>
      <c r="K747" s="17"/>
      <c r="L747" s="17"/>
    </row>
    <row r="748" spans="1:12">
      <c r="A748" s="37"/>
      <c r="B748" s="36">
        <v>4</v>
      </c>
      <c r="C748" s="19" t="s">
        <v>364</v>
      </c>
      <c r="D748" s="20">
        <v>0</v>
      </c>
      <c r="E748" s="21">
        <v>1</v>
      </c>
      <c r="F748" s="20">
        <f t="shared" si="78"/>
        <v>0</v>
      </c>
      <c r="G748" s="21">
        <v>30770</v>
      </c>
      <c r="H748" s="20">
        <f t="shared" si="79"/>
        <v>0</v>
      </c>
      <c r="I748" s="2"/>
      <c r="J748" s="17"/>
      <c r="K748" s="17"/>
      <c r="L748" s="17"/>
    </row>
    <row r="749" spans="1:12">
      <c r="A749" s="37"/>
      <c r="B749" s="36">
        <v>5</v>
      </c>
      <c r="C749" s="19" t="s">
        <v>362</v>
      </c>
      <c r="D749" s="20">
        <v>0</v>
      </c>
      <c r="E749" s="21">
        <v>1</v>
      </c>
      <c r="F749" s="20">
        <f t="shared" si="78"/>
        <v>0</v>
      </c>
      <c r="G749" s="21">
        <v>30770</v>
      </c>
      <c r="H749" s="20">
        <f t="shared" si="79"/>
        <v>0</v>
      </c>
      <c r="I749" s="2"/>
      <c r="J749" s="17"/>
      <c r="K749" s="17"/>
      <c r="L749" s="17"/>
    </row>
    <row r="750" spans="1:12">
      <c r="A750" s="37"/>
      <c r="B750" s="36">
        <v>6</v>
      </c>
      <c r="C750" s="19" t="s">
        <v>510</v>
      </c>
      <c r="D750" s="20">
        <v>0</v>
      </c>
      <c r="E750" s="21">
        <v>1</v>
      </c>
      <c r="F750" s="20">
        <f t="shared" si="78"/>
        <v>0</v>
      </c>
      <c r="G750" s="21">
        <v>30770</v>
      </c>
      <c r="H750" s="20">
        <f t="shared" si="79"/>
        <v>0</v>
      </c>
      <c r="I750" s="2"/>
      <c r="J750" s="17"/>
      <c r="K750" s="17"/>
      <c r="L750" s="17"/>
    </row>
    <row r="751" spans="1:12">
      <c r="A751" s="37"/>
      <c r="B751" s="36">
        <v>7</v>
      </c>
      <c r="C751" s="19"/>
      <c r="D751" s="20">
        <v>0</v>
      </c>
      <c r="E751" s="21">
        <v>1</v>
      </c>
      <c r="F751" s="20">
        <f t="shared" si="78"/>
        <v>0</v>
      </c>
      <c r="G751" s="21">
        <v>109</v>
      </c>
      <c r="H751" s="20">
        <f t="shared" si="79"/>
        <v>0</v>
      </c>
      <c r="I751" s="2"/>
      <c r="J751" s="17"/>
      <c r="K751" s="17"/>
      <c r="L751" s="17"/>
    </row>
    <row r="752" spans="1:12">
      <c r="A752" s="37"/>
      <c r="B752" s="36">
        <v>8</v>
      </c>
      <c r="C752" s="19"/>
      <c r="D752" s="20">
        <v>0</v>
      </c>
      <c r="E752" s="21">
        <v>1</v>
      </c>
      <c r="F752" s="20">
        <f>D752*E752</f>
        <v>0</v>
      </c>
      <c r="G752" s="21">
        <v>102</v>
      </c>
      <c r="H752" s="20">
        <f>F752*G752</f>
        <v>0</v>
      </c>
      <c r="I752" s="2"/>
      <c r="J752" s="17"/>
      <c r="K752" s="17"/>
      <c r="L752" s="17"/>
    </row>
    <row r="753" spans="1:12">
      <c r="A753" s="37"/>
      <c r="B753" s="36"/>
      <c r="C753" s="14" t="s">
        <v>535</v>
      </c>
      <c r="D753" s="20"/>
      <c r="F753" s="20"/>
      <c r="H753" s="25">
        <f>SUM(H745:H752)</f>
        <v>0</v>
      </c>
      <c r="I753" s="2"/>
      <c r="J753" s="17"/>
      <c r="K753" s="17"/>
      <c r="L753" s="17"/>
    </row>
    <row r="754" spans="1:12">
      <c r="A754" s="37"/>
      <c r="B754" s="36"/>
      <c r="C754" s="14"/>
      <c r="D754" s="20"/>
      <c r="F754" s="20"/>
      <c r="H754" s="25"/>
      <c r="I754" s="2"/>
      <c r="J754" s="17"/>
      <c r="K754" s="17"/>
      <c r="L754" s="17"/>
    </row>
    <row r="755" spans="1:12">
      <c r="A755" s="37"/>
      <c r="B755" s="38"/>
      <c r="C755" s="14" t="s">
        <v>536</v>
      </c>
      <c r="D755" s="20"/>
      <c r="F755" s="20"/>
      <c r="H755" s="25">
        <f>H676+H685+H694+H704+H720+H730+H742+H753</f>
        <v>0</v>
      </c>
      <c r="I755" s="2"/>
      <c r="J755" s="17"/>
      <c r="K755" s="17"/>
      <c r="L755" s="17"/>
    </row>
    <row r="756" spans="1:12">
      <c r="A756" s="37"/>
      <c r="B756" s="38"/>
      <c r="C756" s="14"/>
      <c r="D756" s="20"/>
      <c r="F756" s="20"/>
      <c r="H756" s="20"/>
      <c r="I756" s="2"/>
      <c r="J756" s="17"/>
      <c r="K756" s="17"/>
      <c r="L756" s="17"/>
    </row>
    <row r="757" spans="1:12" s="2" customFormat="1">
      <c r="A757" s="32"/>
      <c r="B757" s="33"/>
      <c r="C757" s="14"/>
      <c r="D757" s="20"/>
      <c r="E757" s="21"/>
      <c r="F757" s="20"/>
      <c r="G757" s="21"/>
      <c r="H757" s="20"/>
      <c r="J757" s="17"/>
      <c r="K757" s="17"/>
      <c r="L757" s="17"/>
    </row>
    <row r="758" spans="1:12" ht="17.5" customHeight="1">
      <c r="A758" s="183" t="s">
        <v>537</v>
      </c>
      <c r="B758" s="42" t="s">
        <v>538</v>
      </c>
      <c r="C758" s="14" t="s">
        <v>539</v>
      </c>
      <c r="D758" s="20"/>
      <c r="F758" s="20"/>
      <c r="H758" s="20"/>
      <c r="I758" s="2"/>
      <c r="J758" s="17"/>
      <c r="K758" s="17"/>
      <c r="L758" s="17"/>
    </row>
    <row r="759" spans="1:12" ht="17.5" customHeight="1">
      <c r="A759" s="183"/>
      <c r="B759" s="43">
        <v>1</v>
      </c>
      <c r="C759" s="19"/>
      <c r="D759" s="20">
        <v>0</v>
      </c>
      <c r="E759" s="21">
        <v>1</v>
      </c>
      <c r="F759" s="20">
        <f>D759*E759</f>
        <v>0</v>
      </c>
      <c r="G759" s="21">
        <v>101</v>
      </c>
      <c r="H759" s="20">
        <f>F759*G759</f>
        <v>0</v>
      </c>
      <c r="I759" s="2"/>
      <c r="J759" s="17"/>
      <c r="K759" s="17"/>
      <c r="L759" s="17"/>
    </row>
    <row r="760" spans="1:12">
      <c r="A760" s="44"/>
      <c r="B760" s="43">
        <v>2</v>
      </c>
      <c r="C760" s="19"/>
      <c r="D760" s="20">
        <v>0</v>
      </c>
      <c r="E760" s="21">
        <v>1</v>
      </c>
      <c r="F760" s="20">
        <f>D760*E760</f>
        <v>0</v>
      </c>
      <c r="G760" s="21">
        <v>102</v>
      </c>
      <c r="H760" s="20">
        <f>F760*G760</f>
        <v>0</v>
      </c>
      <c r="I760" s="2"/>
      <c r="J760" s="17"/>
      <c r="K760" s="17"/>
      <c r="L760" s="17"/>
    </row>
    <row r="761" spans="1:12">
      <c r="A761" s="44"/>
      <c r="B761" s="43"/>
      <c r="C761" s="14" t="s">
        <v>540</v>
      </c>
      <c r="D761" s="20"/>
      <c r="F761" s="20"/>
      <c r="H761" s="25">
        <f>SUM(H759:H760)</f>
        <v>0</v>
      </c>
      <c r="I761" s="2"/>
      <c r="J761" s="17"/>
      <c r="K761" s="17"/>
      <c r="L761" s="17"/>
    </row>
    <row r="762" spans="1:12">
      <c r="A762" s="44"/>
      <c r="B762" s="42"/>
      <c r="C762" s="14"/>
      <c r="D762" s="20"/>
      <c r="F762" s="20"/>
      <c r="H762" s="20"/>
      <c r="I762" s="2"/>
      <c r="J762" s="17"/>
      <c r="K762" s="17"/>
      <c r="L762" s="17"/>
    </row>
    <row r="763" spans="1:12">
      <c r="A763" s="45"/>
      <c r="B763" s="46"/>
      <c r="C763" s="14" t="s">
        <v>541</v>
      </c>
      <c r="D763" s="20"/>
      <c r="F763" s="20"/>
      <c r="H763" s="20"/>
      <c r="I763" s="2"/>
      <c r="J763" s="17"/>
      <c r="K763" s="17"/>
      <c r="L763" s="17"/>
    </row>
    <row r="764" spans="1:12">
      <c r="A764" s="45"/>
      <c r="B764" s="43">
        <v>1</v>
      </c>
      <c r="C764" s="19"/>
      <c r="D764" s="20">
        <v>0</v>
      </c>
      <c r="E764" s="21">
        <v>1</v>
      </c>
      <c r="F764" s="20">
        <f>D764*E764</f>
        <v>0</v>
      </c>
      <c r="G764" s="21">
        <v>101</v>
      </c>
      <c r="H764" s="20">
        <f>F764*G764</f>
        <v>0</v>
      </c>
      <c r="I764" s="2"/>
      <c r="J764" s="17"/>
      <c r="K764" s="17"/>
      <c r="L764" s="17"/>
    </row>
    <row r="765" spans="1:12">
      <c r="A765" s="45"/>
      <c r="B765" s="43">
        <v>2</v>
      </c>
      <c r="C765" s="19"/>
      <c r="D765" s="20">
        <v>0</v>
      </c>
      <c r="E765" s="21">
        <v>1</v>
      </c>
      <c r="F765" s="20">
        <f>D765*E765</f>
        <v>0</v>
      </c>
      <c r="G765" s="21">
        <v>102</v>
      </c>
      <c r="H765" s="20">
        <f>F765*G765</f>
        <v>0</v>
      </c>
      <c r="I765" s="2"/>
      <c r="J765" s="17"/>
      <c r="K765" s="17"/>
      <c r="L765" s="17"/>
    </row>
    <row r="766" spans="1:12">
      <c r="A766" s="45"/>
      <c r="B766" s="43"/>
      <c r="C766" s="14" t="s">
        <v>542</v>
      </c>
      <c r="D766" s="20"/>
      <c r="F766" s="20"/>
      <c r="H766" s="25">
        <f>SUM(H764:H765)</f>
        <v>0</v>
      </c>
      <c r="I766" s="2"/>
      <c r="J766" s="17"/>
      <c r="K766" s="17"/>
      <c r="L766" s="17"/>
    </row>
    <row r="767" spans="1:12">
      <c r="A767" s="45"/>
      <c r="B767" s="46"/>
      <c r="C767" s="14"/>
      <c r="D767" s="20"/>
      <c r="F767" s="20"/>
      <c r="H767" s="20"/>
      <c r="I767" s="2"/>
      <c r="J767" s="17"/>
      <c r="K767" s="17"/>
      <c r="L767" s="17"/>
    </row>
    <row r="768" spans="1:12">
      <c r="A768" s="45"/>
      <c r="B768" s="46"/>
      <c r="C768" s="14" t="s">
        <v>543</v>
      </c>
      <c r="D768" s="20"/>
      <c r="F768" s="20"/>
      <c r="H768" s="20"/>
      <c r="I768" s="2"/>
      <c r="J768" s="17"/>
      <c r="K768" s="17"/>
      <c r="L768" s="17"/>
    </row>
    <row r="769" spans="1:12">
      <c r="A769" s="45"/>
      <c r="B769" s="43">
        <v>1</v>
      </c>
      <c r="C769" s="19"/>
      <c r="D769" s="20">
        <v>0</v>
      </c>
      <c r="E769" s="21">
        <v>1</v>
      </c>
      <c r="F769" s="20">
        <f>D769*E769</f>
        <v>0</v>
      </c>
      <c r="G769" s="21">
        <v>101</v>
      </c>
      <c r="H769" s="20">
        <f>F769*G769</f>
        <v>0</v>
      </c>
      <c r="I769" s="2"/>
      <c r="J769" s="17"/>
      <c r="K769" s="17"/>
      <c r="L769" s="17"/>
    </row>
    <row r="770" spans="1:12">
      <c r="A770" s="45"/>
      <c r="B770" s="43">
        <v>2</v>
      </c>
      <c r="C770" s="19"/>
      <c r="D770" s="20">
        <v>0</v>
      </c>
      <c r="E770" s="21">
        <v>1</v>
      </c>
      <c r="F770" s="20">
        <f>D770*E770</f>
        <v>0</v>
      </c>
      <c r="G770" s="21">
        <v>102</v>
      </c>
      <c r="H770" s="20">
        <f>F770*G770</f>
        <v>0</v>
      </c>
      <c r="I770" s="2"/>
      <c r="J770" s="17"/>
      <c r="K770" s="17"/>
      <c r="L770" s="17"/>
    </row>
    <row r="771" spans="1:12">
      <c r="A771" s="45"/>
      <c r="B771" s="43"/>
      <c r="C771" s="14" t="s">
        <v>544</v>
      </c>
      <c r="D771" s="20"/>
      <c r="F771" s="20"/>
      <c r="H771" s="25">
        <f>SUM(H769:H770)</f>
        <v>0</v>
      </c>
      <c r="I771" s="2"/>
      <c r="J771" s="17"/>
      <c r="K771" s="17"/>
      <c r="L771" s="17"/>
    </row>
    <row r="772" spans="1:12">
      <c r="A772" s="45"/>
      <c r="B772" s="46"/>
      <c r="C772" s="14"/>
      <c r="D772" s="20"/>
      <c r="F772" s="20"/>
      <c r="H772" s="20"/>
      <c r="I772" s="2"/>
      <c r="J772" s="17"/>
      <c r="K772" s="17"/>
      <c r="L772" s="17"/>
    </row>
    <row r="773" spans="1:12">
      <c r="A773" s="45"/>
      <c r="B773" s="46"/>
      <c r="C773" s="14" t="s">
        <v>545</v>
      </c>
      <c r="D773" s="20"/>
      <c r="F773" s="20"/>
      <c r="H773" s="20"/>
      <c r="I773" s="2"/>
      <c r="J773" s="17"/>
      <c r="K773" s="17"/>
      <c r="L773" s="17"/>
    </row>
    <row r="774" spans="1:12">
      <c r="A774" s="45"/>
      <c r="B774" s="43">
        <v>1</v>
      </c>
      <c r="C774" s="19"/>
      <c r="D774" s="20">
        <v>0</v>
      </c>
      <c r="E774" s="21">
        <v>1</v>
      </c>
      <c r="F774" s="20">
        <f>D774*E774</f>
        <v>0</v>
      </c>
      <c r="G774" s="21">
        <v>101</v>
      </c>
      <c r="H774" s="20">
        <f>F774*G774</f>
        <v>0</v>
      </c>
      <c r="I774" s="2"/>
      <c r="J774" s="17"/>
      <c r="K774" s="17"/>
      <c r="L774" s="17"/>
    </row>
    <row r="775" spans="1:12">
      <c r="A775" s="45"/>
      <c r="B775" s="43">
        <v>2</v>
      </c>
      <c r="C775" s="19"/>
      <c r="D775" s="20">
        <v>0</v>
      </c>
      <c r="E775" s="21">
        <v>1</v>
      </c>
      <c r="F775" s="20">
        <f>D775*E775</f>
        <v>0</v>
      </c>
      <c r="G775" s="21">
        <v>102</v>
      </c>
      <c r="H775" s="20">
        <f>F775*G775</f>
        <v>0</v>
      </c>
      <c r="I775" s="2"/>
      <c r="J775" s="17"/>
      <c r="K775" s="17"/>
      <c r="L775" s="17"/>
    </row>
    <row r="776" spans="1:12">
      <c r="A776" s="45"/>
      <c r="B776" s="43"/>
      <c r="C776" s="14" t="s">
        <v>546</v>
      </c>
      <c r="D776" s="20"/>
      <c r="F776" s="20"/>
      <c r="H776" s="25">
        <f>SUM(H774:H775)</f>
        <v>0</v>
      </c>
      <c r="I776" s="2"/>
      <c r="J776" s="17"/>
      <c r="K776" s="17"/>
      <c r="L776" s="17"/>
    </row>
    <row r="777" spans="1:12">
      <c r="A777" s="45"/>
      <c r="B777" s="46"/>
      <c r="C777" s="14"/>
      <c r="D777" s="20"/>
      <c r="F777" s="20"/>
      <c r="H777" s="20"/>
      <c r="I777" s="2"/>
      <c r="J777" s="17"/>
      <c r="K777" s="17"/>
      <c r="L777" s="17"/>
    </row>
    <row r="778" spans="1:12">
      <c r="A778" s="45"/>
      <c r="B778" s="46"/>
      <c r="C778" s="14" t="s">
        <v>547</v>
      </c>
      <c r="D778" s="20"/>
      <c r="F778" s="20"/>
      <c r="H778" s="20"/>
      <c r="I778" s="2"/>
      <c r="J778" s="17"/>
      <c r="K778" s="17"/>
      <c r="L778" s="17"/>
    </row>
    <row r="779" spans="1:12">
      <c r="A779" s="45"/>
      <c r="B779" s="43">
        <v>1</v>
      </c>
      <c r="C779" s="19"/>
      <c r="D779" s="20">
        <v>0</v>
      </c>
      <c r="E779" s="21">
        <v>1</v>
      </c>
      <c r="F779" s="20">
        <f>D779*E779</f>
        <v>0</v>
      </c>
      <c r="G779" s="21">
        <v>101</v>
      </c>
      <c r="H779" s="20">
        <f>F779*G779</f>
        <v>0</v>
      </c>
      <c r="I779" s="2"/>
      <c r="J779" s="17"/>
      <c r="K779" s="17"/>
      <c r="L779" s="17"/>
    </row>
    <row r="780" spans="1:12">
      <c r="A780" s="45"/>
      <c r="B780" s="43">
        <v>2</v>
      </c>
      <c r="C780" s="19"/>
      <c r="D780" s="20">
        <v>0</v>
      </c>
      <c r="E780" s="21">
        <v>1</v>
      </c>
      <c r="F780" s="20">
        <f>D780*E780</f>
        <v>0</v>
      </c>
      <c r="G780" s="21">
        <v>102</v>
      </c>
      <c r="H780" s="20">
        <f>F780*G780</f>
        <v>0</v>
      </c>
      <c r="I780" s="2"/>
      <c r="J780" s="17"/>
      <c r="K780" s="17"/>
      <c r="L780" s="17"/>
    </row>
    <row r="781" spans="1:12">
      <c r="A781" s="45"/>
      <c r="B781" s="43"/>
      <c r="C781" s="14" t="s">
        <v>548</v>
      </c>
      <c r="D781" s="20"/>
      <c r="F781" s="20"/>
      <c r="H781" s="25">
        <f>SUM(H779:H780)</f>
        <v>0</v>
      </c>
      <c r="I781" s="2"/>
      <c r="J781" s="17"/>
      <c r="K781" s="17"/>
      <c r="L781" s="17"/>
    </row>
    <row r="782" spans="1:12">
      <c r="A782" s="45"/>
      <c r="B782" s="46"/>
      <c r="C782" s="14"/>
      <c r="D782" s="20"/>
      <c r="F782" s="20"/>
      <c r="H782" s="20"/>
      <c r="I782" s="2"/>
      <c r="J782" s="17"/>
      <c r="K782" s="17"/>
      <c r="L782" s="17"/>
    </row>
    <row r="783" spans="1:12">
      <c r="A783" s="45"/>
      <c r="B783" s="46"/>
      <c r="C783" s="14" t="s">
        <v>549</v>
      </c>
      <c r="D783" s="20"/>
      <c r="F783" s="20"/>
      <c r="H783" s="20"/>
      <c r="I783" s="2"/>
      <c r="J783" s="17"/>
      <c r="K783" s="17"/>
      <c r="L783" s="17"/>
    </row>
    <row r="784" spans="1:12">
      <c r="A784" s="45"/>
      <c r="B784" s="43">
        <v>1</v>
      </c>
      <c r="C784" s="19"/>
      <c r="D784" s="20">
        <v>0</v>
      </c>
      <c r="E784" s="21">
        <v>1</v>
      </c>
      <c r="F784" s="20">
        <f>D784*E784</f>
        <v>0</v>
      </c>
      <c r="G784" s="21">
        <v>101</v>
      </c>
      <c r="H784" s="20">
        <f>F784*G784</f>
        <v>0</v>
      </c>
      <c r="I784" s="2"/>
      <c r="J784" s="17"/>
      <c r="K784" s="17"/>
      <c r="L784" s="17"/>
    </row>
    <row r="785" spans="1:12">
      <c r="A785" s="45"/>
      <c r="B785" s="43">
        <v>2</v>
      </c>
      <c r="C785" s="19"/>
      <c r="D785" s="20">
        <v>0</v>
      </c>
      <c r="E785" s="21">
        <v>1</v>
      </c>
      <c r="F785" s="20">
        <f>D785*E785</f>
        <v>0</v>
      </c>
      <c r="G785" s="21">
        <v>102</v>
      </c>
      <c r="H785" s="20">
        <f>F785*G785</f>
        <v>0</v>
      </c>
      <c r="I785" s="2"/>
      <c r="J785" s="17"/>
      <c r="K785" s="17"/>
      <c r="L785" s="17"/>
    </row>
    <row r="786" spans="1:12">
      <c r="A786" s="45"/>
      <c r="B786" s="43"/>
      <c r="C786" s="14" t="s">
        <v>550</v>
      </c>
      <c r="D786" s="20"/>
      <c r="F786" s="20"/>
      <c r="H786" s="25">
        <f>SUM(H784:H785)</f>
        <v>0</v>
      </c>
      <c r="I786" s="2"/>
      <c r="J786" s="17"/>
      <c r="K786" s="17"/>
      <c r="L786" s="17"/>
    </row>
    <row r="787" spans="1:12">
      <c r="A787" s="45"/>
      <c r="B787" s="46"/>
      <c r="C787" s="14"/>
      <c r="D787" s="20"/>
      <c r="F787" s="20"/>
      <c r="H787" s="20"/>
      <c r="I787" s="2"/>
      <c r="J787" s="17"/>
      <c r="K787" s="17"/>
      <c r="L787" s="17"/>
    </row>
    <row r="788" spans="1:12">
      <c r="A788" s="45"/>
      <c r="B788" s="46"/>
      <c r="C788" s="14" t="s">
        <v>551</v>
      </c>
      <c r="D788" s="20"/>
      <c r="F788" s="20"/>
      <c r="H788" s="20"/>
      <c r="I788" s="2"/>
      <c r="J788" s="17"/>
      <c r="K788" s="17"/>
      <c r="L788" s="17"/>
    </row>
    <row r="789" spans="1:12">
      <c r="A789" s="45"/>
      <c r="B789" s="43">
        <v>1</v>
      </c>
      <c r="C789" s="19"/>
      <c r="D789" s="20">
        <v>0</v>
      </c>
      <c r="E789" s="21">
        <v>1</v>
      </c>
      <c r="F789" s="20">
        <f>D789*E789</f>
        <v>0</v>
      </c>
      <c r="G789" s="21">
        <v>101</v>
      </c>
      <c r="H789" s="20">
        <f>F789*G789</f>
        <v>0</v>
      </c>
      <c r="I789" s="2"/>
      <c r="J789" s="17"/>
      <c r="K789" s="17"/>
      <c r="L789" s="17"/>
    </row>
    <row r="790" spans="1:12">
      <c r="A790" s="45"/>
      <c r="B790" s="43">
        <v>2</v>
      </c>
      <c r="C790" s="19"/>
      <c r="D790" s="20">
        <v>0</v>
      </c>
      <c r="E790" s="21">
        <v>1</v>
      </c>
      <c r="F790" s="20">
        <f>D790*E790</f>
        <v>0</v>
      </c>
      <c r="G790" s="21">
        <v>102</v>
      </c>
      <c r="H790" s="20">
        <f>F790*G790</f>
        <v>0</v>
      </c>
      <c r="I790" s="2"/>
      <c r="J790" s="17"/>
      <c r="K790" s="17"/>
      <c r="L790" s="17"/>
    </row>
    <row r="791" spans="1:12">
      <c r="A791" s="45"/>
      <c r="B791" s="43"/>
      <c r="C791" s="14" t="s">
        <v>552</v>
      </c>
      <c r="D791" s="20"/>
      <c r="F791" s="20"/>
      <c r="H791" s="25">
        <f>SUM(H789:H790)</f>
        <v>0</v>
      </c>
      <c r="I791" s="2"/>
      <c r="J791" s="17"/>
      <c r="K791" s="17"/>
      <c r="L791" s="17"/>
    </row>
    <row r="792" spans="1:12">
      <c r="A792" s="45"/>
      <c r="B792" s="43"/>
      <c r="C792" s="14"/>
      <c r="D792" s="20"/>
      <c r="F792" s="20"/>
      <c r="H792" s="25"/>
      <c r="I792" s="2"/>
      <c r="J792" s="17"/>
      <c r="K792" s="17"/>
      <c r="L792" s="17"/>
    </row>
    <row r="793" spans="1:12">
      <c r="A793" s="45"/>
      <c r="B793" s="46"/>
      <c r="C793" s="14" t="s">
        <v>553</v>
      </c>
      <c r="D793" s="20"/>
      <c r="F793" s="20"/>
      <c r="H793" s="20"/>
      <c r="I793" s="2"/>
      <c r="J793" s="17"/>
      <c r="K793" s="17"/>
      <c r="L793" s="17"/>
    </row>
    <row r="794" spans="1:12">
      <c r="A794" s="45"/>
      <c r="B794" s="43">
        <v>1</v>
      </c>
      <c r="C794" s="19" t="s">
        <v>76</v>
      </c>
      <c r="D794" s="20">
        <v>4</v>
      </c>
      <c r="E794" s="21">
        <v>1</v>
      </c>
      <c r="F794" s="20">
        <f>D794*E794</f>
        <v>4</v>
      </c>
      <c r="G794" s="21">
        <v>23079</v>
      </c>
      <c r="H794" s="20">
        <f>F794*G794</f>
        <v>92316</v>
      </c>
      <c r="I794" s="2"/>
      <c r="J794" s="17"/>
      <c r="K794" s="17"/>
      <c r="L794" s="17"/>
    </row>
    <row r="795" spans="1:12">
      <c r="A795" s="45"/>
      <c r="B795" s="43">
        <v>2</v>
      </c>
      <c r="C795" s="19" t="s">
        <v>77</v>
      </c>
      <c r="D795" s="20">
        <v>4</v>
      </c>
      <c r="E795" s="21">
        <v>1</v>
      </c>
      <c r="F795" s="20">
        <f>D795*E795</f>
        <v>4</v>
      </c>
      <c r="G795" s="21">
        <v>23079</v>
      </c>
      <c r="H795" s="20">
        <f>F795*G795</f>
        <v>92316</v>
      </c>
      <c r="I795" s="2"/>
      <c r="J795" s="17"/>
      <c r="K795" s="17"/>
      <c r="L795" s="17"/>
    </row>
    <row r="796" spans="1:12">
      <c r="A796" s="45"/>
      <c r="B796" s="43">
        <v>3</v>
      </c>
      <c r="C796" s="19"/>
      <c r="D796" s="20">
        <v>0</v>
      </c>
      <c r="E796" s="21">
        <v>1</v>
      </c>
      <c r="F796" s="20">
        <f t="shared" ref="F796:F802" si="80">D796*E796</f>
        <v>0</v>
      </c>
      <c r="G796" s="21">
        <v>0</v>
      </c>
      <c r="H796" s="20">
        <f t="shared" ref="H796:H802" si="81">F796*G796</f>
        <v>0</v>
      </c>
      <c r="I796" s="2"/>
      <c r="J796" s="17"/>
      <c r="K796" s="17"/>
      <c r="L796" s="17"/>
    </row>
    <row r="797" spans="1:12">
      <c r="A797" s="45"/>
      <c r="B797" s="43">
        <v>4</v>
      </c>
      <c r="C797" s="19"/>
      <c r="D797" s="20">
        <v>0</v>
      </c>
      <c r="E797" s="21">
        <v>1</v>
      </c>
      <c r="F797" s="20">
        <f t="shared" si="80"/>
        <v>0</v>
      </c>
      <c r="G797" s="21">
        <v>0</v>
      </c>
      <c r="H797" s="20">
        <f t="shared" si="81"/>
        <v>0</v>
      </c>
      <c r="I797" s="2"/>
      <c r="J797" s="17"/>
      <c r="K797" s="17"/>
      <c r="L797" s="17"/>
    </row>
    <row r="798" spans="1:12">
      <c r="A798" s="45"/>
      <c r="B798" s="43">
        <v>5</v>
      </c>
      <c r="C798" s="19"/>
      <c r="D798" s="20">
        <v>0</v>
      </c>
      <c r="E798" s="21">
        <v>1</v>
      </c>
      <c r="F798" s="20">
        <f t="shared" si="80"/>
        <v>0</v>
      </c>
      <c r="G798" s="21">
        <v>0</v>
      </c>
      <c r="H798" s="20">
        <f t="shared" si="81"/>
        <v>0</v>
      </c>
      <c r="I798" s="2"/>
      <c r="J798" s="17"/>
      <c r="K798" s="17"/>
      <c r="L798" s="17"/>
    </row>
    <row r="799" spans="1:12">
      <c r="A799" s="45"/>
      <c r="B799" s="43">
        <v>6</v>
      </c>
      <c r="C799" s="19"/>
      <c r="D799" s="20">
        <v>0</v>
      </c>
      <c r="E799" s="21">
        <v>1</v>
      </c>
      <c r="F799" s="20">
        <f t="shared" si="80"/>
        <v>0</v>
      </c>
      <c r="G799" s="21">
        <v>0</v>
      </c>
      <c r="H799" s="20">
        <f t="shared" si="81"/>
        <v>0</v>
      </c>
      <c r="I799" s="2"/>
      <c r="J799" s="17"/>
      <c r="K799" s="17"/>
      <c r="L799" s="17"/>
    </row>
    <row r="800" spans="1:12">
      <c r="A800" s="45"/>
      <c r="B800" s="43">
        <v>7</v>
      </c>
      <c r="C800" s="19"/>
      <c r="D800" s="20">
        <v>0</v>
      </c>
      <c r="E800" s="21">
        <v>1</v>
      </c>
      <c r="F800" s="20">
        <f t="shared" si="80"/>
        <v>0</v>
      </c>
      <c r="G800" s="21">
        <v>0</v>
      </c>
      <c r="H800" s="20">
        <f t="shared" si="81"/>
        <v>0</v>
      </c>
      <c r="I800" s="2"/>
      <c r="J800" s="17"/>
      <c r="K800" s="17"/>
      <c r="L800" s="17"/>
    </row>
    <row r="801" spans="1:12">
      <c r="A801" s="45"/>
      <c r="B801" s="43">
        <v>8</v>
      </c>
      <c r="C801" s="19"/>
      <c r="D801" s="20">
        <v>0</v>
      </c>
      <c r="E801" s="21">
        <v>1</v>
      </c>
      <c r="F801" s="20">
        <f t="shared" si="80"/>
        <v>0</v>
      </c>
      <c r="G801" s="21">
        <v>0</v>
      </c>
      <c r="H801" s="20">
        <f t="shared" si="81"/>
        <v>0</v>
      </c>
      <c r="I801" s="2"/>
      <c r="J801" s="17"/>
      <c r="K801" s="17"/>
      <c r="L801" s="17"/>
    </row>
    <row r="802" spans="1:12">
      <c r="A802" s="45"/>
      <c r="B802" s="43">
        <v>9</v>
      </c>
      <c r="C802" s="19"/>
      <c r="D802" s="20">
        <v>0</v>
      </c>
      <c r="E802" s="21">
        <v>1</v>
      </c>
      <c r="F802" s="20">
        <f t="shared" si="80"/>
        <v>0</v>
      </c>
      <c r="G802" s="21">
        <v>0</v>
      </c>
      <c r="H802" s="20">
        <f t="shared" si="81"/>
        <v>0</v>
      </c>
      <c r="I802" s="2"/>
      <c r="J802" s="17"/>
      <c r="K802" s="17"/>
      <c r="L802" s="17"/>
    </row>
    <row r="803" spans="1:12">
      <c r="A803" s="45"/>
      <c r="B803" s="43"/>
      <c r="C803" s="14" t="s">
        <v>554</v>
      </c>
      <c r="D803" s="20"/>
      <c r="F803" s="20"/>
      <c r="H803" s="25">
        <f>SUM(H794:H802)</f>
        <v>184632</v>
      </c>
      <c r="I803" s="2"/>
      <c r="J803" s="17"/>
      <c r="K803" s="17"/>
      <c r="L803" s="17"/>
    </row>
    <row r="804" spans="1:12">
      <c r="A804" s="45"/>
      <c r="B804" s="43"/>
      <c r="C804" s="14"/>
      <c r="D804" s="20"/>
      <c r="F804" s="20"/>
      <c r="H804" s="25"/>
      <c r="I804" s="2"/>
      <c r="J804" s="17"/>
      <c r="K804" s="17"/>
      <c r="L804" s="17"/>
    </row>
    <row r="805" spans="1:12">
      <c r="A805" s="45"/>
      <c r="B805" s="46"/>
      <c r="C805" s="14" t="s">
        <v>555</v>
      </c>
      <c r="D805" s="20"/>
      <c r="F805" s="20"/>
      <c r="H805" s="25">
        <f>H761+H766+H771+H776+H781+H786+H791+H803</f>
        <v>184632</v>
      </c>
      <c r="I805" s="2"/>
      <c r="J805" s="17"/>
      <c r="K805" s="17"/>
      <c r="L805" s="17"/>
    </row>
    <row r="806" spans="1:12">
      <c r="A806" s="45"/>
      <c r="B806" s="46"/>
      <c r="C806" s="14"/>
      <c r="D806" s="20"/>
      <c r="F806" s="20"/>
      <c r="H806" s="20"/>
      <c r="I806" s="2"/>
      <c r="J806" s="17"/>
      <c r="K806" s="17"/>
      <c r="L806" s="17"/>
    </row>
    <row r="807" spans="1:12">
      <c r="A807" s="45"/>
      <c r="B807" s="42" t="s">
        <v>556</v>
      </c>
      <c r="C807" s="14" t="s">
        <v>557</v>
      </c>
      <c r="D807" s="20"/>
      <c r="F807" s="20"/>
      <c r="H807" s="20"/>
      <c r="I807" s="2"/>
      <c r="J807" s="17"/>
      <c r="K807" s="17"/>
      <c r="L807" s="17"/>
    </row>
    <row r="808" spans="1:12">
      <c r="A808" s="45"/>
      <c r="B808" s="43">
        <v>1</v>
      </c>
      <c r="C808" s="19"/>
      <c r="D808" s="20">
        <v>0</v>
      </c>
      <c r="E808" s="21">
        <v>1</v>
      </c>
      <c r="F808" s="20">
        <f>D808*E808</f>
        <v>0</v>
      </c>
      <c r="G808" s="21">
        <v>101</v>
      </c>
      <c r="H808" s="20">
        <f>F808*G808</f>
        <v>0</v>
      </c>
      <c r="I808" s="2"/>
      <c r="J808" s="17"/>
      <c r="K808" s="17"/>
      <c r="L808" s="17"/>
    </row>
    <row r="809" spans="1:12">
      <c r="A809" s="45"/>
      <c r="B809" s="43">
        <v>2</v>
      </c>
      <c r="C809" s="19"/>
      <c r="D809" s="20">
        <v>0</v>
      </c>
      <c r="E809" s="21">
        <v>1</v>
      </c>
      <c r="F809" s="20">
        <f>D809*E809</f>
        <v>0</v>
      </c>
      <c r="G809" s="21">
        <v>102</v>
      </c>
      <c r="H809" s="20">
        <f>F809*G809</f>
        <v>0</v>
      </c>
      <c r="I809" s="2"/>
      <c r="J809" s="17"/>
      <c r="K809" s="17"/>
      <c r="L809" s="17"/>
    </row>
    <row r="810" spans="1:12">
      <c r="A810" s="45"/>
      <c r="B810" s="43"/>
      <c r="C810" s="14" t="s">
        <v>558</v>
      </c>
      <c r="D810" s="20"/>
      <c r="F810" s="20"/>
      <c r="H810" s="25">
        <f>SUM(H808:H809)</f>
        <v>0</v>
      </c>
      <c r="I810" s="2"/>
      <c r="J810" s="17"/>
      <c r="K810" s="17"/>
      <c r="L810" s="17"/>
    </row>
    <row r="811" spans="1:12">
      <c r="A811" s="45"/>
      <c r="B811" s="42"/>
      <c r="C811" s="14"/>
      <c r="D811" s="20"/>
      <c r="F811" s="20"/>
      <c r="H811" s="20"/>
      <c r="I811" s="2"/>
      <c r="J811" s="17"/>
      <c r="K811" s="17"/>
      <c r="L811" s="17"/>
    </row>
    <row r="812" spans="1:12">
      <c r="A812" s="45"/>
      <c r="B812" s="46"/>
      <c r="C812" s="14" t="s">
        <v>559</v>
      </c>
      <c r="D812" s="20"/>
      <c r="F812" s="20"/>
      <c r="H812" s="20"/>
      <c r="I812" s="2"/>
      <c r="J812" s="17"/>
      <c r="K812" s="17"/>
      <c r="L812" s="17"/>
    </row>
    <row r="813" spans="1:12">
      <c r="A813" s="45"/>
      <c r="B813" s="43">
        <v>1</v>
      </c>
      <c r="C813" s="19"/>
      <c r="D813" s="20">
        <v>0</v>
      </c>
      <c r="E813" s="21">
        <v>1</v>
      </c>
      <c r="F813" s="20">
        <f>D813*E813</f>
        <v>0</v>
      </c>
      <c r="G813" s="21">
        <v>101</v>
      </c>
      <c r="H813" s="20">
        <f>F813*G813</f>
        <v>0</v>
      </c>
      <c r="I813" s="2"/>
      <c r="J813" s="17"/>
      <c r="K813" s="17"/>
      <c r="L813" s="17"/>
    </row>
    <row r="814" spans="1:12">
      <c r="A814" s="45"/>
      <c r="B814" s="43">
        <v>2</v>
      </c>
      <c r="C814" s="19"/>
      <c r="D814" s="20">
        <v>0</v>
      </c>
      <c r="E814" s="21">
        <v>1</v>
      </c>
      <c r="F814" s="20">
        <f>D814*E814</f>
        <v>0</v>
      </c>
      <c r="G814" s="21">
        <v>102</v>
      </c>
      <c r="H814" s="20">
        <f>F814*G814</f>
        <v>0</v>
      </c>
      <c r="I814" s="2"/>
      <c r="J814" s="17"/>
      <c r="K814" s="17"/>
      <c r="L814" s="17"/>
    </row>
    <row r="815" spans="1:12">
      <c r="A815" s="45"/>
      <c r="B815" s="43"/>
      <c r="C815" s="14" t="s">
        <v>560</v>
      </c>
      <c r="D815" s="20"/>
      <c r="F815" s="20"/>
      <c r="H815" s="25">
        <f>SUM(H813:H814)</f>
        <v>0</v>
      </c>
      <c r="I815" s="2"/>
      <c r="J815" s="17"/>
      <c r="K815" s="17"/>
      <c r="L815" s="17"/>
    </row>
    <row r="816" spans="1:12">
      <c r="A816" s="45"/>
      <c r="B816" s="46"/>
      <c r="C816" s="14"/>
      <c r="D816" s="20"/>
      <c r="F816" s="20"/>
      <c r="H816" s="20"/>
      <c r="I816" s="2"/>
      <c r="J816" s="17"/>
      <c r="K816" s="17"/>
      <c r="L816" s="17"/>
    </row>
    <row r="817" spans="1:12">
      <c r="A817" s="45"/>
      <c r="B817" s="46"/>
      <c r="C817" s="14" t="s">
        <v>561</v>
      </c>
      <c r="D817" s="20"/>
      <c r="F817" s="20"/>
      <c r="H817" s="20"/>
      <c r="I817" s="2"/>
      <c r="J817" s="17"/>
      <c r="K817" s="17"/>
      <c r="L817" s="17"/>
    </row>
    <row r="818" spans="1:12">
      <c r="A818" s="45"/>
      <c r="B818" s="43">
        <v>1</v>
      </c>
      <c r="C818" s="19"/>
      <c r="D818" s="20">
        <v>0</v>
      </c>
      <c r="E818" s="21">
        <v>1</v>
      </c>
      <c r="F818" s="20">
        <f>D818*E818</f>
        <v>0</v>
      </c>
      <c r="G818" s="21">
        <v>101</v>
      </c>
      <c r="H818" s="20">
        <f>F818*G818</f>
        <v>0</v>
      </c>
      <c r="I818" s="2"/>
      <c r="J818" s="17"/>
      <c r="K818" s="17"/>
      <c r="L818" s="17"/>
    </row>
    <row r="819" spans="1:12">
      <c r="A819" s="45"/>
      <c r="B819" s="43">
        <v>2</v>
      </c>
      <c r="C819" s="19"/>
      <c r="D819" s="20">
        <v>0</v>
      </c>
      <c r="E819" s="21">
        <v>1</v>
      </c>
      <c r="F819" s="20">
        <f>D819*E819</f>
        <v>0</v>
      </c>
      <c r="G819" s="21">
        <v>102</v>
      </c>
      <c r="H819" s="20">
        <f>F819*G819</f>
        <v>0</v>
      </c>
      <c r="I819" s="2"/>
      <c r="J819" s="17"/>
      <c r="K819" s="17"/>
      <c r="L819" s="17"/>
    </row>
    <row r="820" spans="1:12">
      <c r="A820" s="45"/>
      <c r="B820" s="43"/>
      <c r="C820" s="14" t="s">
        <v>562</v>
      </c>
      <c r="D820" s="20"/>
      <c r="F820" s="20"/>
      <c r="H820" s="25">
        <f>SUM(H818:H819)</f>
        <v>0</v>
      </c>
      <c r="I820" s="2"/>
      <c r="J820" s="17"/>
      <c r="K820" s="17"/>
      <c r="L820" s="17"/>
    </row>
    <row r="821" spans="1:12">
      <c r="A821" s="45"/>
      <c r="B821" s="46"/>
      <c r="C821" s="14"/>
      <c r="D821" s="20"/>
      <c r="F821" s="20"/>
      <c r="H821" s="20"/>
      <c r="I821" s="2"/>
      <c r="J821" s="17"/>
      <c r="K821" s="17"/>
      <c r="L821" s="17"/>
    </row>
    <row r="822" spans="1:12">
      <c r="A822" s="45"/>
      <c r="B822" s="46"/>
      <c r="C822" s="14" t="s">
        <v>563</v>
      </c>
      <c r="D822" s="20"/>
      <c r="F822" s="20"/>
      <c r="H822" s="20"/>
      <c r="I822" s="2"/>
      <c r="J822" s="17"/>
      <c r="K822" s="17"/>
      <c r="L822" s="17"/>
    </row>
    <row r="823" spans="1:12">
      <c r="A823" s="45"/>
      <c r="B823" s="43">
        <v>1</v>
      </c>
      <c r="C823" s="19"/>
      <c r="D823" s="20">
        <v>0</v>
      </c>
      <c r="E823" s="21">
        <v>1</v>
      </c>
      <c r="F823" s="20">
        <f>D823*E823</f>
        <v>0</v>
      </c>
      <c r="G823" s="21">
        <v>101</v>
      </c>
      <c r="H823" s="20">
        <f>F823*G823</f>
        <v>0</v>
      </c>
      <c r="I823" s="2"/>
      <c r="J823" s="17"/>
      <c r="K823" s="17"/>
      <c r="L823" s="17"/>
    </row>
    <row r="824" spans="1:12">
      <c r="A824" s="45"/>
      <c r="B824" s="43">
        <v>2</v>
      </c>
      <c r="C824" s="19"/>
      <c r="D824" s="20">
        <v>0</v>
      </c>
      <c r="E824" s="21">
        <v>1</v>
      </c>
      <c r="F824" s="20">
        <f>D824*E824</f>
        <v>0</v>
      </c>
      <c r="G824" s="21">
        <v>102</v>
      </c>
      <c r="H824" s="20">
        <f>F824*G824</f>
        <v>0</v>
      </c>
      <c r="I824" s="2"/>
      <c r="J824" s="17"/>
      <c r="K824" s="17"/>
      <c r="L824" s="17"/>
    </row>
    <row r="825" spans="1:12">
      <c r="A825" s="45"/>
      <c r="B825" s="43"/>
      <c r="C825" s="14" t="s">
        <v>564</v>
      </c>
      <c r="D825" s="20"/>
      <c r="F825" s="20"/>
      <c r="H825" s="25">
        <f>SUM(H823:H824)</f>
        <v>0</v>
      </c>
      <c r="I825" s="2"/>
      <c r="J825" s="17"/>
      <c r="K825" s="17"/>
      <c r="L825" s="17"/>
    </row>
    <row r="826" spans="1:12">
      <c r="A826" s="45"/>
      <c r="B826" s="46"/>
      <c r="C826" s="14"/>
      <c r="D826" s="20"/>
      <c r="F826" s="20"/>
      <c r="H826" s="20"/>
      <c r="I826" s="2"/>
      <c r="J826" s="17"/>
      <c r="K826" s="17"/>
      <c r="L826" s="17"/>
    </row>
    <row r="827" spans="1:12">
      <c r="A827" s="45"/>
      <c r="B827" s="46"/>
      <c r="C827" s="14" t="s">
        <v>565</v>
      </c>
      <c r="D827" s="20"/>
      <c r="F827" s="20"/>
      <c r="H827" s="20"/>
      <c r="I827" s="2"/>
      <c r="J827" s="17"/>
      <c r="K827" s="17"/>
      <c r="L827" s="17"/>
    </row>
    <row r="828" spans="1:12">
      <c r="A828" s="45"/>
      <c r="B828" s="43">
        <v>1</v>
      </c>
      <c r="C828" s="19"/>
      <c r="D828" s="20">
        <v>0</v>
      </c>
      <c r="E828" s="21">
        <v>1</v>
      </c>
      <c r="F828" s="20">
        <f>D828*E828</f>
        <v>0</v>
      </c>
      <c r="G828" s="21">
        <v>101</v>
      </c>
      <c r="H828" s="20">
        <f>F828*G828</f>
        <v>0</v>
      </c>
      <c r="I828" s="2"/>
      <c r="J828" s="17"/>
      <c r="K828" s="17"/>
      <c r="L828" s="17"/>
    </row>
    <row r="829" spans="1:12">
      <c r="A829" s="45"/>
      <c r="B829" s="43">
        <v>2</v>
      </c>
      <c r="C829" s="19"/>
      <c r="D829" s="20">
        <v>0</v>
      </c>
      <c r="E829" s="21">
        <v>1</v>
      </c>
      <c r="F829" s="20">
        <f>D829*E829</f>
        <v>0</v>
      </c>
      <c r="G829" s="21">
        <v>102</v>
      </c>
      <c r="H829" s="20">
        <f>F829*G829</f>
        <v>0</v>
      </c>
      <c r="I829" s="2"/>
      <c r="J829" s="17"/>
      <c r="K829" s="17"/>
      <c r="L829" s="17"/>
    </row>
    <row r="830" spans="1:12">
      <c r="A830" s="45"/>
      <c r="B830" s="43"/>
      <c r="C830" s="14" t="s">
        <v>566</v>
      </c>
      <c r="D830" s="20"/>
      <c r="F830" s="20"/>
      <c r="H830" s="25">
        <f>SUM(H828:H829)</f>
        <v>0</v>
      </c>
      <c r="I830" s="2"/>
      <c r="J830" s="17"/>
      <c r="K830" s="17"/>
      <c r="L830" s="17"/>
    </row>
    <row r="831" spans="1:12">
      <c r="A831" s="45"/>
      <c r="B831" s="46"/>
      <c r="C831" s="14"/>
      <c r="D831" s="20"/>
      <c r="F831" s="20"/>
      <c r="H831" s="20"/>
      <c r="I831" s="2"/>
      <c r="J831" s="17"/>
      <c r="K831" s="17"/>
      <c r="L831" s="17"/>
    </row>
    <row r="832" spans="1:12">
      <c r="A832" s="45"/>
      <c r="B832" s="46"/>
      <c r="C832" s="14" t="s">
        <v>567</v>
      </c>
      <c r="D832" s="20"/>
      <c r="F832" s="20"/>
      <c r="H832" s="20"/>
      <c r="I832" s="2"/>
      <c r="J832" s="17"/>
      <c r="K832" s="17"/>
      <c r="L832" s="17"/>
    </row>
    <row r="833" spans="1:12">
      <c r="A833" s="45"/>
      <c r="B833" s="43">
        <v>1</v>
      </c>
      <c r="C833" s="19" t="s">
        <v>281</v>
      </c>
      <c r="D833" s="20">
        <v>0</v>
      </c>
      <c r="E833" s="21">
        <v>1</v>
      </c>
      <c r="F833" s="20">
        <f>D833*E833</f>
        <v>0</v>
      </c>
      <c r="G833" s="21">
        <v>50000</v>
      </c>
      <c r="H833" s="20">
        <f>F833*G833</f>
        <v>0</v>
      </c>
      <c r="I833" s="2"/>
      <c r="J833" s="17"/>
      <c r="K833" s="17"/>
      <c r="L833" s="17"/>
    </row>
    <row r="834" spans="1:12">
      <c r="A834" s="45"/>
      <c r="B834" s="43">
        <v>2</v>
      </c>
      <c r="C834" s="19" t="s">
        <v>282</v>
      </c>
      <c r="D834" s="20">
        <v>0</v>
      </c>
      <c r="E834" s="21">
        <v>1</v>
      </c>
      <c r="F834" s="20">
        <f t="shared" ref="F834:F845" si="82">D834*E834</f>
        <v>0</v>
      </c>
      <c r="G834" s="21">
        <v>50000</v>
      </c>
      <c r="H834" s="20">
        <f t="shared" ref="H834:H845" si="83">F834*G834</f>
        <v>0</v>
      </c>
      <c r="I834" s="2"/>
      <c r="J834" s="17"/>
      <c r="K834" s="17"/>
      <c r="L834" s="17"/>
    </row>
    <row r="835" spans="1:12">
      <c r="A835" s="45"/>
      <c r="B835" s="43">
        <v>3</v>
      </c>
      <c r="C835" s="19" t="s">
        <v>283</v>
      </c>
      <c r="D835" s="20">
        <v>0</v>
      </c>
      <c r="E835" s="21">
        <v>1</v>
      </c>
      <c r="F835" s="20">
        <f t="shared" si="82"/>
        <v>0</v>
      </c>
      <c r="G835" s="21">
        <v>50000</v>
      </c>
      <c r="H835" s="20">
        <f t="shared" si="83"/>
        <v>0</v>
      </c>
      <c r="I835" s="2"/>
      <c r="J835" s="17"/>
      <c r="K835" s="17"/>
      <c r="L835" s="17"/>
    </row>
    <row r="836" spans="1:12">
      <c r="A836" s="45"/>
      <c r="B836" s="43">
        <v>4</v>
      </c>
      <c r="C836" s="19" t="s">
        <v>284</v>
      </c>
      <c r="D836" s="20">
        <v>0</v>
      </c>
      <c r="E836" s="21">
        <v>1</v>
      </c>
      <c r="F836" s="20">
        <f t="shared" si="82"/>
        <v>0</v>
      </c>
      <c r="G836" s="21">
        <v>40000</v>
      </c>
      <c r="H836" s="20">
        <f t="shared" si="83"/>
        <v>0</v>
      </c>
      <c r="I836" s="2"/>
      <c r="J836" s="17"/>
      <c r="K836" s="17"/>
      <c r="L836" s="17"/>
    </row>
    <row r="837" spans="1:12">
      <c r="A837" s="45"/>
      <c r="B837" s="43">
        <v>5</v>
      </c>
      <c r="C837" s="19" t="s">
        <v>568</v>
      </c>
      <c r="D837" s="20">
        <v>0</v>
      </c>
      <c r="E837" s="21">
        <v>1</v>
      </c>
      <c r="F837" s="20">
        <f t="shared" si="82"/>
        <v>0</v>
      </c>
      <c r="G837" s="21">
        <v>200000</v>
      </c>
      <c r="H837" s="20">
        <f t="shared" si="83"/>
        <v>0</v>
      </c>
      <c r="I837" s="2"/>
      <c r="J837" s="17"/>
      <c r="K837" s="17"/>
      <c r="L837" s="17"/>
    </row>
    <row r="838" spans="1:12">
      <c r="A838" s="45"/>
      <c r="B838" s="43">
        <v>6</v>
      </c>
      <c r="C838" s="19" t="s">
        <v>569</v>
      </c>
      <c r="D838" s="20">
        <v>0</v>
      </c>
      <c r="E838" s="21">
        <v>1</v>
      </c>
      <c r="F838" s="20">
        <f t="shared" si="82"/>
        <v>0</v>
      </c>
      <c r="G838" s="21">
        <v>106</v>
      </c>
      <c r="H838" s="20">
        <f t="shared" si="83"/>
        <v>0</v>
      </c>
      <c r="I838" s="2"/>
      <c r="J838" s="17"/>
      <c r="K838" s="17"/>
      <c r="L838" s="17"/>
    </row>
    <row r="839" spans="1:12">
      <c r="A839" s="45"/>
      <c r="B839" s="43">
        <v>7</v>
      </c>
      <c r="C839" s="19" t="s">
        <v>570</v>
      </c>
      <c r="D839" s="20">
        <v>0</v>
      </c>
      <c r="E839" s="21">
        <v>1</v>
      </c>
      <c r="F839" s="20">
        <f t="shared" si="82"/>
        <v>0</v>
      </c>
      <c r="G839" s="21">
        <v>107</v>
      </c>
      <c r="H839" s="20">
        <f t="shared" si="83"/>
        <v>0</v>
      </c>
      <c r="I839" s="2"/>
      <c r="J839" s="17"/>
      <c r="K839" s="17"/>
      <c r="L839" s="17"/>
    </row>
    <row r="840" spans="1:12">
      <c r="A840" s="45"/>
      <c r="B840" s="43">
        <v>8</v>
      </c>
      <c r="C840" s="19" t="s">
        <v>285</v>
      </c>
      <c r="D840" s="20">
        <v>0</v>
      </c>
      <c r="E840" s="21">
        <v>1</v>
      </c>
      <c r="F840" s="20">
        <f t="shared" si="82"/>
        <v>0</v>
      </c>
      <c r="G840" s="21">
        <v>290000</v>
      </c>
      <c r="H840" s="20">
        <f t="shared" si="83"/>
        <v>0</v>
      </c>
      <c r="I840" s="2"/>
      <c r="J840" s="17"/>
      <c r="K840" s="17"/>
      <c r="L840" s="17"/>
    </row>
    <row r="841" spans="1:12">
      <c r="A841" s="45"/>
      <c r="B841" s="43">
        <v>9</v>
      </c>
      <c r="C841" s="19"/>
      <c r="D841" s="20">
        <v>0</v>
      </c>
      <c r="E841" s="21">
        <v>1</v>
      </c>
      <c r="F841" s="20">
        <f t="shared" si="82"/>
        <v>0</v>
      </c>
      <c r="G841" s="21">
        <v>109</v>
      </c>
      <c r="H841" s="20">
        <f t="shared" si="83"/>
        <v>0</v>
      </c>
      <c r="I841" s="2"/>
      <c r="J841" s="17"/>
      <c r="K841" s="17"/>
      <c r="L841" s="17"/>
    </row>
    <row r="842" spans="1:12">
      <c r="A842" s="45"/>
      <c r="B842" s="43">
        <v>10</v>
      </c>
      <c r="C842" s="19"/>
      <c r="D842" s="20">
        <v>0</v>
      </c>
      <c r="E842" s="21">
        <v>1</v>
      </c>
      <c r="F842" s="20">
        <f t="shared" si="82"/>
        <v>0</v>
      </c>
      <c r="G842" s="21">
        <v>110</v>
      </c>
      <c r="H842" s="20">
        <f t="shared" si="83"/>
        <v>0</v>
      </c>
      <c r="I842" s="2"/>
      <c r="J842" s="17"/>
      <c r="K842" s="17"/>
      <c r="L842" s="17"/>
    </row>
    <row r="843" spans="1:12">
      <c r="A843" s="45"/>
      <c r="B843" s="43">
        <v>11</v>
      </c>
      <c r="C843" s="19"/>
      <c r="D843" s="20">
        <v>0</v>
      </c>
      <c r="E843" s="21">
        <v>1</v>
      </c>
      <c r="F843" s="20">
        <f t="shared" si="82"/>
        <v>0</v>
      </c>
      <c r="G843" s="21">
        <v>111</v>
      </c>
      <c r="H843" s="20">
        <f t="shared" si="83"/>
        <v>0</v>
      </c>
      <c r="I843" s="2"/>
      <c r="J843" s="17"/>
      <c r="K843" s="17"/>
      <c r="L843" s="17"/>
    </row>
    <row r="844" spans="1:12">
      <c r="A844" s="45"/>
      <c r="B844" s="43">
        <v>12</v>
      </c>
      <c r="C844" s="19"/>
      <c r="D844" s="20">
        <v>0</v>
      </c>
      <c r="E844" s="21">
        <v>1</v>
      </c>
      <c r="F844" s="20">
        <f t="shared" si="82"/>
        <v>0</v>
      </c>
      <c r="G844" s="21">
        <v>112</v>
      </c>
      <c r="H844" s="20">
        <f t="shared" si="83"/>
        <v>0</v>
      </c>
      <c r="I844" s="2"/>
      <c r="J844" s="17"/>
      <c r="K844" s="17"/>
      <c r="L844" s="17"/>
    </row>
    <row r="845" spans="1:12">
      <c r="A845" s="45"/>
      <c r="B845" s="43">
        <v>13</v>
      </c>
      <c r="C845" s="19"/>
      <c r="D845" s="20">
        <v>0</v>
      </c>
      <c r="E845" s="21">
        <v>1</v>
      </c>
      <c r="F845" s="20">
        <f t="shared" si="82"/>
        <v>0</v>
      </c>
      <c r="G845" s="21">
        <v>113</v>
      </c>
      <c r="H845" s="20">
        <f t="shared" si="83"/>
        <v>0</v>
      </c>
      <c r="I845" s="2"/>
      <c r="J845" s="17"/>
      <c r="K845" s="17"/>
      <c r="L845" s="17"/>
    </row>
    <row r="846" spans="1:12">
      <c r="A846" s="45"/>
      <c r="B846" s="43">
        <v>14</v>
      </c>
      <c r="C846" s="19"/>
      <c r="D846" s="20">
        <v>0</v>
      </c>
      <c r="E846" s="21">
        <v>1</v>
      </c>
      <c r="F846" s="20">
        <f>D846*E846</f>
        <v>0</v>
      </c>
      <c r="G846" s="21">
        <v>102</v>
      </c>
      <c r="H846" s="20">
        <f>F846*G846</f>
        <v>0</v>
      </c>
      <c r="I846" s="2"/>
      <c r="J846" s="17"/>
      <c r="K846" s="17"/>
      <c r="L846" s="17"/>
    </row>
    <row r="847" spans="1:12">
      <c r="A847" s="45"/>
      <c r="B847" s="43"/>
      <c r="C847" s="14" t="s">
        <v>571</v>
      </c>
      <c r="D847" s="20"/>
      <c r="F847" s="20"/>
      <c r="H847" s="25">
        <f>SUM(H833:H846)</f>
        <v>0</v>
      </c>
      <c r="I847" s="2"/>
      <c r="J847" s="17"/>
      <c r="K847" s="17"/>
      <c r="L847" s="17"/>
    </row>
    <row r="848" spans="1:12">
      <c r="A848" s="45"/>
      <c r="B848" s="46"/>
      <c r="C848" s="14"/>
      <c r="D848" s="20"/>
      <c r="F848" s="20"/>
      <c r="H848" s="20"/>
      <c r="I848" s="2"/>
      <c r="J848" s="17"/>
      <c r="K848" s="17"/>
      <c r="L848" s="17"/>
    </row>
    <row r="849" spans="1:12">
      <c r="A849" s="45"/>
      <c r="B849" s="46"/>
      <c r="C849" s="14" t="s">
        <v>572</v>
      </c>
      <c r="D849" s="20"/>
      <c r="F849" s="20"/>
      <c r="H849" s="20"/>
      <c r="I849" s="2"/>
      <c r="J849" s="17"/>
      <c r="K849" s="17"/>
      <c r="L849" s="17"/>
    </row>
    <row r="850" spans="1:12">
      <c r="A850" s="45"/>
      <c r="B850" s="43">
        <v>1</v>
      </c>
      <c r="C850" s="19" t="s">
        <v>287</v>
      </c>
      <c r="D850" s="20">
        <v>0</v>
      </c>
      <c r="E850" s="21">
        <v>1</v>
      </c>
      <c r="F850" s="20">
        <f>D850*E850</f>
        <v>0</v>
      </c>
      <c r="G850" s="69">
        <v>22076</v>
      </c>
      <c r="H850" s="20">
        <f>F850*G850</f>
        <v>0</v>
      </c>
      <c r="I850" s="2"/>
      <c r="J850" s="17"/>
      <c r="K850" s="17"/>
      <c r="L850" s="17"/>
    </row>
    <row r="851" spans="1:12">
      <c r="A851" s="45"/>
      <c r="B851" s="43">
        <v>2</v>
      </c>
      <c r="C851" s="19" t="s">
        <v>219</v>
      </c>
      <c r="D851" s="20">
        <v>3</v>
      </c>
      <c r="E851" s="21">
        <v>1</v>
      </c>
      <c r="F851" s="20">
        <f t="shared" ref="F851:F893" si="84">D851*E851</f>
        <v>3</v>
      </c>
      <c r="G851" s="69">
        <v>12507</v>
      </c>
      <c r="H851" s="20">
        <f t="shared" ref="H851:H893" si="85">F851*G851</f>
        <v>37521</v>
      </c>
      <c r="I851" s="2"/>
      <c r="J851" s="17"/>
      <c r="K851" s="17"/>
      <c r="L851" s="17"/>
    </row>
    <row r="852" spans="1:12">
      <c r="A852" s="45"/>
      <c r="B852" s="43">
        <v>3</v>
      </c>
      <c r="C852" s="19" t="s">
        <v>223</v>
      </c>
      <c r="D852" s="20">
        <v>0</v>
      </c>
      <c r="E852" s="21">
        <v>1</v>
      </c>
      <c r="F852" s="20">
        <f t="shared" si="84"/>
        <v>0</v>
      </c>
      <c r="G852" s="69">
        <v>31769</v>
      </c>
      <c r="H852" s="20">
        <f t="shared" si="85"/>
        <v>0</v>
      </c>
      <c r="I852" s="2"/>
      <c r="J852" s="17"/>
      <c r="K852" s="17"/>
      <c r="L852" s="17"/>
    </row>
    <row r="853" spans="1:12">
      <c r="A853" s="45"/>
      <c r="B853" s="43">
        <v>4</v>
      </c>
      <c r="C853" s="19" t="s">
        <v>288</v>
      </c>
      <c r="D853" s="20">
        <v>3</v>
      </c>
      <c r="E853" s="21">
        <v>1</v>
      </c>
      <c r="F853" s="20">
        <f t="shared" si="84"/>
        <v>3</v>
      </c>
      <c r="G853" s="69">
        <v>11538</v>
      </c>
      <c r="H853" s="20">
        <f t="shared" si="85"/>
        <v>34614</v>
      </c>
      <c r="I853" s="2"/>
      <c r="J853" s="17"/>
      <c r="K853" s="17"/>
      <c r="L853" s="17"/>
    </row>
    <row r="854" spans="1:12">
      <c r="A854" s="45"/>
      <c r="B854" s="43">
        <v>5</v>
      </c>
      <c r="C854" s="19" t="s">
        <v>220</v>
      </c>
      <c r="D854" s="20">
        <v>3</v>
      </c>
      <c r="E854" s="21">
        <v>1</v>
      </c>
      <c r="F854" s="20">
        <f t="shared" si="84"/>
        <v>3</v>
      </c>
      <c r="G854" s="69">
        <v>12507</v>
      </c>
      <c r="H854" s="20">
        <f t="shared" si="85"/>
        <v>37521</v>
      </c>
      <c r="I854" s="2"/>
      <c r="J854" s="17"/>
      <c r="K854" s="17"/>
      <c r="L854" s="17"/>
    </row>
    <row r="855" spans="1:12">
      <c r="A855" s="45"/>
      <c r="B855" s="43">
        <v>6</v>
      </c>
      <c r="C855" s="19" t="s">
        <v>221</v>
      </c>
      <c r="D855" s="20">
        <v>0</v>
      </c>
      <c r="E855" s="21">
        <v>1</v>
      </c>
      <c r="F855" s="20">
        <f t="shared" si="84"/>
        <v>0</v>
      </c>
      <c r="G855" s="69">
        <v>12507</v>
      </c>
      <c r="H855" s="20">
        <f t="shared" si="85"/>
        <v>0</v>
      </c>
      <c r="I855" s="2"/>
      <c r="J855" s="17"/>
      <c r="K855" s="17"/>
      <c r="L855" s="17"/>
    </row>
    <row r="856" spans="1:12">
      <c r="A856" s="45"/>
      <c r="B856" s="43">
        <v>7</v>
      </c>
      <c r="C856" s="19" t="s">
        <v>289</v>
      </c>
      <c r="D856" s="20">
        <v>0</v>
      </c>
      <c r="E856" s="21">
        <v>1</v>
      </c>
      <c r="F856" s="20">
        <f t="shared" si="84"/>
        <v>0</v>
      </c>
      <c r="G856" s="69">
        <v>12507</v>
      </c>
      <c r="H856" s="20">
        <f t="shared" si="85"/>
        <v>0</v>
      </c>
      <c r="I856" s="2"/>
      <c r="J856" s="17"/>
      <c r="K856" s="17"/>
      <c r="L856" s="17"/>
    </row>
    <row r="857" spans="1:12">
      <c r="A857" s="45"/>
      <c r="B857" s="43">
        <v>8</v>
      </c>
      <c r="C857" s="19" t="s">
        <v>290</v>
      </c>
      <c r="D857" s="20">
        <v>0</v>
      </c>
      <c r="E857" s="21">
        <v>1</v>
      </c>
      <c r="F857" s="20">
        <f t="shared" si="84"/>
        <v>0</v>
      </c>
      <c r="G857" s="69">
        <v>12507</v>
      </c>
      <c r="H857" s="20">
        <f t="shared" si="85"/>
        <v>0</v>
      </c>
      <c r="I857" s="2"/>
      <c r="J857" s="17"/>
      <c r="K857" s="17"/>
      <c r="L857" s="17"/>
    </row>
    <row r="858" spans="1:12">
      <c r="A858" s="45"/>
      <c r="B858" s="43">
        <v>9</v>
      </c>
      <c r="C858" s="19" t="s">
        <v>291</v>
      </c>
      <c r="D858" s="20">
        <v>0</v>
      </c>
      <c r="E858" s="21">
        <v>1</v>
      </c>
      <c r="F858" s="20">
        <f t="shared" si="84"/>
        <v>0</v>
      </c>
      <c r="G858" s="69">
        <v>12507</v>
      </c>
      <c r="H858" s="20">
        <f t="shared" si="85"/>
        <v>0</v>
      </c>
      <c r="I858" s="2"/>
      <c r="J858" s="17"/>
      <c r="K858" s="17"/>
      <c r="L858" s="17"/>
    </row>
    <row r="859" spans="1:12">
      <c r="A859" s="45"/>
      <c r="B859" s="43">
        <v>10</v>
      </c>
      <c r="C859" s="19" t="s">
        <v>292</v>
      </c>
      <c r="D859" s="20">
        <v>0</v>
      </c>
      <c r="E859" s="21">
        <v>1</v>
      </c>
      <c r="F859" s="20">
        <f t="shared" si="84"/>
        <v>0</v>
      </c>
      <c r="G859" s="69">
        <v>12507</v>
      </c>
      <c r="H859" s="20">
        <f t="shared" si="85"/>
        <v>0</v>
      </c>
      <c r="I859" s="2"/>
      <c r="J859" s="17"/>
      <c r="K859" s="17"/>
      <c r="L859" s="17"/>
    </row>
    <row r="860" spans="1:12">
      <c r="A860" s="45"/>
      <c r="B860" s="43">
        <v>11</v>
      </c>
      <c r="C860" s="19" t="s">
        <v>293</v>
      </c>
      <c r="D860" s="20">
        <v>3</v>
      </c>
      <c r="E860" s="21">
        <v>1</v>
      </c>
      <c r="F860" s="20">
        <f t="shared" si="84"/>
        <v>3</v>
      </c>
      <c r="G860" s="69">
        <v>12507</v>
      </c>
      <c r="H860" s="20">
        <f t="shared" si="85"/>
        <v>37521</v>
      </c>
      <c r="I860" s="2"/>
      <c r="J860" s="17"/>
      <c r="K860" s="17"/>
      <c r="L860" s="17"/>
    </row>
    <row r="861" spans="1:12">
      <c r="A861" s="45"/>
      <c r="B861" s="43">
        <v>12</v>
      </c>
      <c r="C861" s="19" t="s">
        <v>294</v>
      </c>
      <c r="D861" s="20">
        <v>3</v>
      </c>
      <c r="E861" s="21">
        <v>1</v>
      </c>
      <c r="F861" s="20">
        <f t="shared" si="84"/>
        <v>3</v>
      </c>
      <c r="G861" s="69">
        <v>12507</v>
      </c>
      <c r="H861" s="20">
        <f t="shared" si="85"/>
        <v>37521</v>
      </c>
      <c r="I861" s="2"/>
      <c r="J861" s="17"/>
      <c r="K861" s="17"/>
      <c r="L861" s="17"/>
    </row>
    <row r="862" spans="1:12">
      <c r="A862" s="45"/>
      <c r="B862" s="43">
        <v>13</v>
      </c>
      <c r="C862" s="19" t="s">
        <v>295</v>
      </c>
      <c r="D862" s="20">
        <v>0</v>
      </c>
      <c r="E862" s="21">
        <v>1</v>
      </c>
      <c r="F862" s="20">
        <f t="shared" si="84"/>
        <v>0</v>
      </c>
      <c r="G862" s="69">
        <v>12507</v>
      </c>
      <c r="H862" s="20">
        <f t="shared" si="85"/>
        <v>0</v>
      </c>
      <c r="I862" s="2"/>
      <c r="J862" s="17"/>
      <c r="K862" s="17"/>
      <c r="L862" s="17"/>
    </row>
    <row r="863" spans="1:12">
      <c r="A863" s="45"/>
      <c r="B863" s="43">
        <v>14</v>
      </c>
      <c r="C863" s="19" t="s">
        <v>296</v>
      </c>
      <c r="D863" s="20">
        <v>0</v>
      </c>
      <c r="E863" s="21">
        <v>1</v>
      </c>
      <c r="F863" s="20">
        <f t="shared" si="84"/>
        <v>0</v>
      </c>
      <c r="G863" s="69">
        <v>12507</v>
      </c>
      <c r="H863" s="20">
        <f t="shared" si="85"/>
        <v>0</v>
      </c>
      <c r="I863" s="2"/>
      <c r="J863" s="17"/>
      <c r="K863" s="17"/>
      <c r="L863" s="17"/>
    </row>
    <row r="864" spans="1:12">
      <c r="A864" s="45"/>
      <c r="B864" s="43">
        <v>15</v>
      </c>
      <c r="C864" s="19" t="s">
        <v>297</v>
      </c>
      <c r="D864" s="20">
        <v>0</v>
      </c>
      <c r="E864" s="21">
        <v>1</v>
      </c>
      <c r="F864" s="20">
        <f t="shared" si="84"/>
        <v>0</v>
      </c>
      <c r="G864" s="69">
        <v>12507</v>
      </c>
      <c r="H864" s="20">
        <f t="shared" si="85"/>
        <v>0</v>
      </c>
      <c r="I864" s="2"/>
      <c r="J864" s="17"/>
      <c r="K864" s="17"/>
      <c r="L864" s="17"/>
    </row>
    <row r="865" spans="1:12">
      <c r="A865" s="45"/>
      <c r="B865" s="43">
        <v>16</v>
      </c>
      <c r="C865" s="19" t="s">
        <v>298</v>
      </c>
      <c r="D865" s="20">
        <v>0</v>
      </c>
      <c r="E865" s="21">
        <v>1</v>
      </c>
      <c r="F865" s="20">
        <f t="shared" si="84"/>
        <v>0</v>
      </c>
      <c r="G865" s="69">
        <v>12507</v>
      </c>
      <c r="H865" s="20">
        <f t="shared" si="85"/>
        <v>0</v>
      </c>
      <c r="I865" s="2"/>
      <c r="J865" s="17"/>
      <c r="K865" s="17"/>
      <c r="L865" s="17"/>
    </row>
    <row r="866" spans="1:12">
      <c r="A866" s="45"/>
      <c r="B866" s="43">
        <v>17</v>
      </c>
      <c r="C866" s="19" t="s">
        <v>299</v>
      </c>
      <c r="D866" s="20">
        <v>0</v>
      </c>
      <c r="E866" s="21">
        <v>1</v>
      </c>
      <c r="F866" s="20">
        <f t="shared" si="84"/>
        <v>0</v>
      </c>
      <c r="G866" s="69">
        <v>12507</v>
      </c>
      <c r="H866" s="20">
        <f t="shared" si="85"/>
        <v>0</v>
      </c>
      <c r="I866" s="2"/>
      <c r="J866" s="17"/>
      <c r="K866" s="17"/>
      <c r="L866" s="17"/>
    </row>
    <row r="867" spans="1:12">
      <c r="A867" s="45"/>
      <c r="B867" s="43">
        <v>18</v>
      </c>
      <c r="C867" s="19" t="s">
        <v>300</v>
      </c>
      <c r="D867" s="20">
        <v>0</v>
      </c>
      <c r="E867" s="21">
        <v>1</v>
      </c>
      <c r="F867" s="20">
        <f t="shared" si="84"/>
        <v>0</v>
      </c>
      <c r="G867" s="69">
        <v>12507</v>
      </c>
      <c r="H867" s="20">
        <f t="shared" si="85"/>
        <v>0</v>
      </c>
      <c r="I867" s="2"/>
      <c r="J867" s="17"/>
      <c r="K867" s="17"/>
      <c r="L867" s="17"/>
    </row>
    <row r="868" spans="1:12">
      <c r="A868" s="45"/>
      <c r="B868" s="43">
        <v>19</v>
      </c>
      <c r="C868" s="19" t="s">
        <v>301</v>
      </c>
      <c r="D868" s="20">
        <v>0</v>
      </c>
      <c r="E868" s="21">
        <v>1</v>
      </c>
      <c r="F868" s="20">
        <f t="shared" si="84"/>
        <v>0</v>
      </c>
      <c r="G868" s="69">
        <v>12507</v>
      </c>
      <c r="H868" s="20">
        <f t="shared" si="85"/>
        <v>0</v>
      </c>
      <c r="I868" s="2"/>
      <c r="J868" s="17"/>
      <c r="K868" s="17"/>
      <c r="L868" s="17"/>
    </row>
    <row r="869" spans="1:12">
      <c r="A869" s="45"/>
      <c r="B869" s="43">
        <v>20</v>
      </c>
      <c r="C869" s="19" t="s">
        <v>302</v>
      </c>
      <c r="D869" s="20">
        <v>0</v>
      </c>
      <c r="E869" s="21">
        <v>1</v>
      </c>
      <c r="F869" s="20">
        <f t="shared" si="84"/>
        <v>0</v>
      </c>
      <c r="G869" s="69">
        <v>12507</v>
      </c>
      <c r="H869" s="20">
        <f t="shared" si="85"/>
        <v>0</v>
      </c>
      <c r="I869" s="2"/>
      <c r="J869" s="17"/>
      <c r="K869" s="17"/>
      <c r="L869" s="17"/>
    </row>
    <row r="870" spans="1:12">
      <c r="A870" s="45"/>
      <c r="B870" s="43">
        <v>21</v>
      </c>
      <c r="C870" s="19" t="s">
        <v>303</v>
      </c>
      <c r="D870" s="20">
        <v>0</v>
      </c>
      <c r="E870" s="21">
        <v>1</v>
      </c>
      <c r="F870" s="20">
        <f t="shared" si="84"/>
        <v>0</v>
      </c>
      <c r="G870" s="69">
        <v>19231</v>
      </c>
      <c r="H870" s="20">
        <f t="shared" si="85"/>
        <v>0</v>
      </c>
      <c r="I870" s="2"/>
      <c r="J870" s="17"/>
      <c r="K870" s="17"/>
      <c r="L870" s="17"/>
    </row>
    <row r="871" spans="1:12">
      <c r="A871" s="45"/>
      <c r="B871" s="43">
        <v>22</v>
      </c>
      <c r="C871" s="19" t="s">
        <v>304</v>
      </c>
      <c r="D871" s="20">
        <v>0</v>
      </c>
      <c r="E871" s="21">
        <v>1</v>
      </c>
      <c r="F871" s="20">
        <f t="shared" si="84"/>
        <v>0</v>
      </c>
      <c r="G871" s="69">
        <v>12507</v>
      </c>
      <c r="H871" s="20">
        <f t="shared" si="85"/>
        <v>0</v>
      </c>
      <c r="I871" s="2"/>
      <c r="J871" s="17"/>
      <c r="K871" s="17"/>
      <c r="L871" s="17"/>
    </row>
    <row r="872" spans="1:12">
      <c r="A872" s="45"/>
      <c r="B872" s="43">
        <v>23</v>
      </c>
      <c r="C872" s="19" t="s">
        <v>305</v>
      </c>
      <c r="D872" s="20">
        <v>0</v>
      </c>
      <c r="E872" s="21">
        <v>1</v>
      </c>
      <c r="F872" s="20">
        <f t="shared" si="84"/>
        <v>0</v>
      </c>
      <c r="G872" s="69">
        <v>12507</v>
      </c>
      <c r="H872" s="20">
        <f t="shared" si="85"/>
        <v>0</v>
      </c>
      <c r="I872" s="2"/>
      <c r="J872" s="17"/>
      <c r="K872" s="17"/>
      <c r="L872" s="17"/>
    </row>
    <row r="873" spans="1:12">
      <c r="A873" s="45"/>
      <c r="B873" s="43">
        <v>24</v>
      </c>
      <c r="C873" s="19" t="s">
        <v>306</v>
      </c>
      <c r="D873" s="20">
        <v>0</v>
      </c>
      <c r="E873" s="21">
        <v>1</v>
      </c>
      <c r="F873" s="20">
        <f t="shared" si="84"/>
        <v>0</v>
      </c>
      <c r="G873" s="69">
        <v>12507</v>
      </c>
      <c r="H873" s="20">
        <f t="shared" si="85"/>
        <v>0</v>
      </c>
      <c r="I873" s="2"/>
      <c r="J873" s="17"/>
      <c r="K873" s="17"/>
      <c r="L873" s="17"/>
    </row>
    <row r="874" spans="1:12">
      <c r="A874" s="45"/>
      <c r="B874" s="43">
        <v>25</v>
      </c>
      <c r="C874" s="19" t="s">
        <v>307</v>
      </c>
      <c r="D874" s="20">
        <v>0</v>
      </c>
      <c r="E874" s="21">
        <v>1</v>
      </c>
      <c r="F874" s="20">
        <f t="shared" si="84"/>
        <v>0</v>
      </c>
      <c r="G874" s="69">
        <v>12507</v>
      </c>
      <c r="H874" s="20">
        <f t="shared" si="85"/>
        <v>0</v>
      </c>
      <c r="I874" s="2"/>
      <c r="J874" s="17"/>
      <c r="K874" s="17"/>
      <c r="L874" s="17"/>
    </row>
    <row r="875" spans="1:12">
      <c r="A875" s="45"/>
      <c r="B875" s="43">
        <v>26</v>
      </c>
      <c r="C875" s="19" t="s">
        <v>308</v>
      </c>
      <c r="D875" s="20">
        <v>0</v>
      </c>
      <c r="E875" s="21">
        <v>1</v>
      </c>
      <c r="F875" s="20">
        <f t="shared" si="84"/>
        <v>0</v>
      </c>
      <c r="G875" s="69">
        <v>12507</v>
      </c>
      <c r="H875" s="20">
        <f t="shared" si="85"/>
        <v>0</v>
      </c>
      <c r="I875" s="2"/>
      <c r="J875" s="17"/>
      <c r="K875" s="17"/>
      <c r="L875" s="17"/>
    </row>
    <row r="876" spans="1:12">
      <c r="A876" s="45"/>
      <c r="B876" s="43">
        <v>27</v>
      </c>
      <c r="C876" s="19" t="s">
        <v>309</v>
      </c>
      <c r="D876" s="20">
        <v>0</v>
      </c>
      <c r="E876" s="21">
        <v>1</v>
      </c>
      <c r="F876" s="20">
        <f t="shared" si="84"/>
        <v>0</v>
      </c>
      <c r="G876" s="69">
        <v>53846</v>
      </c>
      <c r="H876" s="20">
        <f t="shared" si="85"/>
        <v>0</v>
      </c>
      <c r="I876" s="2"/>
      <c r="J876" s="17"/>
      <c r="K876" s="17"/>
      <c r="L876" s="17"/>
    </row>
    <row r="877" spans="1:12">
      <c r="A877" s="45"/>
      <c r="B877" s="43">
        <v>28</v>
      </c>
      <c r="C877" s="19" t="s">
        <v>310</v>
      </c>
      <c r="D877" s="20">
        <v>0</v>
      </c>
      <c r="E877" s="21">
        <v>1</v>
      </c>
      <c r="F877" s="20">
        <f t="shared" si="84"/>
        <v>0</v>
      </c>
      <c r="G877" s="69">
        <v>22076</v>
      </c>
      <c r="H877" s="20">
        <f t="shared" si="85"/>
        <v>0</v>
      </c>
      <c r="I877" s="2"/>
      <c r="J877" s="17"/>
      <c r="K877" s="17"/>
      <c r="L877" s="17"/>
    </row>
    <row r="878" spans="1:12">
      <c r="A878" s="45"/>
      <c r="B878" s="43">
        <v>29</v>
      </c>
      <c r="C878" s="19" t="s">
        <v>72</v>
      </c>
      <c r="D878" s="20">
        <v>0</v>
      </c>
      <c r="E878" s="21">
        <v>1</v>
      </c>
      <c r="F878" s="20">
        <f t="shared" si="84"/>
        <v>0</v>
      </c>
      <c r="G878" s="69">
        <v>22076</v>
      </c>
      <c r="H878" s="20">
        <f t="shared" si="85"/>
        <v>0</v>
      </c>
      <c r="I878" s="2"/>
      <c r="J878" s="17"/>
      <c r="K878" s="17"/>
      <c r="L878" s="17"/>
    </row>
    <row r="879" spans="1:12">
      <c r="A879" s="45"/>
      <c r="B879" s="43">
        <v>30</v>
      </c>
      <c r="C879" s="19" t="s">
        <v>311</v>
      </c>
      <c r="D879" s="20">
        <v>0</v>
      </c>
      <c r="E879" s="21">
        <v>1</v>
      </c>
      <c r="F879" s="20">
        <f t="shared" si="84"/>
        <v>0</v>
      </c>
      <c r="G879" s="69">
        <v>12507</v>
      </c>
      <c r="H879" s="20">
        <f t="shared" si="85"/>
        <v>0</v>
      </c>
      <c r="I879" s="2"/>
      <c r="J879" s="17"/>
      <c r="K879" s="17"/>
      <c r="L879" s="17"/>
    </row>
    <row r="880" spans="1:12">
      <c r="A880" s="45"/>
      <c r="B880" s="43">
        <v>31</v>
      </c>
      <c r="C880" s="19" t="s">
        <v>312</v>
      </c>
      <c r="D880" s="20">
        <v>0</v>
      </c>
      <c r="E880" s="21">
        <v>1</v>
      </c>
      <c r="F880" s="20">
        <f t="shared" si="84"/>
        <v>0</v>
      </c>
      <c r="G880" s="69">
        <v>18461</v>
      </c>
      <c r="H880" s="20">
        <f t="shared" si="85"/>
        <v>0</v>
      </c>
      <c r="I880" s="2"/>
      <c r="J880" s="17"/>
      <c r="K880" s="17"/>
      <c r="L880" s="17"/>
    </row>
    <row r="881" spans="1:12">
      <c r="A881" s="45"/>
      <c r="B881" s="43">
        <v>32</v>
      </c>
      <c r="C881" s="19" t="s">
        <v>73</v>
      </c>
      <c r="D881" s="20">
        <v>0</v>
      </c>
      <c r="E881" s="21">
        <v>1</v>
      </c>
      <c r="F881" s="20">
        <f t="shared" si="84"/>
        <v>0</v>
      </c>
      <c r="G881" s="69">
        <v>12507</v>
      </c>
      <c r="H881" s="20">
        <f t="shared" si="85"/>
        <v>0</v>
      </c>
      <c r="I881" s="2"/>
      <c r="J881" s="17"/>
      <c r="K881" s="17"/>
      <c r="L881" s="17"/>
    </row>
    <row r="882" spans="1:12">
      <c r="A882" s="45"/>
      <c r="B882" s="43">
        <v>33</v>
      </c>
      <c r="C882" s="19" t="s">
        <v>71</v>
      </c>
      <c r="D882" s="20">
        <v>0</v>
      </c>
      <c r="E882" s="21">
        <v>1</v>
      </c>
      <c r="F882" s="20">
        <f t="shared" si="84"/>
        <v>0</v>
      </c>
      <c r="G882" s="69">
        <v>22076</v>
      </c>
      <c r="H882" s="20">
        <f t="shared" si="85"/>
        <v>0</v>
      </c>
      <c r="I882" s="2"/>
      <c r="J882" s="17"/>
      <c r="K882" s="17"/>
      <c r="L882" s="17"/>
    </row>
    <row r="883" spans="1:12">
      <c r="A883" s="45"/>
      <c r="B883" s="43">
        <v>34</v>
      </c>
      <c r="C883" s="19" t="s">
        <v>313</v>
      </c>
      <c r="D883" s="20">
        <v>0</v>
      </c>
      <c r="E883" s="21">
        <v>1</v>
      </c>
      <c r="F883" s="20">
        <f t="shared" si="84"/>
        <v>0</v>
      </c>
      <c r="G883" s="69">
        <v>22076</v>
      </c>
      <c r="H883" s="20">
        <f t="shared" si="85"/>
        <v>0</v>
      </c>
      <c r="I883" s="2"/>
      <c r="J883" s="17"/>
      <c r="K883" s="17"/>
      <c r="L883" s="17"/>
    </row>
    <row r="884" spans="1:12">
      <c r="A884" s="45"/>
      <c r="B884" s="43">
        <v>35</v>
      </c>
      <c r="C884" s="19" t="s">
        <v>314</v>
      </c>
      <c r="D884" s="20">
        <v>0</v>
      </c>
      <c r="E884" s="21">
        <v>1</v>
      </c>
      <c r="F884" s="20">
        <f t="shared" si="84"/>
        <v>0</v>
      </c>
      <c r="G884" s="69">
        <v>61538</v>
      </c>
      <c r="H884" s="20">
        <f t="shared" si="85"/>
        <v>0</v>
      </c>
      <c r="I884" s="2"/>
      <c r="J884" s="17"/>
      <c r="K884" s="17"/>
      <c r="L884" s="17"/>
    </row>
    <row r="885" spans="1:12">
      <c r="A885" s="45"/>
      <c r="B885" s="43">
        <v>36</v>
      </c>
      <c r="C885" s="19" t="s">
        <v>315</v>
      </c>
      <c r="D885" s="20">
        <v>0</v>
      </c>
      <c r="E885" s="21">
        <v>1</v>
      </c>
      <c r="F885" s="20">
        <f t="shared" si="84"/>
        <v>0</v>
      </c>
      <c r="G885" s="69">
        <v>3846</v>
      </c>
      <c r="H885" s="20">
        <f t="shared" si="85"/>
        <v>0</v>
      </c>
      <c r="I885" s="2"/>
      <c r="J885" s="17"/>
      <c r="K885" s="17"/>
      <c r="L885" s="17"/>
    </row>
    <row r="886" spans="1:12">
      <c r="A886" s="45"/>
      <c r="B886" s="43">
        <v>37</v>
      </c>
      <c r="C886" s="19" t="s">
        <v>316</v>
      </c>
      <c r="D886" s="20">
        <v>3</v>
      </c>
      <c r="E886" s="21">
        <v>1</v>
      </c>
      <c r="F886" s="20">
        <f t="shared" si="84"/>
        <v>3</v>
      </c>
      <c r="G886" s="69">
        <v>7692</v>
      </c>
      <c r="H886" s="20">
        <f t="shared" si="85"/>
        <v>23076</v>
      </c>
      <c r="I886" s="2"/>
      <c r="J886" s="17"/>
      <c r="K886" s="17"/>
      <c r="L886" s="17"/>
    </row>
    <row r="887" spans="1:12">
      <c r="A887" s="45"/>
      <c r="B887" s="43">
        <v>38</v>
      </c>
      <c r="C887" s="19" t="s">
        <v>317</v>
      </c>
      <c r="D887" s="20">
        <v>0</v>
      </c>
      <c r="E887" s="21">
        <v>1</v>
      </c>
      <c r="F887" s="20">
        <f t="shared" si="84"/>
        <v>0</v>
      </c>
      <c r="G887" s="69">
        <v>46153</v>
      </c>
      <c r="H887" s="20">
        <f t="shared" si="85"/>
        <v>0</v>
      </c>
      <c r="I887" s="2"/>
      <c r="J887" s="17"/>
      <c r="K887" s="17"/>
      <c r="L887" s="17"/>
    </row>
    <row r="888" spans="1:12">
      <c r="A888" s="45"/>
      <c r="B888" s="43">
        <v>39</v>
      </c>
      <c r="C888" s="19" t="s">
        <v>318</v>
      </c>
      <c r="D888" s="20">
        <v>0</v>
      </c>
      <c r="E888" s="21">
        <v>1</v>
      </c>
      <c r="F888" s="20">
        <f t="shared" si="84"/>
        <v>0</v>
      </c>
      <c r="G888" s="69">
        <v>600000</v>
      </c>
      <c r="H888" s="20">
        <f t="shared" si="85"/>
        <v>0</v>
      </c>
      <c r="I888" s="2"/>
      <c r="J888" s="17"/>
      <c r="K888" s="17"/>
      <c r="L888" s="17"/>
    </row>
    <row r="889" spans="1:12">
      <c r="A889" s="45"/>
      <c r="B889" s="43">
        <v>40</v>
      </c>
      <c r="C889" s="19" t="s">
        <v>319</v>
      </c>
      <c r="D889" s="20">
        <v>0</v>
      </c>
      <c r="E889" s="21">
        <v>1</v>
      </c>
      <c r="F889" s="20">
        <f t="shared" si="84"/>
        <v>0</v>
      </c>
      <c r="G889" s="69">
        <v>157692</v>
      </c>
      <c r="H889" s="20">
        <f t="shared" si="85"/>
        <v>0</v>
      </c>
      <c r="I889" s="2"/>
      <c r="J889" s="17"/>
      <c r="K889" s="17"/>
      <c r="L889" s="17"/>
    </row>
    <row r="890" spans="1:12">
      <c r="A890" s="45"/>
      <c r="B890" s="43">
        <v>41</v>
      </c>
      <c r="C890" s="19" t="s">
        <v>320</v>
      </c>
      <c r="D890" s="20">
        <v>0</v>
      </c>
      <c r="E890" s="21">
        <v>1</v>
      </c>
      <c r="F890" s="20">
        <f t="shared" si="84"/>
        <v>0</v>
      </c>
      <c r="G890" s="69">
        <v>269230</v>
      </c>
      <c r="H890" s="20">
        <f t="shared" si="85"/>
        <v>0</v>
      </c>
      <c r="I890" s="2"/>
      <c r="J890" s="17"/>
      <c r="K890" s="17"/>
      <c r="L890" s="17"/>
    </row>
    <row r="891" spans="1:12">
      <c r="A891" s="45"/>
      <c r="B891" s="43">
        <v>42</v>
      </c>
      <c r="C891" s="19" t="s">
        <v>322</v>
      </c>
      <c r="D891" s="20">
        <v>0</v>
      </c>
      <c r="E891" s="21">
        <v>1</v>
      </c>
      <c r="F891" s="20">
        <f t="shared" si="84"/>
        <v>0</v>
      </c>
      <c r="G891" s="21">
        <v>31769</v>
      </c>
      <c r="H891" s="20">
        <f t="shared" si="85"/>
        <v>0</v>
      </c>
      <c r="I891" s="2"/>
      <c r="J891" s="17"/>
      <c r="K891" s="17"/>
      <c r="L891" s="17"/>
    </row>
    <row r="892" spans="1:12">
      <c r="A892" s="45"/>
      <c r="B892" s="43">
        <v>43</v>
      </c>
      <c r="C892" s="19"/>
      <c r="D892" s="20">
        <v>0</v>
      </c>
      <c r="E892" s="21">
        <v>1</v>
      </c>
      <c r="F892" s="20">
        <f t="shared" si="84"/>
        <v>0</v>
      </c>
      <c r="G892" s="21">
        <v>31769</v>
      </c>
      <c r="H892" s="20">
        <f t="shared" si="85"/>
        <v>0</v>
      </c>
      <c r="I892" s="2"/>
      <c r="J892" s="17"/>
      <c r="K892" s="17"/>
      <c r="L892" s="17"/>
    </row>
    <row r="893" spans="1:12">
      <c r="A893" s="45"/>
      <c r="B893" s="43">
        <v>44</v>
      </c>
      <c r="C893" s="19"/>
      <c r="D893" s="20">
        <v>0</v>
      </c>
      <c r="E893" s="21">
        <v>1</v>
      </c>
      <c r="F893" s="20">
        <f t="shared" si="84"/>
        <v>0</v>
      </c>
      <c r="G893" s="21">
        <v>113</v>
      </c>
      <c r="H893" s="20">
        <f t="shared" si="85"/>
        <v>0</v>
      </c>
      <c r="I893" s="2"/>
      <c r="J893" s="17"/>
      <c r="K893" s="17"/>
      <c r="L893" s="17"/>
    </row>
    <row r="894" spans="1:12">
      <c r="A894" s="45"/>
      <c r="B894" s="43">
        <v>45</v>
      </c>
      <c r="C894" s="19"/>
      <c r="D894" s="20">
        <v>0</v>
      </c>
      <c r="E894" s="21">
        <v>1</v>
      </c>
      <c r="F894" s="20">
        <f>D894*E894</f>
        <v>0</v>
      </c>
      <c r="G894" s="21">
        <v>102</v>
      </c>
      <c r="H894" s="20">
        <f>F894*G894</f>
        <v>0</v>
      </c>
      <c r="I894" s="2"/>
      <c r="J894" s="17"/>
      <c r="K894" s="17"/>
      <c r="L894" s="17"/>
    </row>
    <row r="895" spans="1:12">
      <c r="A895" s="45"/>
      <c r="B895" s="43"/>
      <c r="C895" s="14" t="s">
        <v>573</v>
      </c>
      <c r="D895" s="20"/>
      <c r="F895" s="20"/>
      <c r="H895" s="25">
        <f>SUM(H850:H894)</f>
        <v>207774</v>
      </c>
      <c r="I895" s="2"/>
      <c r="J895" s="17"/>
      <c r="K895" s="17"/>
      <c r="L895" s="17"/>
    </row>
    <row r="896" spans="1:12">
      <c r="A896" s="45"/>
      <c r="B896" s="43"/>
      <c r="C896" s="14"/>
      <c r="D896" s="20"/>
      <c r="F896" s="20"/>
      <c r="H896" s="25"/>
      <c r="I896" s="2"/>
      <c r="J896" s="17"/>
      <c r="K896" s="17"/>
      <c r="L896" s="17"/>
    </row>
    <row r="897" spans="1:12">
      <c r="A897" s="45"/>
      <c r="B897" s="46"/>
      <c r="C897" s="14" t="s">
        <v>574</v>
      </c>
      <c r="D897" s="20"/>
      <c r="F897" s="20"/>
      <c r="H897" s="20"/>
      <c r="I897" s="2"/>
      <c r="J897" s="17"/>
      <c r="K897" s="17"/>
      <c r="L897" s="17"/>
    </row>
    <row r="898" spans="1:12">
      <c r="A898" s="45"/>
      <c r="B898" s="43">
        <v>1</v>
      </c>
      <c r="C898" s="19"/>
      <c r="D898" s="20">
        <v>0</v>
      </c>
      <c r="E898" s="21">
        <v>1</v>
      </c>
      <c r="F898" s="20">
        <f>D898*E898</f>
        <v>0</v>
      </c>
      <c r="G898" s="21">
        <v>101</v>
      </c>
      <c r="H898" s="20">
        <f>F898*G898</f>
        <v>0</v>
      </c>
      <c r="I898" s="2"/>
      <c r="J898" s="17"/>
      <c r="K898" s="17"/>
      <c r="L898" s="17"/>
    </row>
    <row r="899" spans="1:12">
      <c r="A899" s="45"/>
      <c r="B899" s="43">
        <v>2</v>
      </c>
      <c r="C899" s="19"/>
      <c r="D899" s="20">
        <v>0</v>
      </c>
      <c r="E899" s="21">
        <v>1</v>
      </c>
      <c r="F899" s="20">
        <f>D899*E899</f>
        <v>0</v>
      </c>
      <c r="G899" s="21">
        <v>102</v>
      </c>
      <c r="H899" s="20">
        <f>F899*G899</f>
        <v>0</v>
      </c>
      <c r="I899" s="2"/>
      <c r="J899" s="17"/>
      <c r="K899" s="17"/>
      <c r="L899" s="17"/>
    </row>
    <row r="900" spans="1:12">
      <c r="A900" s="45"/>
      <c r="B900" s="43"/>
      <c r="C900" s="14" t="s">
        <v>575</v>
      </c>
      <c r="D900" s="20"/>
      <c r="F900" s="20"/>
      <c r="H900" s="25">
        <f>SUM(H898:H899)</f>
        <v>0</v>
      </c>
      <c r="I900" s="2"/>
      <c r="J900" s="17"/>
      <c r="K900" s="17"/>
      <c r="L900" s="17"/>
    </row>
    <row r="901" spans="1:12">
      <c r="A901" s="45"/>
      <c r="B901" s="43"/>
      <c r="C901" s="14"/>
      <c r="D901" s="20"/>
      <c r="F901" s="20"/>
      <c r="H901" s="25"/>
      <c r="I901" s="2"/>
      <c r="J901" s="17"/>
      <c r="K901" s="17"/>
      <c r="L901" s="17"/>
    </row>
    <row r="902" spans="1:12">
      <c r="A902" s="45"/>
      <c r="B902" s="43"/>
      <c r="C902" s="14" t="s">
        <v>576</v>
      </c>
      <c r="D902" s="20"/>
      <c r="F902" s="20"/>
      <c r="H902" s="25">
        <f>H810+H815+H820+H825+H830+H847+H895+H900</f>
        <v>207774</v>
      </c>
      <c r="I902" s="2"/>
      <c r="J902" s="17"/>
      <c r="K902" s="17"/>
      <c r="L902" s="17"/>
    </row>
    <row r="903" spans="1:12">
      <c r="A903" s="45"/>
      <c r="B903" s="46"/>
      <c r="C903" s="14"/>
      <c r="D903" s="20"/>
      <c r="F903" s="20"/>
      <c r="H903" s="20"/>
      <c r="I903" s="2"/>
      <c r="J903" s="17"/>
      <c r="K903" s="17"/>
      <c r="L903" s="17"/>
    </row>
    <row r="904" spans="1:12">
      <c r="A904" s="45"/>
      <c r="B904" s="42" t="s">
        <v>577</v>
      </c>
      <c r="C904" s="14" t="s">
        <v>578</v>
      </c>
      <c r="D904" s="20"/>
      <c r="F904" s="20"/>
      <c r="H904" s="20"/>
      <c r="I904" s="2"/>
      <c r="J904" s="17"/>
      <c r="K904" s="17"/>
      <c r="L904" s="17"/>
    </row>
    <row r="905" spans="1:12">
      <c r="A905" s="45"/>
      <c r="B905" s="43">
        <v>1</v>
      </c>
      <c r="C905" s="19"/>
      <c r="D905" s="20">
        <v>0</v>
      </c>
      <c r="E905" s="21">
        <v>1</v>
      </c>
      <c r="F905" s="20">
        <f>D905*E905</f>
        <v>0</v>
      </c>
      <c r="G905" s="21">
        <v>101</v>
      </c>
      <c r="H905" s="20">
        <f>F905*G905</f>
        <v>0</v>
      </c>
      <c r="I905" s="2"/>
      <c r="J905" s="17"/>
      <c r="K905" s="17"/>
      <c r="L905" s="17"/>
    </row>
    <row r="906" spans="1:12">
      <c r="A906" s="45"/>
      <c r="B906" s="43">
        <v>2</v>
      </c>
      <c r="C906" s="19"/>
      <c r="D906" s="20">
        <v>0</v>
      </c>
      <c r="E906" s="21">
        <v>1</v>
      </c>
      <c r="F906" s="20">
        <f>D906*E906</f>
        <v>0</v>
      </c>
      <c r="G906" s="21">
        <v>102</v>
      </c>
      <c r="H906" s="20">
        <f>F906*G906</f>
        <v>0</v>
      </c>
      <c r="I906" s="2"/>
      <c r="J906" s="17"/>
      <c r="K906" s="17"/>
      <c r="L906" s="17"/>
    </row>
    <row r="907" spans="1:12">
      <c r="A907" s="45"/>
      <c r="B907" s="43"/>
      <c r="C907" s="14" t="s">
        <v>579</v>
      </c>
      <c r="D907" s="20"/>
      <c r="F907" s="20"/>
      <c r="H907" s="25">
        <f>SUM(H905:H906)</f>
        <v>0</v>
      </c>
      <c r="I907" s="2"/>
      <c r="J907" s="17"/>
      <c r="K907" s="17"/>
      <c r="L907" s="17"/>
    </row>
    <row r="908" spans="1:12">
      <c r="A908" s="45"/>
      <c r="B908" s="42"/>
      <c r="C908" s="14"/>
      <c r="D908" s="20"/>
      <c r="F908" s="20"/>
      <c r="H908" s="20"/>
      <c r="I908" s="2"/>
      <c r="J908" s="17"/>
      <c r="K908" s="17"/>
      <c r="L908" s="17"/>
    </row>
    <row r="909" spans="1:12">
      <c r="A909" s="45"/>
      <c r="B909" s="46"/>
      <c r="C909" s="14" t="s">
        <v>580</v>
      </c>
      <c r="D909" s="20"/>
      <c r="F909" s="20"/>
      <c r="H909" s="20"/>
      <c r="I909" s="2"/>
      <c r="J909" s="17"/>
      <c r="K909" s="17"/>
      <c r="L909" s="17"/>
    </row>
    <row r="910" spans="1:12">
      <c r="A910" s="45"/>
      <c r="B910" s="43">
        <v>1</v>
      </c>
      <c r="C910" s="19"/>
      <c r="D910" s="20">
        <v>0</v>
      </c>
      <c r="E910" s="21">
        <v>1</v>
      </c>
      <c r="F910" s="20">
        <f>D910*E910</f>
        <v>0</v>
      </c>
      <c r="G910" s="21">
        <v>101</v>
      </c>
      <c r="H910" s="20">
        <f>F910*G910</f>
        <v>0</v>
      </c>
      <c r="I910" s="2"/>
      <c r="J910" s="17"/>
      <c r="K910" s="17"/>
      <c r="L910" s="17"/>
    </row>
    <row r="911" spans="1:12">
      <c r="A911" s="45"/>
      <c r="B911" s="43">
        <v>2</v>
      </c>
      <c r="C911" s="19"/>
      <c r="D911" s="20">
        <v>0</v>
      </c>
      <c r="E911" s="21">
        <v>1</v>
      </c>
      <c r="F911" s="20">
        <f>D911*E911</f>
        <v>0</v>
      </c>
      <c r="G911" s="21">
        <v>102</v>
      </c>
      <c r="H911" s="20">
        <f>F911*G911</f>
        <v>0</v>
      </c>
      <c r="I911" s="2"/>
      <c r="J911" s="17"/>
      <c r="K911" s="17"/>
      <c r="L911" s="17"/>
    </row>
    <row r="912" spans="1:12">
      <c r="A912" s="45"/>
      <c r="B912" s="43"/>
      <c r="C912" s="14" t="s">
        <v>581</v>
      </c>
      <c r="D912" s="20"/>
      <c r="F912" s="20"/>
      <c r="H912" s="25">
        <f>SUM(H910:H911)</f>
        <v>0</v>
      </c>
      <c r="I912" s="2"/>
      <c r="J912" s="17"/>
      <c r="K912" s="17"/>
      <c r="L912" s="17"/>
    </row>
    <row r="913" spans="1:12">
      <c r="A913" s="45"/>
      <c r="B913" s="46"/>
      <c r="C913" s="14"/>
      <c r="D913" s="20"/>
      <c r="F913" s="20"/>
      <c r="H913" s="20"/>
      <c r="I913" s="2"/>
      <c r="J913" s="17"/>
      <c r="K913" s="17"/>
      <c r="L913" s="17"/>
    </row>
    <row r="914" spans="1:12">
      <c r="A914" s="45"/>
      <c r="B914" s="46"/>
      <c r="C914" s="14" t="s">
        <v>582</v>
      </c>
      <c r="D914" s="20"/>
      <c r="F914" s="20"/>
      <c r="H914" s="20"/>
      <c r="I914" s="2"/>
      <c r="J914" s="17"/>
      <c r="K914" s="17"/>
      <c r="L914" s="17"/>
    </row>
    <row r="915" spans="1:12">
      <c r="A915" s="45"/>
      <c r="B915" s="43">
        <v>1</v>
      </c>
      <c r="C915" s="19"/>
      <c r="D915" s="20">
        <v>0</v>
      </c>
      <c r="E915" s="21">
        <v>1</v>
      </c>
      <c r="F915" s="20">
        <f>D915*E915</f>
        <v>0</v>
      </c>
      <c r="G915" s="21">
        <v>101</v>
      </c>
      <c r="H915" s="20">
        <f>F915*G915</f>
        <v>0</v>
      </c>
      <c r="I915" s="2"/>
      <c r="J915" s="17"/>
      <c r="K915" s="17"/>
      <c r="L915" s="17"/>
    </row>
    <row r="916" spans="1:12">
      <c r="A916" s="45"/>
      <c r="B916" s="43">
        <v>2</v>
      </c>
      <c r="C916" s="19"/>
      <c r="D916" s="20">
        <v>0</v>
      </c>
      <c r="E916" s="21">
        <v>1</v>
      </c>
      <c r="F916" s="20">
        <f>D916*E916</f>
        <v>0</v>
      </c>
      <c r="G916" s="21">
        <v>102</v>
      </c>
      <c r="H916" s="20">
        <f>F916*G916</f>
        <v>0</v>
      </c>
      <c r="I916" s="2"/>
      <c r="J916" s="17"/>
      <c r="K916" s="17"/>
      <c r="L916" s="17"/>
    </row>
    <row r="917" spans="1:12">
      <c r="A917" s="45"/>
      <c r="B917" s="43"/>
      <c r="C917" s="14" t="s">
        <v>583</v>
      </c>
      <c r="D917" s="20"/>
      <c r="F917" s="20"/>
      <c r="H917" s="25">
        <f>SUM(H915:H916)</f>
        <v>0</v>
      </c>
      <c r="I917" s="2"/>
      <c r="J917" s="17"/>
      <c r="K917" s="17"/>
      <c r="L917" s="17"/>
    </row>
    <row r="918" spans="1:12">
      <c r="A918" s="45"/>
      <c r="B918" s="46"/>
      <c r="C918" s="14"/>
      <c r="D918" s="20"/>
      <c r="F918" s="20"/>
      <c r="H918" s="20"/>
      <c r="I918" s="2"/>
      <c r="J918" s="17"/>
      <c r="K918" s="17"/>
      <c r="L918" s="17"/>
    </row>
    <row r="919" spans="1:12">
      <c r="A919" s="45"/>
      <c r="B919" s="46"/>
      <c r="C919" s="14" t="s">
        <v>584</v>
      </c>
      <c r="D919" s="20"/>
      <c r="F919" s="20"/>
      <c r="H919" s="20"/>
      <c r="I919" s="2"/>
      <c r="J919" s="17"/>
      <c r="K919" s="17"/>
      <c r="L919" s="17"/>
    </row>
    <row r="920" spans="1:12">
      <c r="A920" s="45"/>
      <c r="B920" s="43">
        <v>1</v>
      </c>
      <c r="C920" s="19"/>
      <c r="D920" s="20">
        <v>0</v>
      </c>
      <c r="E920" s="21">
        <v>1</v>
      </c>
      <c r="F920" s="20">
        <f>D920*E920</f>
        <v>0</v>
      </c>
      <c r="G920" s="21">
        <v>101</v>
      </c>
      <c r="H920" s="20">
        <f>F920*G920</f>
        <v>0</v>
      </c>
      <c r="I920" s="2"/>
      <c r="J920" s="17"/>
      <c r="K920" s="17"/>
      <c r="L920" s="17"/>
    </row>
    <row r="921" spans="1:12">
      <c r="A921" s="45"/>
      <c r="B921" s="43">
        <v>2</v>
      </c>
      <c r="C921" s="19"/>
      <c r="D921" s="20">
        <v>0</v>
      </c>
      <c r="E921" s="21">
        <v>1</v>
      </c>
      <c r="F921" s="20">
        <f>D921*E921</f>
        <v>0</v>
      </c>
      <c r="G921" s="21">
        <v>102</v>
      </c>
      <c r="H921" s="20">
        <f>F921*G921</f>
        <v>0</v>
      </c>
      <c r="I921" s="2"/>
      <c r="J921" s="17"/>
      <c r="K921" s="17"/>
      <c r="L921" s="17"/>
    </row>
    <row r="922" spans="1:12">
      <c r="A922" s="45"/>
      <c r="B922" s="43"/>
      <c r="C922" s="14" t="s">
        <v>585</v>
      </c>
      <c r="D922" s="20"/>
      <c r="F922" s="20"/>
      <c r="H922" s="25">
        <f>SUM(H920:H921)</f>
        <v>0</v>
      </c>
      <c r="I922" s="2"/>
      <c r="J922" s="17"/>
      <c r="K922" s="17"/>
      <c r="L922" s="17"/>
    </row>
    <row r="923" spans="1:12">
      <c r="A923" s="45"/>
      <c r="B923" s="46"/>
      <c r="C923" s="14"/>
      <c r="D923" s="20"/>
      <c r="F923" s="20"/>
      <c r="H923" s="20"/>
      <c r="I923" s="2"/>
      <c r="J923" s="17"/>
      <c r="K923" s="17"/>
      <c r="L923" s="17"/>
    </row>
    <row r="924" spans="1:12">
      <c r="A924" s="45"/>
      <c r="B924" s="46"/>
      <c r="C924" s="14" t="s">
        <v>586</v>
      </c>
      <c r="D924" s="20"/>
      <c r="F924" s="20"/>
      <c r="H924" s="20"/>
      <c r="I924" s="2"/>
      <c r="J924" s="17"/>
      <c r="K924" s="17"/>
      <c r="L924" s="17"/>
    </row>
    <row r="925" spans="1:12">
      <c r="A925" s="45"/>
      <c r="B925" s="43">
        <v>1</v>
      </c>
      <c r="C925" s="19" t="s">
        <v>496</v>
      </c>
      <c r="D925" s="20">
        <v>0</v>
      </c>
      <c r="E925" s="21">
        <v>1</v>
      </c>
      <c r="F925" s="20">
        <f>D925*E925</f>
        <v>0</v>
      </c>
      <c r="G925" s="69">
        <v>5384.6153846153848</v>
      </c>
      <c r="H925" s="20">
        <f>F925*G925</f>
        <v>0</v>
      </c>
      <c r="I925" s="2"/>
      <c r="J925" s="17"/>
      <c r="K925" s="17"/>
      <c r="L925" s="17"/>
    </row>
    <row r="926" spans="1:12">
      <c r="A926" s="45"/>
      <c r="B926" s="43">
        <v>2</v>
      </c>
      <c r="C926" s="19" t="s">
        <v>497</v>
      </c>
      <c r="D926" s="20">
        <v>0</v>
      </c>
      <c r="E926" s="21">
        <v>1</v>
      </c>
      <c r="F926" s="20">
        <f t="shared" ref="F926:F937" si="86">D926*E926</f>
        <v>0</v>
      </c>
      <c r="G926" s="69">
        <v>8307.6923076923067</v>
      </c>
      <c r="H926" s="20">
        <f t="shared" ref="H926:H937" si="87">F926*G926</f>
        <v>0</v>
      </c>
      <c r="I926" s="2"/>
      <c r="J926" s="17"/>
      <c r="K926" s="17"/>
      <c r="L926" s="17"/>
    </row>
    <row r="927" spans="1:12">
      <c r="A927" s="45"/>
      <c r="B927" s="43">
        <v>3</v>
      </c>
      <c r="C927" s="19" t="s">
        <v>587</v>
      </c>
      <c r="D927" s="20">
        <v>0</v>
      </c>
      <c r="E927" s="21">
        <v>1</v>
      </c>
      <c r="F927" s="20">
        <f t="shared" si="86"/>
        <v>0</v>
      </c>
      <c r="G927" s="69">
        <v>60.769230769230766</v>
      </c>
      <c r="H927" s="20">
        <f t="shared" si="87"/>
        <v>0</v>
      </c>
      <c r="I927" s="2"/>
      <c r="J927" s="17"/>
      <c r="K927" s="17"/>
      <c r="L927" s="17"/>
    </row>
    <row r="928" spans="1:12">
      <c r="A928" s="45"/>
      <c r="B928" s="43">
        <v>4</v>
      </c>
      <c r="C928" s="19" t="s">
        <v>503</v>
      </c>
      <c r="D928" s="20">
        <v>0</v>
      </c>
      <c r="E928" s="21">
        <v>1</v>
      </c>
      <c r="F928" s="20">
        <f t="shared" si="86"/>
        <v>0</v>
      </c>
      <c r="G928" s="69">
        <v>40</v>
      </c>
      <c r="H928" s="20">
        <f t="shared" si="87"/>
        <v>0</v>
      </c>
      <c r="I928" s="2"/>
      <c r="J928" s="17"/>
      <c r="K928" s="17"/>
      <c r="L928" s="17"/>
    </row>
    <row r="929" spans="1:12">
      <c r="A929" s="45"/>
      <c r="B929" s="43">
        <v>5</v>
      </c>
      <c r="C929" s="19" t="s">
        <v>504</v>
      </c>
      <c r="D929" s="20">
        <v>0</v>
      </c>
      <c r="E929" s="21">
        <v>0.42599999999999999</v>
      </c>
      <c r="F929" s="20">
        <f t="shared" si="86"/>
        <v>0</v>
      </c>
      <c r="G929" s="69">
        <v>49000</v>
      </c>
      <c r="H929" s="20">
        <f t="shared" si="87"/>
        <v>0</v>
      </c>
      <c r="I929" s="2"/>
      <c r="J929" s="17"/>
      <c r="K929" s="17"/>
      <c r="L929" s="17"/>
    </row>
    <row r="930" spans="1:12">
      <c r="A930" s="45"/>
      <c r="B930" s="43">
        <v>6</v>
      </c>
      <c r="C930" s="19" t="s">
        <v>354</v>
      </c>
      <c r="D930" s="20">
        <v>0</v>
      </c>
      <c r="E930" s="21">
        <v>1</v>
      </c>
      <c r="F930" s="20">
        <f t="shared" si="86"/>
        <v>0</v>
      </c>
      <c r="G930" s="69">
        <v>230.76923076923077</v>
      </c>
      <c r="H930" s="20">
        <f t="shared" si="87"/>
        <v>0</v>
      </c>
      <c r="I930" s="2"/>
      <c r="J930" s="17"/>
      <c r="K930" s="17"/>
      <c r="L930" s="17"/>
    </row>
    <row r="931" spans="1:12">
      <c r="A931" s="45"/>
      <c r="B931" s="43">
        <v>7</v>
      </c>
      <c r="C931" s="19" t="s">
        <v>43</v>
      </c>
      <c r="D931" s="20">
        <v>0</v>
      </c>
      <c r="E931" s="21">
        <v>0.58199999999999996</v>
      </c>
      <c r="F931" s="20">
        <f t="shared" si="86"/>
        <v>0</v>
      </c>
      <c r="G931" s="69">
        <v>177.69230769230768</v>
      </c>
      <c r="H931" s="20">
        <f t="shared" si="87"/>
        <v>0</v>
      </c>
      <c r="I931" s="2"/>
      <c r="J931" s="17"/>
      <c r="K931" s="17"/>
      <c r="L931" s="17"/>
    </row>
    <row r="932" spans="1:12">
      <c r="A932" s="45"/>
      <c r="B932" s="43">
        <v>8</v>
      </c>
      <c r="C932" s="19" t="s">
        <v>45</v>
      </c>
      <c r="D932" s="20">
        <v>0</v>
      </c>
      <c r="E932" s="21">
        <v>0.58199999999999996</v>
      </c>
      <c r="F932" s="20">
        <f t="shared" si="86"/>
        <v>0</v>
      </c>
      <c r="G932" s="69">
        <v>77.692307692307693</v>
      </c>
      <c r="H932" s="20">
        <f t="shared" si="87"/>
        <v>0</v>
      </c>
      <c r="I932" s="2"/>
      <c r="J932" s="17"/>
      <c r="K932" s="17"/>
      <c r="L932" s="17"/>
    </row>
    <row r="933" spans="1:12">
      <c r="A933" s="45"/>
      <c r="B933" s="43">
        <v>9</v>
      </c>
      <c r="C933" s="19" t="s">
        <v>47</v>
      </c>
      <c r="D933" s="20">
        <v>0</v>
      </c>
      <c r="E933" s="21">
        <v>0.58199999999999996</v>
      </c>
      <c r="F933" s="20">
        <f t="shared" si="86"/>
        <v>0</v>
      </c>
      <c r="G933" s="69">
        <v>264.61538461538458</v>
      </c>
      <c r="H933" s="20">
        <f t="shared" si="87"/>
        <v>0</v>
      </c>
      <c r="I933" s="2"/>
      <c r="J933" s="17"/>
      <c r="K933" s="17"/>
      <c r="L933" s="17"/>
    </row>
    <row r="934" spans="1:12">
      <c r="A934" s="45"/>
      <c r="B934" s="43">
        <v>10</v>
      </c>
      <c r="C934" s="19" t="s">
        <v>51</v>
      </c>
      <c r="D934" s="20">
        <v>0</v>
      </c>
      <c r="E934" s="21">
        <v>0.216</v>
      </c>
      <c r="F934" s="20">
        <f t="shared" si="86"/>
        <v>0</v>
      </c>
      <c r="G934" s="69">
        <v>150</v>
      </c>
      <c r="H934" s="20">
        <f t="shared" si="87"/>
        <v>0</v>
      </c>
      <c r="I934" s="2"/>
      <c r="J934" s="17"/>
      <c r="K934" s="17"/>
      <c r="L934" s="17"/>
    </row>
    <row r="935" spans="1:12">
      <c r="A935" s="45"/>
      <c r="B935" s="43">
        <v>11</v>
      </c>
      <c r="C935" s="19" t="s">
        <v>52</v>
      </c>
      <c r="D935" s="20">
        <v>0</v>
      </c>
      <c r="E935" s="21">
        <v>0.14399999999999999</v>
      </c>
      <c r="F935" s="20">
        <f t="shared" si="86"/>
        <v>0</v>
      </c>
      <c r="G935" s="69">
        <v>9000</v>
      </c>
      <c r="H935" s="20">
        <f t="shared" si="87"/>
        <v>0</v>
      </c>
      <c r="I935" s="2"/>
      <c r="J935" s="17"/>
      <c r="K935" s="17"/>
      <c r="L935" s="17"/>
    </row>
    <row r="936" spans="1:12">
      <c r="A936" s="45"/>
      <c r="B936" s="43">
        <v>12</v>
      </c>
      <c r="C936" s="19"/>
      <c r="D936" s="20">
        <v>0</v>
      </c>
      <c r="E936" s="21">
        <v>1</v>
      </c>
      <c r="F936" s="20">
        <f t="shared" si="86"/>
        <v>0</v>
      </c>
      <c r="G936" s="21">
        <v>112</v>
      </c>
      <c r="H936" s="20">
        <f t="shared" si="87"/>
        <v>0</v>
      </c>
      <c r="I936" s="2"/>
      <c r="J936" s="17"/>
      <c r="K936" s="17"/>
      <c r="L936" s="17"/>
    </row>
    <row r="937" spans="1:12">
      <c r="A937" s="45"/>
      <c r="B937" s="43">
        <v>13</v>
      </c>
      <c r="C937" s="19"/>
      <c r="D937" s="20">
        <v>0</v>
      </c>
      <c r="E937" s="21">
        <v>1</v>
      </c>
      <c r="F937" s="20">
        <f t="shared" si="86"/>
        <v>0</v>
      </c>
      <c r="G937" s="21">
        <v>113</v>
      </c>
      <c r="H937" s="20">
        <f t="shared" si="87"/>
        <v>0</v>
      </c>
      <c r="I937" s="2"/>
      <c r="J937" s="17"/>
      <c r="K937" s="17"/>
      <c r="L937" s="17"/>
    </row>
    <row r="938" spans="1:12">
      <c r="A938" s="45"/>
      <c r="B938" s="43">
        <v>14</v>
      </c>
      <c r="C938" s="19"/>
      <c r="D938" s="20">
        <v>0</v>
      </c>
      <c r="E938" s="21">
        <v>1</v>
      </c>
      <c r="F938" s="20">
        <f>D938*E938</f>
        <v>0</v>
      </c>
      <c r="G938" s="21">
        <v>102</v>
      </c>
      <c r="H938" s="20">
        <f>F938*G938</f>
        <v>0</v>
      </c>
      <c r="I938" s="2"/>
      <c r="J938" s="17"/>
      <c r="K938" s="17"/>
      <c r="L938" s="17"/>
    </row>
    <row r="939" spans="1:12">
      <c r="A939" s="45"/>
      <c r="B939" s="43"/>
      <c r="C939" s="14" t="s">
        <v>588</v>
      </c>
      <c r="D939" s="20"/>
      <c r="F939" s="20"/>
      <c r="H939" s="25">
        <f>SUM(H925:H938)</f>
        <v>0</v>
      </c>
      <c r="I939" s="2"/>
      <c r="J939" s="17"/>
      <c r="K939" s="17"/>
      <c r="L939" s="17"/>
    </row>
    <row r="940" spans="1:12">
      <c r="A940" s="45"/>
      <c r="B940" s="46"/>
      <c r="C940" s="14"/>
      <c r="D940" s="20"/>
      <c r="F940" s="20"/>
      <c r="H940" s="20"/>
      <c r="I940" s="2"/>
      <c r="J940" s="17"/>
      <c r="K940" s="17"/>
      <c r="L940" s="17"/>
    </row>
    <row r="941" spans="1:12">
      <c r="A941" s="45"/>
      <c r="B941" s="46"/>
      <c r="C941" s="14" t="s">
        <v>589</v>
      </c>
      <c r="D941" s="20"/>
      <c r="F941" s="20"/>
      <c r="H941" s="20"/>
      <c r="I941" s="2"/>
      <c r="J941" s="17"/>
      <c r="K941" s="17"/>
      <c r="L941" s="17"/>
    </row>
    <row r="942" spans="1:12">
      <c r="A942" s="45"/>
      <c r="B942" s="43">
        <v>1</v>
      </c>
      <c r="C942" s="19"/>
      <c r="D942" s="20">
        <v>0</v>
      </c>
      <c r="E942" s="21">
        <v>1</v>
      </c>
      <c r="F942" s="20">
        <f>D942*E942</f>
        <v>0</v>
      </c>
      <c r="G942" s="21">
        <v>101</v>
      </c>
      <c r="H942" s="20">
        <f>F942*G942</f>
        <v>0</v>
      </c>
      <c r="I942" s="2"/>
      <c r="J942" s="17"/>
      <c r="K942" s="17"/>
      <c r="L942" s="17"/>
    </row>
    <row r="943" spans="1:12">
      <c r="A943" s="45"/>
      <c r="B943" s="43">
        <v>2</v>
      </c>
      <c r="C943" s="19"/>
      <c r="D943" s="20">
        <v>0</v>
      </c>
      <c r="E943" s="21">
        <v>1</v>
      </c>
      <c r="F943" s="20">
        <f>D943*E943</f>
        <v>0</v>
      </c>
      <c r="G943" s="21">
        <v>102</v>
      </c>
      <c r="H943" s="20">
        <f>F943*G943</f>
        <v>0</v>
      </c>
      <c r="I943" s="2"/>
      <c r="J943" s="17"/>
      <c r="K943" s="17"/>
      <c r="L943" s="17"/>
    </row>
    <row r="944" spans="1:12">
      <c r="A944" s="45"/>
      <c r="B944" s="43"/>
      <c r="C944" s="14" t="s">
        <v>590</v>
      </c>
      <c r="D944" s="20"/>
      <c r="F944" s="20"/>
      <c r="H944" s="25">
        <f>SUM(H942:H943)</f>
        <v>0</v>
      </c>
      <c r="I944" s="2"/>
      <c r="J944" s="17"/>
      <c r="K944" s="17"/>
      <c r="L944" s="17"/>
    </row>
    <row r="945" spans="1:12">
      <c r="A945" s="45"/>
      <c r="B945" s="46"/>
      <c r="C945" s="14"/>
      <c r="D945" s="20"/>
      <c r="F945" s="20"/>
      <c r="H945" s="20"/>
      <c r="I945" s="2"/>
      <c r="J945" s="17"/>
      <c r="K945" s="17"/>
      <c r="L945" s="17"/>
    </row>
    <row r="946" spans="1:12">
      <c r="A946" s="45"/>
      <c r="B946" s="46"/>
      <c r="C946" s="14" t="s">
        <v>591</v>
      </c>
      <c r="D946" s="20"/>
      <c r="F946" s="20"/>
      <c r="H946" s="20"/>
      <c r="I946" s="2"/>
      <c r="J946" s="17"/>
      <c r="K946" s="17"/>
      <c r="L946" s="17"/>
    </row>
    <row r="947" spans="1:12">
      <c r="A947" s="45"/>
      <c r="B947" s="43">
        <v>1</v>
      </c>
      <c r="C947" s="19"/>
      <c r="D947" s="20">
        <v>0</v>
      </c>
      <c r="E947" s="21">
        <v>1</v>
      </c>
      <c r="F947" s="20">
        <f>D947*E947</f>
        <v>0</v>
      </c>
      <c r="G947" s="21">
        <v>101</v>
      </c>
      <c r="H947" s="20">
        <f>F947*G947</f>
        <v>0</v>
      </c>
      <c r="I947" s="2"/>
      <c r="J947" s="17"/>
      <c r="K947" s="17"/>
      <c r="L947" s="17"/>
    </row>
    <row r="948" spans="1:12">
      <c r="A948" s="45"/>
      <c r="B948" s="43">
        <v>2</v>
      </c>
      <c r="C948" s="19"/>
      <c r="D948" s="20">
        <v>0</v>
      </c>
      <c r="E948" s="21">
        <v>1</v>
      </c>
      <c r="F948" s="20">
        <f>D948*E948</f>
        <v>0</v>
      </c>
      <c r="G948" s="21">
        <v>102</v>
      </c>
      <c r="H948" s="20">
        <f>F948*G948</f>
        <v>0</v>
      </c>
      <c r="I948" s="2"/>
      <c r="J948" s="17"/>
      <c r="K948" s="17"/>
      <c r="L948" s="17"/>
    </row>
    <row r="949" spans="1:12">
      <c r="A949" s="45"/>
      <c r="B949" s="43"/>
      <c r="C949" s="14" t="s">
        <v>592</v>
      </c>
      <c r="D949" s="20"/>
      <c r="F949" s="20"/>
      <c r="H949" s="25">
        <f>SUM(H947:H948)</f>
        <v>0</v>
      </c>
      <c r="I949" s="2"/>
      <c r="J949" s="17"/>
      <c r="K949" s="17"/>
      <c r="L949" s="17"/>
    </row>
    <row r="950" spans="1:12">
      <c r="A950" s="45"/>
      <c r="B950" s="43"/>
      <c r="C950" s="14"/>
      <c r="D950" s="20"/>
      <c r="F950" s="20"/>
      <c r="H950" s="25"/>
      <c r="I950" s="2"/>
      <c r="J950" s="17"/>
      <c r="K950" s="17"/>
      <c r="L950" s="17"/>
    </row>
    <row r="951" spans="1:12">
      <c r="A951" s="45"/>
      <c r="B951" s="46"/>
      <c r="C951" s="14" t="s">
        <v>593</v>
      </c>
      <c r="D951" s="20"/>
      <c r="F951" s="20"/>
      <c r="H951" s="20"/>
      <c r="I951" s="2"/>
      <c r="J951" s="17"/>
      <c r="K951" s="17"/>
      <c r="L951" s="17"/>
    </row>
    <row r="952" spans="1:12">
      <c r="A952" s="45"/>
      <c r="B952" s="43">
        <v>1</v>
      </c>
      <c r="C952" s="19"/>
      <c r="D952" s="20">
        <v>0</v>
      </c>
      <c r="E952" s="21">
        <v>1</v>
      </c>
      <c r="F952" s="20">
        <f>D952*E952</f>
        <v>0</v>
      </c>
      <c r="G952" s="21">
        <v>101</v>
      </c>
      <c r="H952" s="20">
        <f>F952*G952</f>
        <v>0</v>
      </c>
      <c r="I952" s="2"/>
      <c r="J952" s="17"/>
      <c r="K952" s="17"/>
      <c r="L952" s="17"/>
    </row>
    <row r="953" spans="1:12">
      <c r="A953" s="45"/>
      <c r="B953" s="43">
        <v>2</v>
      </c>
      <c r="C953" s="19"/>
      <c r="D953" s="20">
        <v>0</v>
      </c>
      <c r="E953" s="21">
        <v>1</v>
      </c>
      <c r="F953" s="20">
        <f>D953*E953</f>
        <v>0</v>
      </c>
      <c r="G953" s="21">
        <v>102</v>
      </c>
      <c r="H953" s="20">
        <f>F953*G953</f>
        <v>0</v>
      </c>
      <c r="I953" s="2"/>
      <c r="J953" s="17"/>
      <c r="K953" s="17"/>
      <c r="L953" s="17"/>
    </row>
    <row r="954" spans="1:12">
      <c r="A954" s="45"/>
      <c r="B954" s="43"/>
      <c r="C954" s="14" t="s">
        <v>594</v>
      </c>
      <c r="D954" s="20"/>
      <c r="F954" s="20"/>
      <c r="H954" s="25">
        <f>SUM(H952:H953)</f>
        <v>0</v>
      </c>
      <c r="I954" s="2"/>
      <c r="J954" s="17"/>
      <c r="K954" s="17"/>
      <c r="L954" s="17"/>
    </row>
    <row r="955" spans="1:12">
      <c r="A955" s="45"/>
      <c r="B955" s="43"/>
      <c r="C955" s="14"/>
      <c r="D955" s="20"/>
      <c r="F955" s="20"/>
      <c r="H955" s="25"/>
      <c r="I955" s="2"/>
      <c r="J955" s="17"/>
      <c r="K955" s="17"/>
      <c r="L955" s="17"/>
    </row>
    <row r="956" spans="1:12">
      <c r="A956" s="45"/>
      <c r="B956" s="46"/>
      <c r="C956" s="14" t="s">
        <v>595</v>
      </c>
      <c r="D956" s="20"/>
      <c r="F956" s="20"/>
      <c r="H956" s="25">
        <f>H907+H912+H917+H922+H939+H944+H949+H954</f>
        <v>0</v>
      </c>
      <c r="I956" s="2"/>
      <c r="J956" s="17"/>
      <c r="K956" s="17"/>
      <c r="L956" s="17"/>
    </row>
    <row r="957" spans="1:12">
      <c r="A957" s="45"/>
      <c r="B957" s="46"/>
      <c r="C957" s="14"/>
      <c r="D957" s="20"/>
      <c r="F957" s="20"/>
      <c r="H957" s="20"/>
      <c r="I957" s="2"/>
      <c r="J957" s="17"/>
      <c r="K957" s="17"/>
      <c r="L957" s="17"/>
    </row>
    <row r="958" spans="1:12" ht="26">
      <c r="A958" s="45"/>
      <c r="B958" s="42" t="s">
        <v>596</v>
      </c>
      <c r="C958" s="14" t="s">
        <v>597</v>
      </c>
      <c r="D958" s="20"/>
      <c r="F958" s="20"/>
      <c r="H958" s="20"/>
      <c r="I958" s="2"/>
      <c r="J958" s="17"/>
      <c r="K958" s="17"/>
      <c r="L958" s="17"/>
    </row>
    <row r="959" spans="1:12">
      <c r="A959" s="45"/>
      <c r="B959" s="43">
        <v>1</v>
      </c>
      <c r="C959" s="19"/>
      <c r="D959" s="20">
        <v>0</v>
      </c>
      <c r="E959" s="21">
        <v>0</v>
      </c>
      <c r="F959" s="20">
        <f>D959*E959</f>
        <v>0</v>
      </c>
      <c r="G959" s="21">
        <v>101</v>
      </c>
      <c r="H959" s="20">
        <f>F959*G959</f>
        <v>0</v>
      </c>
      <c r="I959" s="2"/>
      <c r="J959" s="17"/>
      <c r="K959" s="17"/>
      <c r="L959" s="17"/>
    </row>
    <row r="960" spans="1:12">
      <c r="A960" s="45"/>
      <c r="B960" s="43">
        <v>2</v>
      </c>
      <c r="C960" s="19"/>
      <c r="D960" s="20">
        <v>0</v>
      </c>
      <c r="E960" s="21">
        <v>1</v>
      </c>
      <c r="F960" s="20">
        <f t="shared" ref="F960:F964" si="88">D960*E960</f>
        <v>0</v>
      </c>
      <c r="G960" s="21">
        <v>102</v>
      </c>
      <c r="H960" s="20">
        <f t="shared" ref="H960:H964" si="89">F960*G960</f>
        <v>0</v>
      </c>
      <c r="I960" s="2"/>
      <c r="J960" s="17"/>
      <c r="K960" s="17"/>
      <c r="L960" s="17"/>
    </row>
    <row r="961" spans="1:12">
      <c r="A961" s="45"/>
      <c r="B961" s="43">
        <v>3</v>
      </c>
      <c r="C961" s="19"/>
      <c r="D961" s="20">
        <v>0</v>
      </c>
      <c r="E961" s="21">
        <v>1</v>
      </c>
      <c r="F961" s="20">
        <f t="shared" si="88"/>
        <v>0</v>
      </c>
      <c r="G961" s="21">
        <v>103</v>
      </c>
      <c r="H961" s="20">
        <f t="shared" si="89"/>
        <v>0</v>
      </c>
      <c r="I961" s="2"/>
      <c r="J961" s="17"/>
      <c r="K961" s="17"/>
      <c r="L961" s="17"/>
    </row>
    <row r="962" spans="1:12">
      <c r="A962" s="45"/>
      <c r="B962" s="43">
        <v>4</v>
      </c>
      <c r="C962" s="19"/>
      <c r="D962" s="20">
        <v>0</v>
      </c>
      <c r="E962" s="21">
        <v>1</v>
      </c>
      <c r="F962" s="20">
        <f t="shared" si="88"/>
        <v>0</v>
      </c>
      <c r="G962" s="21">
        <v>104</v>
      </c>
      <c r="H962" s="20">
        <f t="shared" si="89"/>
        <v>0</v>
      </c>
      <c r="I962" s="2"/>
      <c r="J962" s="17"/>
      <c r="K962" s="17"/>
      <c r="L962" s="17"/>
    </row>
    <row r="963" spans="1:12">
      <c r="A963" s="45"/>
      <c r="B963" s="43">
        <v>5</v>
      </c>
      <c r="C963" s="19"/>
      <c r="D963" s="20">
        <v>0</v>
      </c>
      <c r="E963" s="21">
        <v>1</v>
      </c>
      <c r="F963" s="20">
        <f t="shared" si="88"/>
        <v>0</v>
      </c>
      <c r="G963" s="21">
        <v>105</v>
      </c>
      <c r="H963" s="20">
        <f t="shared" si="89"/>
        <v>0</v>
      </c>
      <c r="I963" s="2"/>
      <c r="J963" s="17"/>
      <c r="K963" s="17"/>
      <c r="L963" s="17"/>
    </row>
    <row r="964" spans="1:12">
      <c r="A964" s="45"/>
      <c r="B964" s="43">
        <v>6</v>
      </c>
      <c r="C964" s="19"/>
      <c r="D964" s="20">
        <v>0</v>
      </c>
      <c r="E964" s="21">
        <v>1</v>
      </c>
      <c r="F964" s="20">
        <f t="shared" si="88"/>
        <v>0</v>
      </c>
      <c r="G964" s="21">
        <v>106</v>
      </c>
      <c r="H964" s="20">
        <f t="shared" si="89"/>
        <v>0</v>
      </c>
      <c r="I964" s="2"/>
      <c r="J964" s="17"/>
      <c r="K964" s="17"/>
      <c r="L964" s="17"/>
    </row>
    <row r="965" spans="1:12">
      <c r="A965" s="45"/>
      <c r="B965" s="43"/>
      <c r="C965" s="14" t="s">
        <v>598</v>
      </c>
      <c r="D965" s="20"/>
      <c r="F965" s="20"/>
      <c r="H965" s="25">
        <f>SUM(H959:H964)</f>
        <v>0</v>
      </c>
      <c r="I965" s="2"/>
      <c r="J965" s="17"/>
      <c r="K965" s="17"/>
      <c r="L965" s="17"/>
    </row>
    <row r="966" spans="1:12">
      <c r="A966" s="45"/>
      <c r="B966" s="42"/>
      <c r="C966" s="14"/>
      <c r="D966" s="20"/>
      <c r="F966" s="20"/>
      <c r="H966" s="20"/>
      <c r="I966" s="2"/>
      <c r="J966" s="17"/>
      <c r="K966" s="17"/>
      <c r="L966" s="17"/>
    </row>
    <row r="967" spans="1:12">
      <c r="A967" s="45"/>
      <c r="B967" s="46"/>
      <c r="C967" s="14" t="s">
        <v>599</v>
      </c>
      <c r="D967" s="20"/>
      <c r="F967" s="20"/>
      <c r="H967" s="20"/>
      <c r="I967" s="2"/>
      <c r="J967" s="17"/>
      <c r="K967" s="17"/>
      <c r="L967" s="17"/>
    </row>
    <row r="968" spans="1:12">
      <c r="A968" s="45"/>
      <c r="B968" s="43">
        <v>1</v>
      </c>
      <c r="C968" s="19"/>
      <c r="D968" s="20">
        <v>0</v>
      </c>
      <c r="E968" s="21">
        <v>1</v>
      </c>
      <c r="F968" s="20">
        <f>D968*E968</f>
        <v>0</v>
      </c>
      <c r="G968" s="21">
        <v>101</v>
      </c>
      <c r="H968" s="20">
        <f>F968*G968</f>
        <v>0</v>
      </c>
      <c r="I968" s="2"/>
      <c r="J968" s="17"/>
      <c r="K968" s="17"/>
      <c r="L968" s="17"/>
    </row>
    <row r="969" spans="1:12">
      <c r="A969" s="45"/>
      <c r="B969" s="43">
        <v>2</v>
      </c>
      <c r="C969" s="19"/>
      <c r="D969" s="20"/>
      <c r="F969" s="20"/>
      <c r="H969" s="20"/>
      <c r="I969" s="2"/>
      <c r="J969" s="17"/>
      <c r="K969" s="17"/>
      <c r="L969" s="17"/>
    </row>
    <row r="970" spans="1:12">
      <c r="A970" s="45"/>
      <c r="B970" s="43">
        <v>3</v>
      </c>
      <c r="C970" s="19"/>
      <c r="D970" s="20"/>
      <c r="F970" s="20"/>
      <c r="H970" s="20"/>
      <c r="I970" s="2"/>
      <c r="J970" s="17"/>
      <c r="K970" s="17"/>
      <c r="L970" s="17"/>
    </row>
    <row r="971" spans="1:12">
      <c r="A971" s="45"/>
      <c r="B971" s="43">
        <v>4</v>
      </c>
      <c r="C971" s="19"/>
      <c r="D971" s="20"/>
      <c r="F971" s="20"/>
      <c r="H971" s="20"/>
      <c r="I971" s="2"/>
      <c r="J971" s="17"/>
      <c r="K971" s="17"/>
      <c r="L971" s="17"/>
    </row>
    <row r="972" spans="1:12">
      <c r="A972" s="45"/>
      <c r="B972" s="43">
        <v>5</v>
      </c>
      <c r="C972" s="19"/>
      <c r="D972" s="20">
        <v>0</v>
      </c>
      <c r="E972" s="21">
        <v>1</v>
      </c>
      <c r="F972" s="20">
        <f>D972*E972</f>
        <v>0</v>
      </c>
      <c r="G972" s="21">
        <v>102</v>
      </c>
      <c r="H972" s="20">
        <f>F972*G972</f>
        <v>0</v>
      </c>
      <c r="I972" s="2"/>
      <c r="J972" s="17"/>
      <c r="K972" s="17"/>
      <c r="L972" s="17"/>
    </row>
    <row r="973" spans="1:12">
      <c r="A973" s="45"/>
      <c r="B973" s="43"/>
      <c r="C973" s="14" t="s">
        <v>600</v>
      </c>
      <c r="D973" s="20"/>
      <c r="F973" s="20"/>
      <c r="H973" s="25">
        <f>SUM(H968:H972)</f>
        <v>0</v>
      </c>
      <c r="I973" s="2"/>
      <c r="J973" s="17"/>
      <c r="K973" s="17"/>
      <c r="L973" s="17"/>
    </row>
    <row r="974" spans="1:12">
      <c r="A974" s="45"/>
      <c r="B974" s="46"/>
      <c r="C974" s="14"/>
      <c r="D974" s="20"/>
      <c r="F974" s="20"/>
      <c r="H974" s="20"/>
      <c r="I974" s="2"/>
      <c r="J974" s="17"/>
      <c r="K974" s="17"/>
      <c r="L974" s="17"/>
    </row>
    <row r="975" spans="1:12">
      <c r="A975" s="45"/>
      <c r="B975" s="46"/>
      <c r="C975" s="14" t="s">
        <v>601</v>
      </c>
      <c r="D975" s="20"/>
      <c r="F975" s="20"/>
      <c r="H975" s="20"/>
      <c r="I975" s="2"/>
      <c r="J975" s="17"/>
      <c r="K975" s="17"/>
      <c r="L975" s="17"/>
    </row>
    <row r="976" spans="1:12">
      <c r="A976" s="45"/>
      <c r="B976" s="43">
        <v>1</v>
      </c>
      <c r="C976" s="19"/>
      <c r="D976" s="20">
        <v>0</v>
      </c>
      <c r="E976" s="21">
        <v>1</v>
      </c>
      <c r="F976" s="20">
        <f>D976*E976</f>
        <v>0</v>
      </c>
      <c r="G976" s="21">
        <v>101</v>
      </c>
      <c r="H976" s="20">
        <f>F976*G976</f>
        <v>0</v>
      </c>
      <c r="I976" s="2"/>
      <c r="J976" s="17"/>
      <c r="K976" s="17"/>
      <c r="L976" s="17"/>
    </row>
    <row r="977" spans="1:12">
      <c r="A977" s="45"/>
      <c r="B977" s="43">
        <v>2</v>
      </c>
      <c r="C977" s="19"/>
      <c r="D977" s="20"/>
      <c r="F977" s="20"/>
      <c r="H977" s="20"/>
      <c r="I977" s="2"/>
      <c r="J977" s="17"/>
      <c r="K977" s="17"/>
      <c r="L977" s="17"/>
    </row>
    <row r="978" spans="1:12">
      <c r="A978" s="45"/>
      <c r="B978" s="43">
        <v>3</v>
      </c>
      <c r="C978" s="19"/>
      <c r="D978" s="20"/>
      <c r="F978" s="20"/>
      <c r="H978" s="20"/>
      <c r="I978" s="2"/>
      <c r="J978" s="17"/>
      <c r="K978" s="17"/>
      <c r="L978" s="17"/>
    </row>
    <row r="979" spans="1:12">
      <c r="A979" s="45"/>
      <c r="B979" s="43">
        <v>4</v>
      </c>
      <c r="C979" s="19"/>
      <c r="D979" s="20"/>
      <c r="F979" s="20"/>
      <c r="H979" s="20"/>
      <c r="I979" s="2"/>
      <c r="J979" s="17"/>
      <c r="K979" s="17"/>
      <c r="L979" s="17"/>
    </row>
    <row r="980" spans="1:12">
      <c r="A980" s="45"/>
      <c r="B980" s="43">
        <v>5</v>
      </c>
      <c r="C980" s="19"/>
      <c r="D980" s="20"/>
      <c r="F980" s="20"/>
      <c r="H980" s="20"/>
      <c r="I980" s="2"/>
      <c r="J980" s="17"/>
      <c r="K980" s="17"/>
      <c r="L980" s="17"/>
    </row>
    <row r="981" spans="1:12">
      <c r="A981" s="45"/>
      <c r="B981" s="43">
        <v>6</v>
      </c>
      <c r="C981" s="19"/>
      <c r="D981" s="20">
        <v>0</v>
      </c>
      <c r="E981" s="21">
        <v>1</v>
      </c>
      <c r="F981" s="20">
        <f>D981*E981</f>
        <v>0</v>
      </c>
      <c r="G981" s="21">
        <v>102</v>
      </c>
      <c r="H981" s="20">
        <f>F981*G981</f>
        <v>0</v>
      </c>
      <c r="I981" s="2"/>
      <c r="J981" s="17"/>
      <c r="K981" s="17"/>
      <c r="L981" s="17"/>
    </row>
    <row r="982" spans="1:12">
      <c r="A982" s="45"/>
      <c r="B982" s="43"/>
      <c r="C982" s="14" t="s">
        <v>602</v>
      </c>
      <c r="D982" s="20"/>
      <c r="F982" s="20"/>
      <c r="H982" s="25">
        <f>SUM(H976:H981)</f>
        <v>0</v>
      </c>
      <c r="I982" s="2"/>
      <c r="J982" s="17"/>
      <c r="K982" s="17"/>
      <c r="L982" s="17"/>
    </row>
    <row r="983" spans="1:12">
      <c r="A983" s="45"/>
      <c r="B983" s="46"/>
      <c r="C983" s="14"/>
      <c r="D983" s="20"/>
      <c r="F983" s="20"/>
      <c r="H983" s="20"/>
      <c r="I983" s="2"/>
      <c r="J983" s="17"/>
      <c r="K983" s="17"/>
      <c r="L983" s="17"/>
    </row>
    <row r="984" spans="1:12">
      <c r="A984" s="45"/>
      <c r="B984" s="46"/>
      <c r="C984" s="14" t="s">
        <v>603</v>
      </c>
      <c r="D984" s="20"/>
      <c r="F984" s="20"/>
      <c r="H984" s="20"/>
      <c r="I984" s="2"/>
      <c r="J984" s="17"/>
      <c r="K984" s="17"/>
      <c r="L984" s="17"/>
    </row>
    <row r="985" spans="1:12">
      <c r="A985" s="45"/>
      <c r="B985" s="43">
        <v>1</v>
      </c>
      <c r="C985" s="19"/>
      <c r="D985" s="20">
        <v>0</v>
      </c>
      <c r="E985" s="21">
        <v>1</v>
      </c>
      <c r="F985" s="20">
        <f>D985*E985</f>
        <v>0</v>
      </c>
      <c r="G985" s="21">
        <v>101</v>
      </c>
      <c r="H985" s="20">
        <f>F985*G985</f>
        <v>0</v>
      </c>
      <c r="I985" s="2"/>
      <c r="J985" s="17"/>
      <c r="K985" s="17"/>
      <c r="L985" s="17"/>
    </row>
    <row r="986" spans="1:12">
      <c r="A986" s="45"/>
      <c r="B986" s="43">
        <v>2</v>
      </c>
      <c r="C986" s="19"/>
      <c r="D986" s="20">
        <v>0</v>
      </c>
      <c r="E986" s="21">
        <v>1</v>
      </c>
      <c r="F986" s="20">
        <f t="shared" ref="F986:F995" si="90">D986*E986</f>
        <v>0</v>
      </c>
      <c r="G986" s="21">
        <v>102</v>
      </c>
      <c r="H986" s="20">
        <f t="shared" ref="H986:H995" si="91">F986*G986</f>
        <v>0</v>
      </c>
      <c r="I986" s="2"/>
      <c r="J986" s="17"/>
      <c r="K986" s="17"/>
      <c r="L986" s="17"/>
    </row>
    <row r="987" spans="1:12">
      <c r="A987" s="45"/>
      <c r="B987" s="43">
        <v>3</v>
      </c>
      <c r="C987" s="19"/>
      <c r="D987" s="20">
        <v>0</v>
      </c>
      <c r="E987" s="21">
        <v>1</v>
      </c>
      <c r="F987" s="20">
        <f t="shared" si="90"/>
        <v>0</v>
      </c>
      <c r="G987" s="21">
        <v>103</v>
      </c>
      <c r="H987" s="20">
        <f t="shared" si="91"/>
        <v>0</v>
      </c>
      <c r="I987" s="2"/>
      <c r="J987" s="17"/>
      <c r="K987" s="17"/>
      <c r="L987" s="17"/>
    </row>
    <row r="988" spans="1:12">
      <c r="A988" s="45"/>
      <c r="B988" s="43">
        <v>4</v>
      </c>
      <c r="C988" s="19"/>
      <c r="D988" s="20">
        <v>0</v>
      </c>
      <c r="E988" s="21">
        <v>1</v>
      </c>
      <c r="F988" s="20">
        <f t="shared" si="90"/>
        <v>0</v>
      </c>
      <c r="G988" s="21">
        <v>104</v>
      </c>
      <c r="H988" s="20">
        <f t="shared" si="91"/>
        <v>0</v>
      </c>
      <c r="I988" s="2"/>
      <c r="J988" s="17"/>
      <c r="K988" s="17"/>
      <c r="L988" s="17"/>
    </row>
    <row r="989" spans="1:12">
      <c r="A989" s="45"/>
      <c r="B989" s="43">
        <v>5</v>
      </c>
      <c r="C989" s="19"/>
      <c r="D989" s="20">
        <v>0</v>
      </c>
      <c r="E989" s="21">
        <v>1</v>
      </c>
      <c r="F989" s="20">
        <f t="shared" si="90"/>
        <v>0</v>
      </c>
      <c r="G989" s="21">
        <v>105</v>
      </c>
      <c r="H989" s="20">
        <f t="shared" si="91"/>
        <v>0</v>
      </c>
      <c r="I989" s="2"/>
      <c r="J989" s="17"/>
      <c r="K989" s="17"/>
      <c r="L989" s="17"/>
    </row>
    <row r="990" spans="1:12">
      <c r="A990" s="45"/>
      <c r="B990" s="43">
        <v>6</v>
      </c>
      <c r="C990" s="19"/>
      <c r="D990" s="20">
        <v>0</v>
      </c>
      <c r="E990" s="21">
        <v>1</v>
      </c>
      <c r="F990" s="20">
        <f t="shared" si="90"/>
        <v>0</v>
      </c>
      <c r="G990" s="21">
        <v>106</v>
      </c>
      <c r="H990" s="20">
        <f t="shared" si="91"/>
        <v>0</v>
      </c>
      <c r="I990" s="2"/>
      <c r="J990" s="17"/>
      <c r="K990" s="17"/>
      <c r="L990" s="17"/>
    </row>
    <row r="991" spans="1:12">
      <c r="A991" s="45"/>
      <c r="B991" s="43">
        <v>7</v>
      </c>
      <c r="C991" s="19"/>
      <c r="D991" s="20">
        <v>0</v>
      </c>
      <c r="E991" s="21">
        <v>1</v>
      </c>
      <c r="F991" s="20">
        <f t="shared" si="90"/>
        <v>0</v>
      </c>
      <c r="G991" s="21">
        <v>107</v>
      </c>
      <c r="H991" s="20">
        <f t="shared" si="91"/>
        <v>0</v>
      </c>
      <c r="I991" s="2"/>
      <c r="J991" s="17"/>
      <c r="K991" s="17"/>
      <c r="L991" s="17"/>
    </row>
    <row r="992" spans="1:12">
      <c r="A992" s="45"/>
      <c r="B992" s="43">
        <v>8</v>
      </c>
      <c r="C992" s="19"/>
      <c r="D992" s="20">
        <v>0</v>
      </c>
      <c r="E992" s="21">
        <v>1</v>
      </c>
      <c r="F992" s="20">
        <f t="shared" si="90"/>
        <v>0</v>
      </c>
      <c r="G992" s="21">
        <v>108</v>
      </c>
      <c r="H992" s="20">
        <f t="shared" si="91"/>
        <v>0</v>
      </c>
      <c r="I992" s="2"/>
      <c r="J992" s="17"/>
      <c r="K992" s="17"/>
      <c r="L992" s="17"/>
    </row>
    <row r="993" spans="1:12">
      <c r="A993" s="45"/>
      <c r="B993" s="43">
        <v>9</v>
      </c>
      <c r="C993" s="19"/>
      <c r="D993" s="20">
        <v>0</v>
      </c>
      <c r="E993" s="21">
        <v>1</v>
      </c>
      <c r="F993" s="20">
        <f t="shared" si="90"/>
        <v>0</v>
      </c>
      <c r="G993" s="21">
        <v>109</v>
      </c>
      <c r="H993" s="20">
        <f t="shared" si="91"/>
        <v>0</v>
      </c>
      <c r="I993" s="2"/>
      <c r="J993" s="17"/>
      <c r="K993" s="17"/>
      <c r="L993" s="17"/>
    </row>
    <row r="994" spans="1:12">
      <c r="A994" s="45"/>
      <c r="B994" s="43">
        <v>10</v>
      </c>
      <c r="C994" s="19"/>
      <c r="D994" s="20">
        <v>0</v>
      </c>
      <c r="E994" s="21">
        <v>1</v>
      </c>
      <c r="F994" s="20">
        <f t="shared" si="90"/>
        <v>0</v>
      </c>
      <c r="G994" s="21">
        <v>110</v>
      </c>
      <c r="H994" s="20">
        <f t="shared" si="91"/>
        <v>0</v>
      </c>
      <c r="I994" s="2"/>
      <c r="J994" s="17"/>
      <c r="K994" s="17"/>
      <c r="L994" s="17"/>
    </row>
    <row r="995" spans="1:12">
      <c r="A995" s="45"/>
      <c r="B995" s="43">
        <v>11</v>
      </c>
      <c r="C995" s="19"/>
      <c r="D995" s="20">
        <v>0</v>
      </c>
      <c r="E995" s="21">
        <v>1</v>
      </c>
      <c r="F995" s="20">
        <f t="shared" si="90"/>
        <v>0</v>
      </c>
      <c r="G995" s="21">
        <v>111</v>
      </c>
      <c r="H995" s="20">
        <f t="shared" si="91"/>
        <v>0</v>
      </c>
      <c r="I995" s="2"/>
      <c r="J995" s="17"/>
      <c r="K995" s="17"/>
      <c r="L995" s="17"/>
    </row>
    <row r="996" spans="1:12">
      <c r="A996" s="45"/>
      <c r="B996" s="43">
        <v>12</v>
      </c>
      <c r="C996" s="19"/>
      <c r="D996" s="20">
        <v>0</v>
      </c>
      <c r="E996" s="21">
        <v>1</v>
      </c>
      <c r="F996" s="20">
        <f>D996*E996</f>
        <v>0</v>
      </c>
      <c r="G996" s="21">
        <v>102</v>
      </c>
      <c r="H996" s="20">
        <f>F996*G996</f>
        <v>0</v>
      </c>
      <c r="I996" s="2"/>
      <c r="J996" s="17"/>
      <c r="K996" s="17"/>
      <c r="L996" s="17"/>
    </row>
    <row r="997" spans="1:12">
      <c r="A997" s="45"/>
      <c r="B997" s="43"/>
      <c r="C997" s="14" t="s">
        <v>604</v>
      </c>
      <c r="D997" s="20"/>
      <c r="F997" s="20"/>
      <c r="H997" s="25">
        <f>SUM(H985:H996)</f>
        <v>0</v>
      </c>
      <c r="I997" s="2"/>
      <c r="J997" s="17"/>
      <c r="K997" s="17"/>
      <c r="L997" s="17"/>
    </row>
    <row r="998" spans="1:12">
      <c r="A998" s="45"/>
      <c r="B998" s="46"/>
      <c r="C998" s="14"/>
      <c r="D998" s="20"/>
      <c r="F998" s="20"/>
      <c r="H998" s="20"/>
      <c r="I998" s="2"/>
      <c r="J998" s="17"/>
      <c r="K998" s="17"/>
      <c r="L998" s="17"/>
    </row>
    <row r="999" spans="1:12">
      <c r="A999" s="45"/>
      <c r="B999" s="46"/>
      <c r="C999" s="14" t="s">
        <v>605</v>
      </c>
      <c r="D999" s="20"/>
      <c r="F999" s="20"/>
      <c r="H999" s="20"/>
      <c r="I999" s="2"/>
      <c r="J999" s="17"/>
      <c r="K999" s="17"/>
      <c r="L999" s="17"/>
    </row>
    <row r="1000" spans="1:12">
      <c r="A1000" s="45"/>
      <c r="B1000" s="43">
        <v>1</v>
      </c>
      <c r="C1000" s="19" t="s">
        <v>496</v>
      </c>
      <c r="D1000" s="20">
        <v>0</v>
      </c>
      <c r="E1000" s="21">
        <v>1</v>
      </c>
      <c r="F1000" s="20">
        <f>D1000*E1000</f>
        <v>0</v>
      </c>
      <c r="G1000" s="21">
        <v>5384.6153846153848</v>
      </c>
      <c r="H1000" s="20">
        <f>F1000*G1000</f>
        <v>0</v>
      </c>
      <c r="I1000" s="2"/>
      <c r="J1000" s="17"/>
      <c r="K1000" s="17"/>
      <c r="L1000" s="17"/>
    </row>
    <row r="1001" spans="1:12">
      <c r="A1001" s="45"/>
      <c r="B1001" s="43">
        <v>2</v>
      </c>
      <c r="C1001" s="19" t="s">
        <v>497</v>
      </c>
      <c r="D1001" s="20">
        <v>0</v>
      </c>
      <c r="E1001" s="21">
        <v>1</v>
      </c>
      <c r="F1001" s="20">
        <f t="shared" ref="F1001:F1010" si="92">D1001*E1001</f>
        <v>0</v>
      </c>
      <c r="G1001" s="21">
        <v>8307.6923076923067</v>
      </c>
      <c r="H1001" s="20">
        <f t="shared" ref="H1001:H1010" si="93">F1001*G1001</f>
        <v>0</v>
      </c>
      <c r="I1001" s="2"/>
      <c r="J1001" s="17"/>
      <c r="K1001" s="17"/>
      <c r="L1001" s="17"/>
    </row>
    <row r="1002" spans="1:12">
      <c r="A1002" s="45"/>
      <c r="B1002" s="43">
        <v>3</v>
      </c>
      <c r="C1002" s="19" t="s">
        <v>606</v>
      </c>
      <c r="D1002" s="20">
        <v>0</v>
      </c>
      <c r="E1002" s="21">
        <v>1</v>
      </c>
      <c r="F1002" s="20">
        <f t="shared" si="92"/>
        <v>0</v>
      </c>
      <c r="G1002" s="21">
        <v>60.769230769230766</v>
      </c>
      <c r="H1002" s="20">
        <f t="shared" si="93"/>
        <v>0</v>
      </c>
      <c r="I1002" s="2"/>
      <c r="J1002" s="17"/>
      <c r="K1002" s="17"/>
      <c r="L1002" s="17"/>
    </row>
    <row r="1003" spans="1:12">
      <c r="A1003" s="45"/>
      <c r="B1003" s="43">
        <v>4</v>
      </c>
      <c r="C1003" s="19" t="s">
        <v>503</v>
      </c>
      <c r="D1003" s="20">
        <v>0</v>
      </c>
      <c r="E1003" s="21">
        <v>1</v>
      </c>
      <c r="F1003" s="20">
        <f t="shared" si="92"/>
        <v>0</v>
      </c>
      <c r="G1003" s="21">
        <v>40</v>
      </c>
      <c r="H1003" s="20">
        <f t="shared" si="93"/>
        <v>0</v>
      </c>
      <c r="I1003" s="2"/>
      <c r="J1003" s="17"/>
      <c r="K1003" s="17"/>
      <c r="L1003" s="17"/>
    </row>
    <row r="1004" spans="1:12">
      <c r="A1004" s="45"/>
      <c r="B1004" s="43">
        <v>5</v>
      </c>
      <c r="C1004" s="19" t="s">
        <v>504</v>
      </c>
      <c r="D1004" s="20">
        <v>0</v>
      </c>
      <c r="E1004" s="21">
        <v>0.42599999999999999</v>
      </c>
      <c r="F1004" s="20">
        <f t="shared" si="92"/>
        <v>0</v>
      </c>
      <c r="G1004" s="21">
        <v>49000</v>
      </c>
      <c r="H1004" s="20">
        <f t="shared" si="93"/>
        <v>0</v>
      </c>
      <c r="I1004" s="2"/>
      <c r="J1004" s="17"/>
      <c r="K1004" s="17"/>
      <c r="L1004" s="17"/>
    </row>
    <row r="1005" spans="1:12">
      <c r="A1005" s="45"/>
      <c r="B1005" s="43">
        <v>6</v>
      </c>
      <c r="C1005" s="19" t="s">
        <v>507</v>
      </c>
      <c r="D1005" s="20">
        <v>0</v>
      </c>
      <c r="E1005" s="21">
        <v>1</v>
      </c>
      <c r="F1005" s="20">
        <f t="shared" si="92"/>
        <v>0</v>
      </c>
      <c r="G1005" s="21">
        <v>230.76923076923077</v>
      </c>
      <c r="H1005" s="20">
        <f t="shared" si="93"/>
        <v>0</v>
      </c>
      <c r="I1005" s="2"/>
      <c r="J1005" s="17"/>
      <c r="K1005" s="17"/>
      <c r="L1005" s="17"/>
    </row>
    <row r="1006" spans="1:12">
      <c r="A1006" s="45"/>
      <c r="B1006" s="43">
        <v>7</v>
      </c>
      <c r="C1006" s="19" t="s">
        <v>508</v>
      </c>
      <c r="D1006" s="20">
        <v>0</v>
      </c>
      <c r="E1006" s="21">
        <v>0.14399999999999999</v>
      </c>
      <c r="F1006" s="20">
        <f t="shared" si="92"/>
        <v>0</v>
      </c>
      <c r="G1006" s="21">
        <v>9000</v>
      </c>
      <c r="H1006" s="20">
        <f t="shared" si="93"/>
        <v>0</v>
      </c>
      <c r="I1006" s="2"/>
      <c r="J1006" s="17"/>
      <c r="K1006" s="17"/>
      <c r="L1006" s="17"/>
    </row>
    <row r="1007" spans="1:12">
      <c r="A1007" s="45"/>
      <c r="B1007" s="43">
        <v>8</v>
      </c>
      <c r="C1007" s="19" t="s">
        <v>352</v>
      </c>
      <c r="D1007" s="20">
        <v>0</v>
      </c>
      <c r="E1007" s="21">
        <v>0.58199999999999996</v>
      </c>
      <c r="F1007" s="20">
        <f t="shared" si="92"/>
        <v>0</v>
      </c>
      <c r="G1007" s="21">
        <v>177.69230769230768</v>
      </c>
      <c r="H1007" s="20">
        <f t="shared" si="93"/>
        <v>0</v>
      </c>
      <c r="I1007" s="2"/>
      <c r="J1007" s="17"/>
      <c r="K1007" s="17"/>
      <c r="L1007" s="17"/>
    </row>
    <row r="1008" spans="1:12">
      <c r="A1008" s="45"/>
      <c r="B1008" s="43">
        <v>9</v>
      </c>
      <c r="C1008" s="19" t="s">
        <v>45</v>
      </c>
      <c r="D1008" s="20">
        <v>0</v>
      </c>
      <c r="E1008" s="21">
        <v>0.58199999999999996</v>
      </c>
      <c r="F1008" s="20">
        <f t="shared" si="92"/>
        <v>0</v>
      </c>
      <c r="G1008" s="21">
        <v>77.692307692307693</v>
      </c>
      <c r="H1008" s="20">
        <f t="shared" si="93"/>
        <v>0</v>
      </c>
      <c r="I1008" s="2"/>
      <c r="J1008" s="17"/>
      <c r="K1008" s="17"/>
      <c r="L1008" s="17"/>
    </row>
    <row r="1009" spans="1:12">
      <c r="A1009" s="45"/>
      <c r="B1009" s="43">
        <v>10</v>
      </c>
      <c r="C1009" s="19" t="s">
        <v>351</v>
      </c>
      <c r="D1009" s="20">
        <v>0</v>
      </c>
      <c r="E1009" s="21">
        <v>0.58199999999999996</v>
      </c>
      <c r="F1009" s="20">
        <f t="shared" si="92"/>
        <v>0</v>
      </c>
      <c r="G1009" s="21">
        <v>264.61538461538458</v>
      </c>
      <c r="H1009" s="20">
        <f t="shared" si="93"/>
        <v>0</v>
      </c>
      <c r="I1009" s="2"/>
      <c r="J1009" s="17"/>
      <c r="K1009" s="17"/>
      <c r="L1009" s="17"/>
    </row>
    <row r="1010" spans="1:12">
      <c r="A1010" s="45"/>
      <c r="B1010" s="43">
        <v>11</v>
      </c>
      <c r="C1010" s="19"/>
      <c r="D1010" s="20">
        <v>0</v>
      </c>
      <c r="E1010" s="21">
        <v>0</v>
      </c>
      <c r="F1010" s="20">
        <f t="shared" si="92"/>
        <v>0</v>
      </c>
      <c r="G1010" s="21">
        <v>111</v>
      </c>
      <c r="H1010" s="20">
        <f t="shared" si="93"/>
        <v>0</v>
      </c>
      <c r="I1010" s="2"/>
      <c r="J1010" s="17"/>
      <c r="K1010" s="17"/>
      <c r="L1010" s="17"/>
    </row>
    <row r="1011" spans="1:12">
      <c r="A1011" s="45"/>
      <c r="B1011" s="43">
        <v>12</v>
      </c>
      <c r="C1011" s="19"/>
      <c r="D1011" s="20">
        <v>0</v>
      </c>
      <c r="E1011" s="21">
        <v>0</v>
      </c>
      <c r="F1011" s="20">
        <f>D1011*E1011</f>
        <v>0</v>
      </c>
      <c r="G1011" s="21">
        <v>102</v>
      </c>
      <c r="H1011" s="20">
        <f>F1011*G1011</f>
        <v>0</v>
      </c>
      <c r="I1011" s="2"/>
      <c r="J1011" s="17"/>
      <c r="K1011" s="17"/>
      <c r="L1011" s="17"/>
    </row>
    <row r="1012" spans="1:12">
      <c r="A1012" s="45"/>
      <c r="B1012" s="43"/>
      <c r="C1012" s="14" t="s">
        <v>607</v>
      </c>
      <c r="D1012" s="20"/>
      <c r="F1012" s="20"/>
      <c r="H1012" s="25">
        <f>SUM(H1000:H1011)</f>
        <v>0</v>
      </c>
      <c r="I1012" s="2"/>
      <c r="J1012" s="17"/>
      <c r="K1012" s="17"/>
      <c r="L1012" s="17"/>
    </row>
    <row r="1013" spans="1:12">
      <c r="A1013" s="45"/>
      <c r="B1013" s="46"/>
      <c r="C1013" s="14"/>
      <c r="D1013" s="20"/>
      <c r="F1013" s="20"/>
      <c r="H1013" s="20"/>
      <c r="I1013" s="2"/>
      <c r="J1013" s="17"/>
      <c r="K1013" s="17"/>
      <c r="L1013" s="17"/>
    </row>
    <row r="1014" spans="1:12">
      <c r="A1014" s="45"/>
      <c r="B1014" s="46"/>
      <c r="C1014" s="14" t="s">
        <v>608</v>
      </c>
      <c r="D1014" s="20"/>
      <c r="F1014" s="20"/>
      <c r="H1014" s="20"/>
      <c r="I1014" s="2"/>
      <c r="J1014" s="17"/>
      <c r="K1014" s="17"/>
      <c r="L1014" s="17"/>
    </row>
    <row r="1015" spans="1:12">
      <c r="A1015" s="45"/>
      <c r="B1015" s="43">
        <v>1</v>
      </c>
      <c r="C1015" s="19"/>
      <c r="D1015" s="20">
        <v>0</v>
      </c>
      <c r="E1015" s="21">
        <v>1</v>
      </c>
      <c r="F1015" s="20">
        <f>D1015*E1015</f>
        <v>0</v>
      </c>
      <c r="G1015" s="21">
        <v>101</v>
      </c>
      <c r="H1015" s="20">
        <f>F1015*G1015</f>
        <v>0</v>
      </c>
      <c r="I1015" s="2"/>
      <c r="J1015" s="17"/>
      <c r="K1015" s="17"/>
      <c r="L1015" s="17"/>
    </row>
    <row r="1016" spans="1:12">
      <c r="A1016" s="45"/>
      <c r="B1016" s="43">
        <v>2</v>
      </c>
      <c r="C1016" s="19"/>
      <c r="D1016" s="20">
        <v>0</v>
      </c>
      <c r="E1016" s="21">
        <v>1</v>
      </c>
      <c r="F1016" s="20">
        <f t="shared" ref="F1016:F1019" si="94">D1016*E1016</f>
        <v>0</v>
      </c>
      <c r="G1016" s="21">
        <v>102</v>
      </c>
      <c r="H1016" s="20">
        <f t="shared" ref="H1016:H1019" si="95">F1016*G1016</f>
        <v>0</v>
      </c>
      <c r="I1016" s="2"/>
      <c r="J1016" s="17"/>
      <c r="K1016" s="17"/>
      <c r="L1016" s="17"/>
    </row>
    <row r="1017" spans="1:12">
      <c r="A1017" s="45"/>
      <c r="B1017" s="43">
        <v>3</v>
      </c>
      <c r="C1017" s="19"/>
      <c r="D1017" s="20">
        <v>0</v>
      </c>
      <c r="E1017" s="21">
        <v>1</v>
      </c>
      <c r="F1017" s="20">
        <f t="shared" si="94"/>
        <v>0</v>
      </c>
      <c r="G1017" s="21">
        <v>103</v>
      </c>
      <c r="H1017" s="20">
        <f t="shared" si="95"/>
        <v>0</v>
      </c>
      <c r="I1017" s="2"/>
      <c r="J1017" s="17"/>
      <c r="K1017" s="17"/>
      <c r="L1017" s="17"/>
    </row>
    <row r="1018" spans="1:12">
      <c r="A1018" s="45"/>
      <c r="B1018" s="43">
        <v>4</v>
      </c>
      <c r="C1018" s="19"/>
      <c r="D1018" s="20">
        <v>0</v>
      </c>
      <c r="E1018" s="21">
        <v>1</v>
      </c>
      <c r="F1018" s="20">
        <f t="shared" si="94"/>
        <v>0</v>
      </c>
      <c r="G1018" s="21">
        <v>104</v>
      </c>
      <c r="H1018" s="20">
        <f t="shared" si="95"/>
        <v>0</v>
      </c>
      <c r="I1018" s="2"/>
      <c r="J1018" s="17"/>
      <c r="K1018" s="17"/>
      <c r="L1018" s="17"/>
    </row>
    <row r="1019" spans="1:12">
      <c r="A1019" s="45"/>
      <c r="B1019" s="43">
        <v>5</v>
      </c>
      <c r="C1019" s="19"/>
      <c r="D1019" s="20">
        <v>0</v>
      </c>
      <c r="E1019" s="21">
        <v>1</v>
      </c>
      <c r="F1019" s="20">
        <f t="shared" si="94"/>
        <v>0</v>
      </c>
      <c r="G1019" s="21">
        <v>105</v>
      </c>
      <c r="H1019" s="20">
        <f t="shared" si="95"/>
        <v>0</v>
      </c>
      <c r="I1019" s="2"/>
      <c r="J1019" s="17"/>
      <c r="K1019" s="17"/>
      <c r="L1019" s="17"/>
    </row>
    <row r="1020" spans="1:12">
      <c r="A1020" s="45"/>
      <c r="B1020" s="43"/>
      <c r="C1020" s="14" t="s">
        <v>609</v>
      </c>
      <c r="D1020" s="20"/>
      <c r="F1020" s="20"/>
      <c r="H1020" s="25">
        <f>SUM(H1015:H1019)</f>
        <v>0</v>
      </c>
      <c r="I1020" s="2"/>
      <c r="J1020" s="17"/>
      <c r="K1020" s="17"/>
      <c r="L1020" s="17"/>
    </row>
    <row r="1021" spans="1:12">
      <c r="A1021" s="45"/>
      <c r="B1021" s="46"/>
      <c r="C1021" s="14"/>
      <c r="D1021" s="20"/>
      <c r="F1021" s="20"/>
      <c r="H1021" s="20"/>
      <c r="I1021" s="2"/>
      <c r="J1021" s="17"/>
      <c r="K1021" s="17"/>
      <c r="L1021" s="17"/>
    </row>
    <row r="1022" spans="1:12">
      <c r="A1022" s="45"/>
      <c r="B1022" s="46"/>
      <c r="C1022" s="14" t="s">
        <v>610</v>
      </c>
      <c r="D1022" s="20"/>
      <c r="F1022" s="20"/>
      <c r="H1022" s="20"/>
      <c r="I1022" s="2"/>
      <c r="J1022" s="17"/>
      <c r="K1022" s="17"/>
      <c r="L1022" s="17"/>
    </row>
    <row r="1023" spans="1:12">
      <c r="A1023" s="45"/>
      <c r="B1023" s="43">
        <v>1</v>
      </c>
      <c r="C1023" s="19" t="s">
        <v>219</v>
      </c>
      <c r="D1023" s="20">
        <v>0</v>
      </c>
      <c r="E1023" s="21">
        <v>1</v>
      </c>
      <c r="F1023" s="20">
        <f>D1023*E1023</f>
        <v>0</v>
      </c>
      <c r="G1023" s="21">
        <v>12507</v>
      </c>
      <c r="H1023" s="20">
        <f>F1023*G1023</f>
        <v>0</v>
      </c>
      <c r="I1023" s="2"/>
      <c r="J1023" s="17"/>
      <c r="K1023" s="17"/>
      <c r="L1023" s="17"/>
    </row>
    <row r="1024" spans="1:12">
      <c r="A1024" s="45"/>
      <c r="B1024" s="43">
        <v>2</v>
      </c>
      <c r="C1024" s="19" t="s">
        <v>64</v>
      </c>
      <c r="D1024" s="20">
        <v>0</v>
      </c>
      <c r="E1024" s="21">
        <v>1</v>
      </c>
      <c r="F1024" s="20">
        <f t="shared" ref="F1024:F1030" si="96">D1024*E1024</f>
        <v>0</v>
      </c>
      <c r="G1024" s="21">
        <v>12507</v>
      </c>
      <c r="H1024" s="20">
        <f t="shared" ref="H1024:H1030" si="97">F1024*G1024</f>
        <v>0</v>
      </c>
      <c r="I1024" s="2"/>
      <c r="J1024" s="17"/>
      <c r="K1024" s="17"/>
      <c r="L1024" s="17"/>
    </row>
    <row r="1025" spans="1:12">
      <c r="A1025" s="45"/>
      <c r="B1025" s="43">
        <v>3</v>
      </c>
      <c r="C1025" s="19" t="s">
        <v>65</v>
      </c>
      <c r="D1025" s="20">
        <v>0</v>
      </c>
      <c r="E1025" s="21">
        <v>1</v>
      </c>
      <c r="F1025" s="20">
        <f t="shared" si="96"/>
        <v>0</v>
      </c>
      <c r="G1025" s="21">
        <v>12507</v>
      </c>
      <c r="H1025" s="20">
        <f t="shared" si="97"/>
        <v>0</v>
      </c>
      <c r="I1025" s="2"/>
      <c r="J1025" s="17"/>
      <c r="K1025" s="17"/>
      <c r="L1025" s="17"/>
    </row>
    <row r="1026" spans="1:12">
      <c r="A1026" s="45"/>
      <c r="B1026" s="43">
        <v>4</v>
      </c>
      <c r="C1026" s="19" t="s">
        <v>358</v>
      </c>
      <c r="D1026" s="20">
        <v>0</v>
      </c>
      <c r="E1026" s="21">
        <v>1</v>
      </c>
      <c r="F1026" s="20">
        <f t="shared" si="96"/>
        <v>0</v>
      </c>
      <c r="G1026" s="21">
        <v>12507</v>
      </c>
      <c r="H1026" s="20">
        <f t="shared" si="97"/>
        <v>0</v>
      </c>
      <c r="I1026" s="2"/>
      <c r="J1026" s="17"/>
      <c r="K1026" s="17"/>
      <c r="L1026" s="17"/>
    </row>
    <row r="1027" spans="1:12">
      <c r="A1027" s="45"/>
      <c r="B1027" s="43">
        <v>5</v>
      </c>
      <c r="C1027" s="19" t="s">
        <v>222</v>
      </c>
      <c r="D1027" s="20">
        <v>0</v>
      </c>
      <c r="E1027" s="21">
        <v>1</v>
      </c>
      <c r="F1027" s="20">
        <f t="shared" si="96"/>
        <v>0</v>
      </c>
      <c r="G1027" s="21">
        <v>12507</v>
      </c>
      <c r="H1027" s="20">
        <f t="shared" si="97"/>
        <v>0</v>
      </c>
      <c r="I1027" s="2"/>
      <c r="J1027" s="17"/>
      <c r="K1027" s="17"/>
      <c r="L1027" s="17"/>
    </row>
    <row r="1028" spans="1:12">
      <c r="A1028" s="45"/>
      <c r="B1028" s="43">
        <v>6</v>
      </c>
      <c r="C1028" s="19" t="s">
        <v>360</v>
      </c>
      <c r="D1028" s="20">
        <v>0</v>
      </c>
      <c r="E1028" s="21">
        <v>1</v>
      </c>
      <c r="F1028" s="20">
        <f t="shared" si="96"/>
        <v>0</v>
      </c>
      <c r="G1028" s="21">
        <v>31769</v>
      </c>
      <c r="H1028" s="20">
        <f t="shared" si="97"/>
        <v>0</v>
      </c>
      <c r="I1028" s="2"/>
      <c r="J1028" s="17"/>
      <c r="K1028" s="17"/>
      <c r="L1028" s="17"/>
    </row>
    <row r="1029" spans="1:12">
      <c r="A1029" s="45"/>
      <c r="B1029" s="43">
        <v>7</v>
      </c>
      <c r="C1029" s="19"/>
      <c r="D1029" s="20">
        <v>0</v>
      </c>
      <c r="E1029" s="21">
        <v>1</v>
      </c>
      <c r="F1029" s="20">
        <f t="shared" si="96"/>
        <v>0</v>
      </c>
      <c r="G1029" s="21">
        <v>107</v>
      </c>
      <c r="H1029" s="20">
        <f t="shared" si="97"/>
        <v>0</v>
      </c>
      <c r="I1029" s="2"/>
      <c r="J1029" s="17"/>
      <c r="K1029" s="17"/>
      <c r="L1029" s="17"/>
    </row>
    <row r="1030" spans="1:12">
      <c r="A1030" s="45"/>
      <c r="B1030" s="43">
        <v>8</v>
      </c>
      <c r="C1030" s="19"/>
      <c r="D1030" s="20">
        <v>0</v>
      </c>
      <c r="E1030" s="21">
        <v>1</v>
      </c>
      <c r="F1030" s="20">
        <f t="shared" si="96"/>
        <v>0</v>
      </c>
      <c r="G1030" s="21">
        <v>108</v>
      </c>
      <c r="H1030" s="20">
        <f t="shared" si="97"/>
        <v>0</v>
      </c>
      <c r="I1030" s="2"/>
      <c r="J1030" s="17"/>
      <c r="K1030" s="17"/>
      <c r="L1030" s="17"/>
    </row>
    <row r="1031" spans="1:12">
      <c r="A1031" s="45"/>
      <c r="B1031" s="43">
        <v>9</v>
      </c>
      <c r="C1031" s="19"/>
      <c r="D1031" s="20">
        <v>0</v>
      </c>
      <c r="E1031" s="21">
        <v>1</v>
      </c>
      <c r="F1031" s="20">
        <f>D1031*E1031</f>
        <v>0</v>
      </c>
      <c r="G1031" s="21">
        <v>102</v>
      </c>
      <c r="H1031" s="20">
        <f>F1031*G1031</f>
        <v>0</v>
      </c>
      <c r="I1031" s="2"/>
      <c r="J1031" s="17"/>
      <c r="K1031" s="17"/>
      <c r="L1031" s="17"/>
    </row>
    <row r="1032" spans="1:12">
      <c r="A1032" s="45"/>
      <c r="B1032" s="43"/>
      <c r="C1032" s="14" t="s">
        <v>611</v>
      </c>
      <c r="D1032" s="20"/>
      <c r="F1032" s="20"/>
      <c r="H1032" s="25">
        <f>SUM(H1023:H1031)</f>
        <v>0</v>
      </c>
      <c r="I1032" s="2"/>
      <c r="J1032" s="17"/>
      <c r="K1032" s="17"/>
      <c r="L1032" s="17"/>
    </row>
    <row r="1033" spans="1:12">
      <c r="A1033" s="45"/>
      <c r="B1033" s="43"/>
      <c r="C1033" s="14"/>
      <c r="D1033" s="20"/>
      <c r="F1033" s="20"/>
      <c r="H1033" s="25"/>
      <c r="I1033" s="2"/>
      <c r="J1033" s="17"/>
      <c r="K1033" s="17"/>
      <c r="L1033" s="17"/>
    </row>
    <row r="1034" spans="1:12">
      <c r="A1034" s="45"/>
      <c r="B1034" s="46"/>
      <c r="C1034" s="14" t="s">
        <v>612</v>
      </c>
      <c r="D1034" s="20"/>
      <c r="F1034" s="20"/>
      <c r="H1034" s="20"/>
      <c r="I1034" s="2"/>
      <c r="J1034" s="17"/>
      <c r="K1034" s="17"/>
      <c r="L1034" s="17"/>
    </row>
    <row r="1035" spans="1:12">
      <c r="A1035" s="45"/>
      <c r="B1035" s="43">
        <v>1</v>
      </c>
      <c r="C1035" s="40" t="s">
        <v>613</v>
      </c>
      <c r="D1035" s="68">
        <v>0</v>
      </c>
      <c r="E1035" s="69">
        <v>1</v>
      </c>
      <c r="F1035" s="68">
        <f>D1035*E1035</f>
        <v>0</v>
      </c>
      <c r="G1035" s="69">
        <v>140000</v>
      </c>
      <c r="H1035" s="68">
        <f>F1035*G1035</f>
        <v>0</v>
      </c>
      <c r="I1035" s="2"/>
      <c r="J1035" s="17"/>
      <c r="K1035" s="17"/>
      <c r="L1035" s="17"/>
    </row>
    <row r="1036" spans="1:12">
      <c r="A1036" s="45"/>
      <c r="B1036" s="43">
        <v>2</v>
      </c>
      <c r="C1036" s="19" t="s">
        <v>614</v>
      </c>
      <c r="D1036" s="68">
        <v>0</v>
      </c>
      <c r="E1036" s="21">
        <v>1</v>
      </c>
      <c r="F1036" s="20">
        <f t="shared" ref="F1036:F1043" si="98">D1036*E1036</f>
        <v>0</v>
      </c>
      <c r="G1036" s="21">
        <v>30770</v>
      </c>
      <c r="H1036" s="20">
        <f t="shared" ref="H1036:H1043" si="99">F1036*G1036</f>
        <v>0</v>
      </c>
      <c r="I1036" s="2"/>
      <c r="J1036" s="17"/>
      <c r="K1036" s="17"/>
      <c r="L1036" s="17"/>
    </row>
    <row r="1037" spans="1:12">
      <c r="A1037" s="45"/>
      <c r="B1037" s="43">
        <v>3</v>
      </c>
      <c r="C1037" s="19" t="s">
        <v>615</v>
      </c>
      <c r="D1037" s="68">
        <v>0</v>
      </c>
      <c r="E1037" s="21">
        <v>1</v>
      </c>
      <c r="F1037" s="20">
        <f t="shared" si="98"/>
        <v>0</v>
      </c>
      <c r="G1037" s="21">
        <v>241538</v>
      </c>
      <c r="H1037" s="20">
        <f t="shared" si="99"/>
        <v>0</v>
      </c>
      <c r="I1037" s="2"/>
      <c r="J1037" s="17"/>
      <c r="K1037" s="17"/>
      <c r="L1037" s="17"/>
    </row>
    <row r="1038" spans="1:12">
      <c r="A1038" s="45"/>
      <c r="B1038" s="43">
        <v>4</v>
      </c>
      <c r="C1038" s="19" t="s">
        <v>616</v>
      </c>
      <c r="D1038" s="68">
        <v>0</v>
      </c>
      <c r="E1038" s="21">
        <v>1</v>
      </c>
      <c r="F1038" s="20">
        <f t="shared" si="98"/>
        <v>0</v>
      </c>
      <c r="G1038" s="21">
        <v>150000</v>
      </c>
      <c r="H1038" s="20">
        <f t="shared" si="99"/>
        <v>0</v>
      </c>
      <c r="I1038" s="93"/>
      <c r="J1038" s="17"/>
      <c r="K1038" s="17"/>
      <c r="L1038" s="17"/>
    </row>
    <row r="1039" spans="1:12">
      <c r="A1039" s="45"/>
      <c r="B1039" s="43">
        <v>5</v>
      </c>
      <c r="C1039" s="19"/>
      <c r="D1039" s="20">
        <v>0</v>
      </c>
      <c r="E1039" s="21">
        <v>1</v>
      </c>
      <c r="F1039" s="20">
        <f t="shared" si="98"/>
        <v>0</v>
      </c>
      <c r="G1039" s="21">
        <v>105</v>
      </c>
      <c r="H1039" s="20">
        <f t="shared" si="99"/>
        <v>0</v>
      </c>
      <c r="I1039" s="2"/>
      <c r="J1039" s="17"/>
      <c r="K1039" s="17"/>
      <c r="L1039" s="17"/>
    </row>
    <row r="1040" spans="1:12">
      <c r="A1040" s="45"/>
      <c r="B1040" s="43">
        <v>6</v>
      </c>
      <c r="C1040" s="19"/>
      <c r="D1040" s="20">
        <v>0</v>
      </c>
      <c r="E1040" s="21">
        <v>1</v>
      </c>
      <c r="F1040" s="20">
        <f t="shared" si="98"/>
        <v>0</v>
      </c>
      <c r="G1040" s="21">
        <v>106</v>
      </c>
      <c r="H1040" s="20">
        <f t="shared" si="99"/>
        <v>0</v>
      </c>
      <c r="I1040" s="2"/>
      <c r="J1040" s="17"/>
      <c r="K1040" s="17"/>
      <c r="L1040" s="17"/>
    </row>
    <row r="1041" spans="1:12">
      <c r="A1041" s="45"/>
      <c r="B1041" s="43">
        <v>7</v>
      </c>
      <c r="C1041" s="19"/>
      <c r="D1041" s="20">
        <v>0</v>
      </c>
      <c r="E1041" s="21">
        <v>1</v>
      </c>
      <c r="F1041" s="20">
        <f t="shared" si="98"/>
        <v>0</v>
      </c>
      <c r="G1041" s="21">
        <v>107</v>
      </c>
      <c r="H1041" s="20">
        <f t="shared" si="99"/>
        <v>0</v>
      </c>
      <c r="I1041" s="2"/>
      <c r="J1041" s="17"/>
      <c r="K1041" s="17"/>
      <c r="L1041" s="17"/>
    </row>
    <row r="1042" spans="1:12">
      <c r="A1042" s="45"/>
      <c r="B1042" s="43">
        <v>8</v>
      </c>
      <c r="C1042" s="19"/>
      <c r="D1042" s="20">
        <v>0</v>
      </c>
      <c r="E1042" s="21">
        <v>1</v>
      </c>
      <c r="F1042" s="20">
        <f t="shared" si="98"/>
        <v>0</v>
      </c>
      <c r="G1042" s="21">
        <v>108</v>
      </c>
      <c r="H1042" s="20">
        <f t="shared" si="99"/>
        <v>0</v>
      </c>
      <c r="I1042" s="2"/>
      <c r="J1042" s="17"/>
      <c r="K1042" s="17"/>
      <c r="L1042" s="17"/>
    </row>
    <row r="1043" spans="1:12">
      <c r="A1043" s="45"/>
      <c r="B1043" s="43">
        <v>9</v>
      </c>
      <c r="C1043" s="19"/>
      <c r="D1043" s="20">
        <v>0</v>
      </c>
      <c r="E1043" s="21">
        <v>1</v>
      </c>
      <c r="F1043" s="20">
        <f t="shared" si="98"/>
        <v>0</v>
      </c>
      <c r="G1043" s="21">
        <v>109</v>
      </c>
      <c r="H1043" s="20">
        <f t="shared" si="99"/>
        <v>0</v>
      </c>
      <c r="I1043" s="2"/>
      <c r="J1043" s="17"/>
      <c r="K1043" s="17"/>
      <c r="L1043" s="17"/>
    </row>
    <row r="1044" spans="1:12">
      <c r="A1044" s="45"/>
      <c r="B1044" s="43">
        <v>10</v>
      </c>
      <c r="C1044" s="19"/>
      <c r="D1044" s="20">
        <v>0</v>
      </c>
      <c r="E1044" s="21">
        <v>1</v>
      </c>
      <c r="F1044" s="20">
        <f>D1044*E1044</f>
        <v>0</v>
      </c>
      <c r="G1044" s="21">
        <v>102</v>
      </c>
      <c r="H1044" s="20">
        <f>F1044*G1044</f>
        <v>0</v>
      </c>
      <c r="I1044" s="2"/>
      <c r="J1044" s="17"/>
      <c r="K1044" s="17"/>
      <c r="L1044" s="17"/>
    </row>
    <row r="1045" spans="1:12">
      <c r="A1045" s="45"/>
      <c r="B1045" s="43"/>
      <c r="C1045" s="14" t="s">
        <v>617</v>
      </c>
      <c r="D1045" s="20"/>
      <c r="F1045" s="20"/>
      <c r="H1045" s="25">
        <f>SUM(H1035:H1044)</f>
        <v>0</v>
      </c>
      <c r="I1045" s="2"/>
      <c r="J1045" s="17"/>
      <c r="K1045" s="17"/>
      <c r="L1045" s="17"/>
    </row>
    <row r="1046" spans="1:12">
      <c r="A1046" s="45"/>
      <c r="B1046" s="43"/>
      <c r="C1046" s="14"/>
      <c r="D1046" s="20"/>
      <c r="F1046" s="20"/>
      <c r="H1046" s="25"/>
      <c r="I1046" s="2"/>
      <c r="J1046" s="17"/>
      <c r="K1046" s="17"/>
      <c r="L1046" s="17"/>
    </row>
    <row r="1047" spans="1:12">
      <c r="A1047" s="45"/>
      <c r="B1047" s="46"/>
      <c r="C1047" s="14" t="s">
        <v>618</v>
      </c>
      <c r="D1047" s="20"/>
      <c r="F1047" s="20"/>
      <c r="H1047" s="25">
        <f>H965+H973+H982+H997+H1012+H1020+H1032+H1045</f>
        <v>0</v>
      </c>
      <c r="I1047" s="2"/>
      <c r="J1047" s="17"/>
      <c r="K1047" s="17"/>
      <c r="L1047" s="17"/>
    </row>
    <row r="1048" spans="1:12">
      <c r="A1048" s="45"/>
      <c r="B1048" s="46"/>
      <c r="C1048" s="14"/>
      <c r="D1048" s="20"/>
      <c r="F1048" s="20"/>
      <c r="H1048" s="20"/>
      <c r="I1048" s="2"/>
      <c r="J1048" s="17"/>
      <c r="K1048" s="17"/>
      <c r="L1048" s="17"/>
    </row>
    <row r="1049" spans="1:12" ht="26">
      <c r="A1049" s="45"/>
      <c r="B1049" s="42" t="s">
        <v>619</v>
      </c>
      <c r="C1049" s="14" t="s">
        <v>620</v>
      </c>
      <c r="D1049" s="20"/>
      <c r="F1049" s="20"/>
      <c r="H1049" s="20"/>
      <c r="I1049" s="2"/>
      <c r="J1049" s="17"/>
      <c r="K1049" s="17"/>
      <c r="L1049" s="17"/>
    </row>
    <row r="1050" spans="1:12">
      <c r="A1050" s="45"/>
      <c r="B1050" s="43">
        <v>1</v>
      </c>
      <c r="C1050" s="19"/>
      <c r="D1050" s="20">
        <v>0</v>
      </c>
      <c r="E1050" s="21">
        <v>1</v>
      </c>
      <c r="F1050" s="20">
        <f>D1050*E1050</f>
        <v>0</v>
      </c>
      <c r="G1050" s="21">
        <v>101</v>
      </c>
      <c r="H1050" s="20">
        <f>F1050*G1050</f>
        <v>0</v>
      </c>
      <c r="I1050" s="2"/>
      <c r="J1050" s="17"/>
      <c r="K1050" s="17"/>
      <c r="L1050" s="17"/>
    </row>
    <row r="1051" spans="1:12">
      <c r="A1051" s="45"/>
      <c r="B1051" s="43">
        <v>2</v>
      </c>
      <c r="C1051" s="19"/>
      <c r="D1051" s="20">
        <v>0</v>
      </c>
      <c r="E1051" s="21">
        <v>2</v>
      </c>
      <c r="F1051" s="20">
        <f>D1051*E1051</f>
        <v>0</v>
      </c>
      <c r="G1051" s="21">
        <v>102</v>
      </c>
      <c r="H1051" s="20">
        <f>F1051*G1051</f>
        <v>0</v>
      </c>
      <c r="I1051" s="2"/>
      <c r="J1051" s="17"/>
      <c r="K1051" s="17"/>
      <c r="L1051" s="17"/>
    </row>
    <row r="1052" spans="1:12">
      <c r="A1052" s="45"/>
      <c r="B1052" s="43">
        <v>3</v>
      </c>
      <c r="C1052" s="19"/>
      <c r="D1052" s="20">
        <v>0</v>
      </c>
      <c r="E1052" s="21">
        <v>3</v>
      </c>
      <c r="F1052" s="20">
        <f t="shared" ref="F1052:F1056" si="100">D1052*E1052</f>
        <v>0</v>
      </c>
      <c r="G1052" s="21">
        <v>103</v>
      </c>
      <c r="H1052" s="20">
        <f t="shared" ref="H1052:H1056" si="101">F1052*G1052</f>
        <v>0</v>
      </c>
      <c r="I1052" s="2"/>
      <c r="J1052" s="17"/>
      <c r="K1052" s="17"/>
      <c r="L1052" s="17"/>
    </row>
    <row r="1053" spans="1:12">
      <c r="A1053" s="45"/>
      <c r="B1053" s="43">
        <v>4</v>
      </c>
      <c r="C1053" s="19"/>
      <c r="D1053" s="20">
        <v>0</v>
      </c>
      <c r="E1053" s="21">
        <v>4</v>
      </c>
      <c r="F1053" s="20">
        <f t="shared" si="100"/>
        <v>0</v>
      </c>
      <c r="G1053" s="21">
        <v>104</v>
      </c>
      <c r="H1053" s="20">
        <f t="shared" si="101"/>
        <v>0</v>
      </c>
      <c r="I1053" s="2"/>
      <c r="J1053" s="17"/>
      <c r="K1053" s="17"/>
      <c r="L1053" s="17"/>
    </row>
    <row r="1054" spans="1:12">
      <c r="A1054" s="45"/>
      <c r="B1054" s="43">
        <v>5</v>
      </c>
      <c r="C1054" s="19"/>
      <c r="D1054" s="20">
        <v>0</v>
      </c>
      <c r="E1054" s="21">
        <v>5</v>
      </c>
      <c r="F1054" s="20">
        <f t="shared" si="100"/>
        <v>0</v>
      </c>
      <c r="G1054" s="21">
        <v>105</v>
      </c>
      <c r="H1054" s="20">
        <f t="shared" si="101"/>
        <v>0</v>
      </c>
      <c r="I1054" s="2"/>
      <c r="J1054" s="17"/>
      <c r="K1054" s="17"/>
      <c r="L1054" s="17"/>
    </row>
    <row r="1055" spans="1:12">
      <c r="A1055" s="45"/>
      <c r="B1055" s="43">
        <v>6</v>
      </c>
      <c r="C1055" s="19"/>
      <c r="D1055" s="20">
        <v>0</v>
      </c>
      <c r="E1055" s="21">
        <v>6</v>
      </c>
      <c r="F1055" s="20">
        <f t="shared" si="100"/>
        <v>0</v>
      </c>
      <c r="G1055" s="21">
        <v>106</v>
      </c>
      <c r="H1055" s="20">
        <f t="shared" si="101"/>
        <v>0</v>
      </c>
      <c r="I1055" s="2"/>
      <c r="J1055" s="17"/>
      <c r="K1055" s="17"/>
      <c r="L1055" s="17"/>
    </row>
    <row r="1056" spans="1:12">
      <c r="A1056" s="45"/>
      <c r="B1056" s="43">
        <v>7</v>
      </c>
      <c r="C1056" s="19"/>
      <c r="D1056" s="20">
        <v>0</v>
      </c>
      <c r="E1056" s="21">
        <v>7</v>
      </c>
      <c r="F1056" s="20">
        <f t="shared" si="100"/>
        <v>0</v>
      </c>
      <c r="G1056" s="21">
        <v>107</v>
      </c>
      <c r="H1056" s="20">
        <f t="shared" si="101"/>
        <v>0</v>
      </c>
      <c r="I1056" s="2"/>
      <c r="J1056" s="17"/>
      <c r="K1056" s="17"/>
      <c r="L1056" s="17"/>
    </row>
    <row r="1057" spans="1:12">
      <c r="A1057" s="45"/>
      <c r="B1057" s="43">
        <v>8</v>
      </c>
      <c r="C1057" s="19"/>
      <c r="D1057" s="20">
        <v>0</v>
      </c>
      <c r="E1057" s="21">
        <v>1</v>
      </c>
      <c r="F1057" s="20">
        <f>D1057*E1057</f>
        <v>0</v>
      </c>
      <c r="G1057" s="21">
        <v>102</v>
      </c>
      <c r="H1057" s="20">
        <f>F1057*G1057</f>
        <v>0</v>
      </c>
      <c r="I1057" s="2"/>
      <c r="J1057" s="17"/>
      <c r="K1057" s="17"/>
      <c r="L1057" s="17"/>
    </row>
    <row r="1058" spans="1:12">
      <c r="A1058" s="45"/>
      <c r="B1058" s="43"/>
      <c r="C1058" s="14" t="s">
        <v>621</v>
      </c>
      <c r="D1058" s="20"/>
      <c r="F1058" s="20"/>
      <c r="H1058" s="25">
        <f>SUM(H1050:H1057)</f>
        <v>0</v>
      </c>
      <c r="I1058" s="2"/>
      <c r="J1058" s="17"/>
      <c r="K1058" s="17"/>
      <c r="L1058" s="17"/>
    </row>
    <row r="1059" spans="1:12">
      <c r="A1059" s="45"/>
      <c r="B1059" s="42"/>
      <c r="C1059" s="14"/>
      <c r="D1059" s="20"/>
      <c r="F1059" s="20"/>
      <c r="H1059" s="20"/>
      <c r="I1059" s="2"/>
      <c r="J1059" s="17"/>
      <c r="K1059" s="17"/>
      <c r="L1059" s="17"/>
    </row>
    <row r="1060" spans="1:12">
      <c r="A1060" s="45"/>
      <c r="B1060" s="46"/>
      <c r="C1060" s="14" t="s">
        <v>622</v>
      </c>
      <c r="D1060" s="20"/>
      <c r="F1060" s="20"/>
      <c r="H1060" s="20"/>
      <c r="I1060" s="2"/>
      <c r="J1060" s="17"/>
      <c r="K1060" s="17"/>
      <c r="L1060" s="17"/>
    </row>
    <row r="1061" spans="1:12">
      <c r="A1061" s="45"/>
      <c r="B1061" s="43">
        <v>1</v>
      </c>
      <c r="C1061" s="19"/>
      <c r="D1061" s="20">
        <v>0</v>
      </c>
      <c r="E1061" s="21">
        <v>1</v>
      </c>
      <c r="F1061" s="20">
        <f>D1061*E1061</f>
        <v>0</v>
      </c>
      <c r="G1061" s="21">
        <v>101</v>
      </c>
      <c r="H1061" s="20">
        <f>F1061*G1061</f>
        <v>0</v>
      </c>
      <c r="I1061" s="2"/>
      <c r="J1061" s="17"/>
      <c r="K1061" s="17"/>
      <c r="L1061" s="17"/>
    </row>
    <row r="1062" spans="1:12">
      <c r="A1062" s="45"/>
      <c r="B1062" s="43">
        <v>2</v>
      </c>
      <c r="C1062" s="19"/>
      <c r="D1062" s="20">
        <v>0</v>
      </c>
      <c r="E1062" s="21">
        <v>1</v>
      </c>
      <c r="F1062" s="20">
        <f t="shared" ref="F1062:F1064" si="102">D1062*E1062</f>
        <v>0</v>
      </c>
      <c r="G1062" s="21">
        <v>102</v>
      </c>
      <c r="H1062" s="20">
        <f t="shared" ref="H1062:H1064" si="103">F1062*G1062</f>
        <v>0</v>
      </c>
      <c r="I1062" s="2"/>
      <c r="J1062" s="17"/>
      <c r="K1062" s="17"/>
      <c r="L1062" s="17"/>
    </row>
    <row r="1063" spans="1:12">
      <c r="A1063" s="45"/>
      <c r="B1063" s="43">
        <v>3</v>
      </c>
      <c r="C1063" s="19"/>
      <c r="D1063" s="20">
        <v>0</v>
      </c>
      <c r="E1063" s="21">
        <v>1</v>
      </c>
      <c r="F1063" s="20">
        <f t="shared" si="102"/>
        <v>0</v>
      </c>
      <c r="G1063" s="21">
        <v>103</v>
      </c>
      <c r="H1063" s="20">
        <f t="shared" si="103"/>
        <v>0</v>
      </c>
      <c r="I1063" s="2"/>
      <c r="J1063" s="17"/>
      <c r="K1063" s="17"/>
      <c r="L1063" s="17"/>
    </row>
    <row r="1064" spans="1:12">
      <c r="A1064" s="45"/>
      <c r="B1064" s="43">
        <v>4</v>
      </c>
      <c r="C1064" s="19"/>
      <c r="D1064" s="20">
        <v>0</v>
      </c>
      <c r="E1064" s="21">
        <v>1</v>
      </c>
      <c r="F1064" s="20">
        <f t="shared" si="102"/>
        <v>0</v>
      </c>
      <c r="G1064" s="21">
        <v>104</v>
      </c>
      <c r="H1064" s="20">
        <f t="shared" si="103"/>
        <v>0</v>
      </c>
      <c r="I1064" s="2"/>
      <c r="J1064" s="17"/>
      <c r="K1064" s="17"/>
      <c r="L1064" s="17"/>
    </row>
    <row r="1065" spans="1:12">
      <c r="A1065" s="45"/>
      <c r="B1065" s="43">
        <v>5</v>
      </c>
      <c r="C1065" s="19"/>
      <c r="D1065" s="20">
        <v>0</v>
      </c>
      <c r="E1065" s="21">
        <v>1</v>
      </c>
      <c r="F1065" s="20">
        <f>D1065*E1065</f>
        <v>0</v>
      </c>
      <c r="G1065" s="21">
        <v>102</v>
      </c>
      <c r="H1065" s="20">
        <f>F1065*G1065</f>
        <v>0</v>
      </c>
      <c r="I1065" s="2"/>
      <c r="J1065" s="17"/>
      <c r="K1065" s="17"/>
      <c r="L1065" s="17"/>
    </row>
    <row r="1066" spans="1:12">
      <c r="A1066" s="45"/>
      <c r="B1066" s="43"/>
      <c r="C1066" s="14" t="s">
        <v>623</v>
      </c>
      <c r="D1066" s="20"/>
      <c r="F1066" s="20"/>
      <c r="H1066" s="25">
        <f>SUM(H1061:H1065)</f>
        <v>0</v>
      </c>
      <c r="I1066" s="2"/>
      <c r="J1066" s="17"/>
      <c r="K1066" s="17"/>
      <c r="L1066" s="17"/>
    </row>
    <row r="1067" spans="1:12">
      <c r="A1067" s="45"/>
      <c r="B1067" s="46"/>
      <c r="C1067" s="14"/>
      <c r="D1067" s="20"/>
      <c r="F1067" s="20"/>
      <c r="H1067" s="20"/>
      <c r="I1067" s="2"/>
      <c r="J1067" s="17"/>
      <c r="K1067" s="17"/>
      <c r="L1067" s="17"/>
    </row>
    <row r="1068" spans="1:12">
      <c r="A1068" s="45"/>
      <c r="B1068" s="46"/>
      <c r="C1068" s="14" t="s">
        <v>624</v>
      </c>
      <c r="D1068" s="20"/>
      <c r="F1068" s="20"/>
      <c r="H1068" s="20"/>
      <c r="I1068" s="2"/>
      <c r="J1068" s="17"/>
      <c r="K1068" s="17"/>
      <c r="L1068" s="17"/>
    </row>
    <row r="1069" spans="1:12">
      <c r="A1069" s="45"/>
      <c r="B1069" s="43">
        <v>1</v>
      </c>
      <c r="C1069" s="19"/>
      <c r="D1069" s="20">
        <v>0</v>
      </c>
      <c r="E1069" s="21">
        <v>1</v>
      </c>
      <c r="F1069" s="20">
        <f>D1069*E1069</f>
        <v>0</v>
      </c>
      <c r="G1069" s="21">
        <v>101</v>
      </c>
      <c r="H1069" s="20">
        <f>F1069*G1069</f>
        <v>0</v>
      </c>
      <c r="I1069" s="2"/>
      <c r="J1069" s="17"/>
      <c r="K1069" s="17"/>
      <c r="L1069" s="17"/>
    </row>
    <row r="1070" spans="1:12">
      <c r="A1070" s="45"/>
      <c r="B1070" s="43">
        <v>2</v>
      </c>
      <c r="C1070" s="19"/>
      <c r="D1070" s="20">
        <v>0</v>
      </c>
      <c r="E1070" s="21">
        <v>1</v>
      </c>
      <c r="F1070" s="20">
        <f t="shared" ref="F1070:F1072" si="104">D1070*E1070</f>
        <v>0</v>
      </c>
      <c r="G1070" s="21">
        <v>102</v>
      </c>
      <c r="H1070" s="20">
        <f t="shared" ref="H1070:H1072" si="105">F1070*G1070</f>
        <v>0</v>
      </c>
      <c r="I1070" s="2"/>
      <c r="J1070" s="17"/>
      <c r="K1070" s="17"/>
      <c r="L1070" s="17"/>
    </row>
    <row r="1071" spans="1:12">
      <c r="A1071" s="45"/>
      <c r="B1071" s="43">
        <v>3</v>
      </c>
      <c r="C1071" s="19"/>
      <c r="D1071" s="20">
        <v>0</v>
      </c>
      <c r="E1071" s="21">
        <v>1</v>
      </c>
      <c r="F1071" s="20">
        <f t="shared" si="104"/>
        <v>0</v>
      </c>
      <c r="G1071" s="21">
        <v>103</v>
      </c>
      <c r="H1071" s="20">
        <f t="shared" si="105"/>
        <v>0</v>
      </c>
      <c r="I1071" s="2"/>
      <c r="J1071" s="17"/>
      <c r="K1071" s="17"/>
      <c r="L1071" s="17"/>
    </row>
    <row r="1072" spans="1:12">
      <c r="A1072" s="45"/>
      <c r="B1072" s="43">
        <v>4</v>
      </c>
      <c r="C1072" s="19"/>
      <c r="D1072" s="20">
        <v>0</v>
      </c>
      <c r="E1072" s="21">
        <v>1</v>
      </c>
      <c r="F1072" s="20">
        <f t="shared" si="104"/>
        <v>0</v>
      </c>
      <c r="G1072" s="21">
        <v>104</v>
      </c>
      <c r="H1072" s="20">
        <f t="shared" si="105"/>
        <v>0</v>
      </c>
      <c r="I1072" s="2"/>
      <c r="J1072" s="17"/>
      <c r="K1072" s="17"/>
      <c r="L1072" s="17"/>
    </row>
    <row r="1073" spans="1:12">
      <c r="A1073" s="45"/>
      <c r="B1073" s="43">
        <v>5</v>
      </c>
      <c r="C1073" s="19"/>
      <c r="D1073" s="20">
        <v>0</v>
      </c>
      <c r="E1073" s="21">
        <v>1</v>
      </c>
      <c r="F1073" s="20">
        <f>D1073*E1073</f>
        <v>0</v>
      </c>
      <c r="G1073" s="21">
        <v>102</v>
      </c>
      <c r="H1073" s="20">
        <f>F1073*G1073</f>
        <v>0</v>
      </c>
      <c r="I1073" s="2"/>
      <c r="J1073" s="17"/>
      <c r="K1073" s="17"/>
      <c r="L1073" s="17"/>
    </row>
    <row r="1074" spans="1:12">
      <c r="A1074" s="45"/>
      <c r="B1074" s="43"/>
      <c r="C1074" s="14" t="s">
        <v>625</v>
      </c>
      <c r="D1074" s="20"/>
      <c r="F1074" s="20"/>
      <c r="H1074" s="25">
        <f>SUM(H1069:H1073)</f>
        <v>0</v>
      </c>
      <c r="I1074" s="2"/>
      <c r="J1074" s="17"/>
      <c r="K1074" s="17"/>
      <c r="L1074" s="17"/>
    </row>
    <row r="1075" spans="1:12">
      <c r="A1075" s="45"/>
      <c r="B1075" s="46"/>
      <c r="C1075" s="14"/>
      <c r="D1075" s="20"/>
      <c r="F1075" s="20"/>
      <c r="H1075" s="20"/>
      <c r="I1075" s="2"/>
      <c r="J1075" s="17"/>
      <c r="K1075" s="17"/>
      <c r="L1075" s="17"/>
    </row>
    <row r="1076" spans="1:12">
      <c r="A1076" s="45"/>
      <c r="B1076" s="46"/>
      <c r="C1076" s="14" t="s">
        <v>626</v>
      </c>
      <c r="D1076" s="20"/>
      <c r="F1076" s="20"/>
      <c r="H1076" s="20"/>
      <c r="I1076" s="2"/>
      <c r="J1076" s="17"/>
      <c r="K1076" s="17"/>
      <c r="L1076" s="17"/>
    </row>
    <row r="1077" spans="1:12">
      <c r="A1077" s="45"/>
      <c r="B1077" s="43">
        <v>1</v>
      </c>
      <c r="C1077" s="19"/>
      <c r="D1077" s="20">
        <v>0</v>
      </c>
      <c r="E1077" s="21">
        <v>1</v>
      </c>
      <c r="F1077" s="20">
        <f>D1077*E1077</f>
        <v>0</v>
      </c>
      <c r="G1077" s="21">
        <v>101</v>
      </c>
      <c r="H1077" s="20">
        <f>F1077*G1077</f>
        <v>0</v>
      </c>
      <c r="I1077" s="2"/>
      <c r="J1077" s="17"/>
      <c r="K1077" s="17"/>
      <c r="L1077" s="17"/>
    </row>
    <row r="1078" spans="1:12">
      <c r="A1078" s="45"/>
      <c r="B1078" s="43">
        <v>2</v>
      </c>
      <c r="C1078" s="19"/>
      <c r="D1078" s="20">
        <v>0</v>
      </c>
      <c r="E1078" s="21">
        <v>1</v>
      </c>
      <c r="F1078" s="20">
        <f t="shared" ref="F1078:F1080" si="106">D1078*E1078</f>
        <v>0</v>
      </c>
      <c r="G1078" s="21">
        <v>102</v>
      </c>
      <c r="H1078" s="20">
        <f t="shared" ref="H1078:H1080" si="107">F1078*G1078</f>
        <v>0</v>
      </c>
      <c r="I1078" s="2"/>
      <c r="J1078" s="17"/>
      <c r="K1078" s="17"/>
      <c r="L1078" s="17"/>
    </row>
    <row r="1079" spans="1:12">
      <c r="A1079" s="45"/>
      <c r="B1079" s="43">
        <v>3</v>
      </c>
      <c r="C1079" s="19"/>
      <c r="D1079" s="20">
        <v>0</v>
      </c>
      <c r="E1079" s="21">
        <v>1</v>
      </c>
      <c r="F1079" s="20">
        <f t="shared" si="106"/>
        <v>0</v>
      </c>
      <c r="G1079" s="21">
        <v>103</v>
      </c>
      <c r="H1079" s="20">
        <f t="shared" si="107"/>
        <v>0</v>
      </c>
      <c r="I1079" s="2"/>
      <c r="J1079" s="17"/>
      <c r="K1079" s="17"/>
      <c r="L1079" s="17"/>
    </row>
    <row r="1080" spans="1:12">
      <c r="A1080" s="45"/>
      <c r="B1080" s="43">
        <v>4</v>
      </c>
      <c r="C1080" s="19"/>
      <c r="D1080" s="20">
        <v>0</v>
      </c>
      <c r="E1080" s="21">
        <v>1</v>
      </c>
      <c r="F1080" s="20">
        <f t="shared" si="106"/>
        <v>0</v>
      </c>
      <c r="G1080" s="21">
        <v>104</v>
      </c>
      <c r="H1080" s="20">
        <f t="shared" si="107"/>
        <v>0</v>
      </c>
      <c r="I1080" s="2"/>
      <c r="J1080" s="17"/>
      <c r="K1080" s="17"/>
      <c r="L1080" s="17"/>
    </row>
    <row r="1081" spans="1:12">
      <c r="A1081" s="45"/>
      <c r="B1081" s="43">
        <v>5</v>
      </c>
      <c r="C1081" s="19"/>
      <c r="D1081" s="20">
        <v>0</v>
      </c>
      <c r="E1081" s="21">
        <v>1</v>
      </c>
      <c r="F1081" s="20">
        <f>D1081*E1081</f>
        <v>0</v>
      </c>
      <c r="G1081" s="21">
        <v>102</v>
      </c>
      <c r="H1081" s="20">
        <f>F1081*G1081</f>
        <v>0</v>
      </c>
      <c r="I1081" s="2"/>
      <c r="J1081" s="17"/>
      <c r="K1081" s="17"/>
      <c r="L1081" s="17"/>
    </row>
    <row r="1082" spans="1:12">
      <c r="A1082" s="45"/>
      <c r="B1082" s="43"/>
      <c r="C1082" s="14" t="s">
        <v>627</v>
      </c>
      <c r="D1082" s="20"/>
      <c r="F1082" s="20"/>
      <c r="H1082" s="25">
        <f>SUM(H1077:H1081)</f>
        <v>0</v>
      </c>
      <c r="I1082" s="2"/>
      <c r="J1082" s="17"/>
      <c r="K1082" s="17"/>
      <c r="L1082" s="17"/>
    </row>
    <row r="1083" spans="1:12">
      <c r="A1083" s="45"/>
      <c r="B1083" s="46"/>
      <c r="C1083" s="14"/>
      <c r="D1083" s="20"/>
      <c r="F1083" s="20"/>
      <c r="H1083" s="20"/>
      <c r="I1083" s="2"/>
      <c r="J1083" s="17"/>
      <c r="K1083" s="17"/>
      <c r="L1083" s="17"/>
    </row>
    <row r="1084" spans="1:12">
      <c r="A1084" s="45"/>
      <c r="B1084" s="46"/>
      <c r="C1084" s="14" t="s">
        <v>628</v>
      </c>
      <c r="D1084" s="20"/>
      <c r="F1084" s="20"/>
      <c r="H1084" s="20"/>
      <c r="I1084" s="2"/>
      <c r="J1084" s="17"/>
      <c r="K1084" s="17"/>
      <c r="L1084" s="17"/>
    </row>
    <row r="1085" spans="1:12">
      <c r="A1085" s="45"/>
      <c r="B1085" s="43">
        <v>1</v>
      </c>
      <c r="C1085" s="19" t="s">
        <v>496</v>
      </c>
      <c r="D1085" s="20">
        <v>0</v>
      </c>
      <c r="E1085" s="21">
        <v>1</v>
      </c>
      <c r="F1085" s="20">
        <f>D1085*E1085</f>
        <v>0</v>
      </c>
      <c r="G1085" s="21">
        <v>5384.6153846153848</v>
      </c>
      <c r="H1085" s="20">
        <f>F1085*G1085</f>
        <v>0</v>
      </c>
      <c r="I1085" s="2"/>
      <c r="J1085" s="17"/>
      <c r="K1085" s="17"/>
      <c r="L1085" s="17"/>
    </row>
    <row r="1086" spans="1:12">
      <c r="A1086" s="45"/>
      <c r="B1086" s="43">
        <v>2</v>
      </c>
      <c r="C1086" s="19" t="s">
        <v>497</v>
      </c>
      <c r="D1086" s="20">
        <v>0</v>
      </c>
      <c r="E1086" s="21">
        <v>1</v>
      </c>
      <c r="F1086" s="20">
        <f t="shared" ref="F1086:F1099" si="108">D1086*E1086</f>
        <v>0</v>
      </c>
      <c r="G1086" s="21">
        <v>8307.6923076923067</v>
      </c>
      <c r="H1086" s="20">
        <f t="shared" ref="H1086:H1099" si="109">F1086*G1086</f>
        <v>0</v>
      </c>
      <c r="I1086" s="2"/>
      <c r="J1086" s="17"/>
      <c r="K1086" s="17"/>
      <c r="L1086" s="17"/>
    </row>
    <row r="1087" spans="1:12">
      <c r="A1087" s="45"/>
      <c r="B1087" s="43">
        <v>3</v>
      </c>
      <c r="C1087" s="19" t="s">
        <v>606</v>
      </c>
      <c r="D1087" s="20">
        <v>0</v>
      </c>
      <c r="E1087" s="21">
        <v>1</v>
      </c>
      <c r="F1087" s="20">
        <f t="shared" si="108"/>
        <v>0</v>
      </c>
      <c r="G1087" s="21">
        <v>60.769230769230766</v>
      </c>
      <c r="H1087" s="20">
        <f t="shared" si="109"/>
        <v>0</v>
      </c>
      <c r="I1087" s="2"/>
      <c r="J1087" s="17"/>
      <c r="K1087" s="17"/>
      <c r="L1087" s="17"/>
    </row>
    <row r="1088" spans="1:12">
      <c r="A1088" s="45"/>
      <c r="B1088" s="43">
        <v>4</v>
      </c>
      <c r="C1088" s="19" t="s">
        <v>503</v>
      </c>
      <c r="D1088" s="20">
        <v>0</v>
      </c>
      <c r="E1088" s="21">
        <v>0</v>
      </c>
      <c r="F1088" s="20">
        <f t="shared" si="108"/>
        <v>0</v>
      </c>
      <c r="G1088" s="21">
        <v>40</v>
      </c>
      <c r="H1088" s="20">
        <f t="shared" si="109"/>
        <v>0</v>
      </c>
      <c r="I1088" s="2"/>
      <c r="J1088" s="17"/>
      <c r="K1088" s="17"/>
      <c r="L1088" s="17"/>
    </row>
    <row r="1089" spans="1:12">
      <c r="A1089" s="45"/>
      <c r="B1089" s="43">
        <v>5</v>
      </c>
      <c r="C1089" s="19" t="s">
        <v>504</v>
      </c>
      <c r="D1089" s="20">
        <v>0</v>
      </c>
      <c r="E1089" s="21">
        <v>0</v>
      </c>
      <c r="F1089" s="20">
        <f t="shared" si="108"/>
        <v>0</v>
      </c>
      <c r="G1089" s="21">
        <v>49000</v>
      </c>
      <c r="H1089" s="20">
        <f t="shared" si="109"/>
        <v>0</v>
      </c>
      <c r="I1089" s="2"/>
      <c r="J1089" s="17"/>
      <c r="K1089" s="17"/>
      <c r="L1089" s="17"/>
    </row>
    <row r="1090" spans="1:12">
      <c r="A1090" s="45"/>
      <c r="B1090" s="43">
        <v>6</v>
      </c>
      <c r="C1090" s="19" t="s">
        <v>507</v>
      </c>
      <c r="D1090" s="20">
        <v>0</v>
      </c>
      <c r="E1090" s="21">
        <v>0</v>
      </c>
      <c r="F1090" s="20">
        <f t="shared" si="108"/>
        <v>0</v>
      </c>
      <c r="G1090" s="21">
        <v>230.76923076923077</v>
      </c>
      <c r="H1090" s="20">
        <f t="shared" si="109"/>
        <v>0</v>
      </c>
      <c r="I1090" s="2"/>
      <c r="J1090" s="17"/>
      <c r="K1090" s="17"/>
      <c r="L1090" s="17"/>
    </row>
    <row r="1091" spans="1:12">
      <c r="A1091" s="45"/>
      <c r="B1091" s="43">
        <v>7</v>
      </c>
      <c r="C1091" s="19" t="s">
        <v>508</v>
      </c>
      <c r="D1091" s="20">
        <v>0</v>
      </c>
      <c r="E1091" s="21">
        <v>0.14399999999999999</v>
      </c>
      <c r="F1091" s="20">
        <f t="shared" si="108"/>
        <v>0</v>
      </c>
      <c r="G1091" s="21">
        <v>9000</v>
      </c>
      <c r="H1091" s="20">
        <f t="shared" si="109"/>
        <v>0</v>
      </c>
      <c r="I1091" s="2"/>
      <c r="J1091" s="17"/>
      <c r="K1091" s="17"/>
      <c r="L1091" s="17"/>
    </row>
    <row r="1092" spans="1:12">
      <c r="A1092" s="45"/>
      <c r="B1092" s="43">
        <v>8</v>
      </c>
      <c r="C1092" s="19" t="s">
        <v>352</v>
      </c>
      <c r="D1092" s="20">
        <v>0</v>
      </c>
      <c r="E1092" s="21">
        <v>0.58199999999999996</v>
      </c>
      <c r="F1092" s="20">
        <f t="shared" si="108"/>
        <v>0</v>
      </c>
      <c r="G1092" s="21">
        <v>177.69230769230768</v>
      </c>
      <c r="H1092" s="20">
        <f t="shared" si="109"/>
        <v>0</v>
      </c>
      <c r="I1092" s="2"/>
      <c r="J1092" s="17"/>
      <c r="K1092" s="17"/>
      <c r="L1092" s="17"/>
    </row>
    <row r="1093" spans="1:12">
      <c r="A1093" s="45"/>
      <c r="B1093" s="43">
        <v>9</v>
      </c>
      <c r="C1093" s="19" t="s">
        <v>45</v>
      </c>
      <c r="D1093" s="20">
        <v>0</v>
      </c>
      <c r="E1093" s="21">
        <v>0.58199999999999996</v>
      </c>
      <c r="F1093" s="20">
        <f t="shared" si="108"/>
        <v>0</v>
      </c>
      <c r="G1093" s="21">
        <v>77.692307692307693</v>
      </c>
      <c r="H1093" s="20">
        <f t="shared" si="109"/>
        <v>0</v>
      </c>
      <c r="I1093" s="2"/>
      <c r="J1093" s="17"/>
      <c r="K1093" s="17"/>
      <c r="L1093" s="17"/>
    </row>
    <row r="1094" spans="1:12">
      <c r="A1094" s="45"/>
      <c r="B1094" s="43">
        <v>10</v>
      </c>
      <c r="C1094" s="19" t="s">
        <v>351</v>
      </c>
      <c r="D1094" s="20">
        <v>0</v>
      </c>
      <c r="E1094" s="21">
        <v>0.58199999999999996</v>
      </c>
      <c r="F1094" s="20">
        <f t="shared" si="108"/>
        <v>0</v>
      </c>
      <c r="G1094" s="21">
        <v>264.61538461538458</v>
      </c>
      <c r="H1094" s="20">
        <f t="shared" si="109"/>
        <v>0</v>
      </c>
      <c r="I1094" s="2"/>
      <c r="J1094" s="17"/>
      <c r="K1094" s="17"/>
      <c r="L1094" s="17"/>
    </row>
    <row r="1095" spans="1:12">
      <c r="A1095" s="45"/>
      <c r="B1095" s="43">
        <v>11</v>
      </c>
      <c r="C1095" s="19" t="s">
        <v>629</v>
      </c>
      <c r="D1095" s="20">
        <v>0</v>
      </c>
      <c r="E1095" s="21">
        <v>1</v>
      </c>
      <c r="F1095" s="20">
        <f t="shared" si="108"/>
        <v>0</v>
      </c>
      <c r="G1095" s="69">
        <v>12000</v>
      </c>
      <c r="H1095" s="20">
        <f t="shared" si="109"/>
        <v>0</v>
      </c>
      <c r="I1095" s="2"/>
      <c r="J1095" s="17"/>
      <c r="K1095" s="17"/>
      <c r="L1095" s="17"/>
    </row>
    <row r="1096" spans="1:12">
      <c r="A1096" s="45"/>
      <c r="B1096" s="43">
        <v>12</v>
      </c>
      <c r="C1096" s="19" t="s">
        <v>630</v>
      </c>
      <c r="D1096" s="20">
        <v>0</v>
      </c>
      <c r="E1096" s="21">
        <v>0.01</v>
      </c>
      <c r="F1096" s="20">
        <f t="shared" si="108"/>
        <v>0</v>
      </c>
      <c r="G1096" s="69">
        <v>91000</v>
      </c>
      <c r="H1096" s="20">
        <f t="shared" si="109"/>
        <v>0</v>
      </c>
      <c r="I1096" s="2"/>
      <c r="J1096" s="17"/>
      <c r="K1096" s="17"/>
      <c r="L1096" s="17"/>
    </row>
    <row r="1097" spans="1:12">
      <c r="A1097" s="45"/>
      <c r="B1097" s="43">
        <v>13</v>
      </c>
      <c r="C1097" s="19"/>
      <c r="D1097" s="20">
        <v>0</v>
      </c>
      <c r="E1097" s="21">
        <v>0</v>
      </c>
      <c r="F1097" s="20">
        <f t="shared" si="108"/>
        <v>0</v>
      </c>
      <c r="G1097" s="21">
        <v>113</v>
      </c>
      <c r="H1097" s="20">
        <f t="shared" si="109"/>
        <v>0</v>
      </c>
      <c r="I1097" s="2"/>
      <c r="J1097" s="17"/>
      <c r="K1097" s="17"/>
      <c r="L1097" s="17"/>
    </row>
    <row r="1098" spans="1:12">
      <c r="A1098" s="45"/>
      <c r="B1098" s="43">
        <v>14</v>
      </c>
      <c r="C1098" s="19"/>
      <c r="D1098" s="20">
        <v>0</v>
      </c>
      <c r="E1098" s="21">
        <v>0</v>
      </c>
      <c r="F1098" s="20">
        <f t="shared" si="108"/>
        <v>0</v>
      </c>
      <c r="G1098" s="21">
        <v>114</v>
      </c>
      <c r="H1098" s="20">
        <f t="shared" si="109"/>
        <v>0</v>
      </c>
      <c r="I1098" s="2"/>
      <c r="J1098" s="17"/>
      <c r="K1098" s="17"/>
      <c r="L1098" s="17"/>
    </row>
    <row r="1099" spans="1:12">
      <c r="A1099" s="45"/>
      <c r="B1099" s="43">
        <v>15</v>
      </c>
      <c r="C1099" s="19"/>
      <c r="D1099" s="20">
        <v>0</v>
      </c>
      <c r="E1099" s="21">
        <v>0</v>
      </c>
      <c r="F1099" s="20">
        <f t="shared" si="108"/>
        <v>0</v>
      </c>
      <c r="G1099" s="21">
        <v>115</v>
      </c>
      <c r="H1099" s="20">
        <f t="shared" si="109"/>
        <v>0</v>
      </c>
      <c r="I1099" s="2"/>
      <c r="J1099" s="17"/>
      <c r="K1099" s="17"/>
      <c r="L1099" s="17"/>
    </row>
    <row r="1100" spans="1:12">
      <c r="A1100" s="45"/>
      <c r="B1100" s="43">
        <v>16</v>
      </c>
      <c r="C1100" s="19"/>
      <c r="D1100" s="20">
        <v>0</v>
      </c>
      <c r="E1100" s="21">
        <v>0</v>
      </c>
      <c r="F1100" s="20">
        <f>D1100*E1100</f>
        <v>0</v>
      </c>
      <c r="G1100" s="21">
        <v>102</v>
      </c>
      <c r="H1100" s="20">
        <f>F1100*G1100</f>
        <v>0</v>
      </c>
      <c r="I1100" s="2"/>
      <c r="J1100" s="17"/>
      <c r="K1100" s="17"/>
      <c r="L1100" s="17"/>
    </row>
    <row r="1101" spans="1:12">
      <c r="A1101" s="45"/>
      <c r="B1101" s="43"/>
      <c r="C1101" s="14" t="s">
        <v>631</v>
      </c>
      <c r="D1101" s="20"/>
      <c r="F1101" s="20"/>
      <c r="H1101" s="25">
        <f>SUM(H1085:H1100)</f>
        <v>0</v>
      </c>
      <c r="I1101" s="2"/>
      <c r="J1101" s="17"/>
      <c r="K1101" s="17"/>
      <c r="L1101" s="17"/>
    </row>
    <row r="1102" spans="1:12">
      <c r="A1102" s="45"/>
      <c r="B1102" s="46"/>
      <c r="C1102" s="14"/>
      <c r="D1102" s="20"/>
      <c r="F1102" s="20"/>
      <c r="H1102" s="20"/>
      <c r="I1102" s="2"/>
      <c r="J1102" s="17"/>
      <c r="K1102" s="17"/>
      <c r="L1102" s="17"/>
    </row>
    <row r="1103" spans="1:12">
      <c r="A1103" s="45"/>
      <c r="B1103" s="46"/>
      <c r="C1103" s="14" t="s">
        <v>632</v>
      </c>
      <c r="D1103" s="20"/>
      <c r="F1103" s="20"/>
      <c r="H1103" s="20"/>
      <c r="I1103" s="2"/>
      <c r="J1103" s="17"/>
      <c r="K1103" s="17"/>
      <c r="L1103" s="17"/>
    </row>
    <row r="1104" spans="1:12">
      <c r="A1104" s="45"/>
      <c r="B1104" s="43">
        <v>1</v>
      </c>
      <c r="C1104" s="19" t="s">
        <v>633</v>
      </c>
      <c r="D1104" s="20">
        <v>0</v>
      </c>
      <c r="E1104" s="21">
        <v>1</v>
      </c>
      <c r="F1104" s="20">
        <f>D1104*E1104</f>
        <v>0</v>
      </c>
      <c r="G1104" s="21">
        <v>40000</v>
      </c>
      <c r="H1104" s="20">
        <f>F1104*G1104</f>
        <v>0</v>
      </c>
      <c r="I1104" s="2"/>
      <c r="J1104" s="17"/>
      <c r="K1104" s="17"/>
      <c r="L1104" s="17"/>
    </row>
    <row r="1105" spans="1:12">
      <c r="A1105" s="45"/>
      <c r="B1105" s="43">
        <v>2</v>
      </c>
      <c r="C1105" s="19"/>
      <c r="D1105" s="20">
        <v>0</v>
      </c>
      <c r="E1105" s="21">
        <v>1</v>
      </c>
      <c r="F1105" s="20">
        <f t="shared" ref="F1105:F1107" si="110">D1105*E1105</f>
        <v>0</v>
      </c>
      <c r="G1105" s="21">
        <v>102</v>
      </c>
      <c r="H1105" s="20">
        <f t="shared" ref="H1105:H1107" si="111">F1105*G1105</f>
        <v>0</v>
      </c>
      <c r="I1105" s="2"/>
      <c r="J1105" s="17"/>
      <c r="K1105" s="17"/>
      <c r="L1105" s="17"/>
    </row>
    <row r="1106" spans="1:12">
      <c r="A1106" s="45"/>
      <c r="B1106" s="43">
        <v>3</v>
      </c>
      <c r="C1106" s="19"/>
      <c r="D1106" s="20">
        <v>0</v>
      </c>
      <c r="E1106" s="21">
        <v>1</v>
      </c>
      <c r="F1106" s="20">
        <f t="shared" si="110"/>
        <v>0</v>
      </c>
      <c r="G1106" s="21">
        <v>103</v>
      </c>
      <c r="H1106" s="20">
        <f t="shared" si="111"/>
        <v>0</v>
      </c>
      <c r="I1106" s="2"/>
      <c r="J1106" s="17"/>
      <c r="K1106" s="17"/>
      <c r="L1106" s="17"/>
    </row>
    <row r="1107" spans="1:12">
      <c r="A1107" s="45"/>
      <c r="B1107" s="43">
        <v>4</v>
      </c>
      <c r="C1107" s="19"/>
      <c r="D1107" s="20">
        <v>0</v>
      </c>
      <c r="E1107" s="21">
        <v>1</v>
      </c>
      <c r="F1107" s="20">
        <f t="shared" si="110"/>
        <v>0</v>
      </c>
      <c r="G1107" s="21">
        <v>104</v>
      </c>
      <c r="H1107" s="20">
        <f t="shared" si="111"/>
        <v>0</v>
      </c>
      <c r="I1107" s="2"/>
      <c r="J1107" s="17"/>
      <c r="K1107" s="17"/>
      <c r="L1107" s="17"/>
    </row>
    <row r="1108" spans="1:12">
      <c r="A1108" s="45"/>
      <c r="B1108" s="43">
        <v>5</v>
      </c>
      <c r="C1108" s="19"/>
      <c r="D1108" s="20">
        <v>0</v>
      </c>
      <c r="E1108" s="21">
        <v>1</v>
      </c>
      <c r="F1108" s="20">
        <f>D1108*E1108</f>
        <v>0</v>
      </c>
      <c r="G1108" s="21">
        <v>102</v>
      </c>
      <c r="H1108" s="20">
        <f>F1108*G1108</f>
        <v>0</v>
      </c>
      <c r="I1108" s="2"/>
      <c r="J1108" s="17"/>
      <c r="K1108" s="17"/>
      <c r="L1108" s="17"/>
    </row>
    <row r="1109" spans="1:12">
      <c r="A1109" s="45"/>
      <c r="B1109" s="43"/>
      <c r="C1109" s="14" t="s">
        <v>634</v>
      </c>
      <c r="D1109" s="20"/>
      <c r="F1109" s="20"/>
      <c r="H1109" s="25">
        <f>SUM(H1104:H1108)</f>
        <v>0</v>
      </c>
      <c r="I1109" s="2"/>
      <c r="J1109" s="17"/>
      <c r="K1109" s="17"/>
      <c r="L1109" s="17"/>
    </row>
    <row r="1110" spans="1:12">
      <c r="A1110" s="45"/>
      <c r="B1110" s="46"/>
      <c r="C1110" s="14"/>
      <c r="D1110" s="20"/>
      <c r="F1110" s="20"/>
      <c r="H1110" s="20"/>
      <c r="I1110" s="2"/>
      <c r="J1110" s="17"/>
      <c r="K1110" s="17"/>
      <c r="L1110" s="17"/>
    </row>
    <row r="1111" spans="1:12">
      <c r="A1111" s="45"/>
      <c r="B1111" s="46"/>
      <c r="C1111" s="14" t="s">
        <v>635</v>
      </c>
      <c r="D1111" s="20"/>
      <c r="F1111" s="20"/>
      <c r="H1111" s="20"/>
      <c r="I1111" s="2"/>
      <c r="J1111" s="17"/>
      <c r="K1111" s="17"/>
      <c r="L1111" s="17"/>
    </row>
    <row r="1112" spans="1:12">
      <c r="A1112" s="45"/>
      <c r="B1112" s="43">
        <v>1</v>
      </c>
      <c r="C1112" s="19" t="s">
        <v>219</v>
      </c>
      <c r="D1112" s="20">
        <v>0</v>
      </c>
      <c r="E1112" s="21">
        <v>1</v>
      </c>
      <c r="F1112" s="20">
        <f>D1112*E1112</f>
        <v>0</v>
      </c>
      <c r="G1112" s="69">
        <v>12507</v>
      </c>
      <c r="H1112" s="20">
        <f>F1112*G1112</f>
        <v>0</v>
      </c>
      <c r="I1112" s="2"/>
      <c r="J1112" s="17"/>
      <c r="K1112" s="17"/>
      <c r="L1112" s="17"/>
    </row>
    <row r="1113" spans="1:12">
      <c r="A1113" s="45"/>
      <c r="B1113" s="43">
        <v>2</v>
      </c>
      <c r="C1113" s="19" t="s">
        <v>64</v>
      </c>
      <c r="D1113" s="20">
        <v>0</v>
      </c>
      <c r="E1113" s="21">
        <v>1</v>
      </c>
      <c r="F1113" s="20">
        <f t="shared" ref="F1113:F1118" si="112">D1113*E1113</f>
        <v>0</v>
      </c>
      <c r="G1113" s="69">
        <v>12507</v>
      </c>
      <c r="H1113" s="20">
        <f t="shared" ref="H1113:H1118" si="113">F1113*G1113</f>
        <v>0</v>
      </c>
      <c r="I1113" s="2"/>
      <c r="J1113" s="17"/>
      <c r="K1113" s="17"/>
      <c r="L1113" s="17"/>
    </row>
    <row r="1114" spans="1:12">
      <c r="A1114" s="45"/>
      <c r="B1114" s="43">
        <v>3</v>
      </c>
      <c r="C1114" s="19" t="s">
        <v>65</v>
      </c>
      <c r="D1114" s="20">
        <v>0</v>
      </c>
      <c r="E1114" s="21">
        <v>1</v>
      </c>
      <c r="F1114" s="20">
        <f t="shared" si="112"/>
        <v>0</v>
      </c>
      <c r="G1114" s="69">
        <v>12507</v>
      </c>
      <c r="H1114" s="20">
        <f t="shared" si="113"/>
        <v>0</v>
      </c>
      <c r="I1114" s="2"/>
      <c r="J1114" s="17"/>
      <c r="K1114" s="17"/>
      <c r="L1114" s="17"/>
    </row>
    <row r="1115" spans="1:12">
      <c r="A1115" s="45"/>
      <c r="B1115" s="43">
        <v>4</v>
      </c>
      <c r="C1115" s="19" t="s">
        <v>358</v>
      </c>
      <c r="D1115" s="20">
        <v>0</v>
      </c>
      <c r="E1115" s="21">
        <v>1</v>
      </c>
      <c r="F1115" s="20">
        <f t="shared" si="112"/>
        <v>0</v>
      </c>
      <c r="G1115" s="69">
        <v>12507</v>
      </c>
      <c r="H1115" s="20">
        <f t="shared" si="113"/>
        <v>0</v>
      </c>
      <c r="I1115" s="2"/>
      <c r="J1115" s="17"/>
      <c r="K1115" s="17"/>
      <c r="L1115" s="17"/>
    </row>
    <row r="1116" spans="1:12">
      <c r="A1116" s="45"/>
      <c r="B1116" s="43">
        <v>5</v>
      </c>
      <c r="C1116" s="19" t="s">
        <v>222</v>
      </c>
      <c r="D1116" s="20">
        <v>0</v>
      </c>
      <c r="E1116" s="21">
        <v>0.36</v>
      </c>
      <c r="F1116" s="20">
        <f t="shared" si="112"/>
        <v>0</v>
      </c>
      <c r="G1116" s="69">
        <v>12507</v>
      </c>
      <c r="H1116" s="20">
        <f t="shared" si="113"/>
        <v>0</v>
      </c>
      <c r="I1116" s="2"/>
      <c r="J1116" s="17"/>
      <c r="K1116" s="17"/>
      <c r="L1116" s="17"/>
    </row>
    <row r="1117" spans="1:12">
      <c r="A1117" s="45"/>
      <c r="B1117" s="43">
        <v>6</v>
      </c>
      <c r="C1117" s="19" t="s">
        <v>360</v>
      </c>
      <c r="D1117" s="20">
        <v>0</v>
      </c>
      <c r="E1117" s="21">
        <v>1</v>
      </c>
      <c r="F1117" s="20">
        <f t="shared" si="112"/>
        <v>0</v>
      </c>
      <c r="G1117" s="69">
        <v>31769</v>
      </c>
      <c r="H1117" s="20">
        <f t="shared" si="113"/>
        <v>0</v>
      </c>
      <c r="I1117" s="2"/>
      <c r="J1117" s="17"/>
      <c r="K1117" s="17"/>
      <c r="L1117" s="17"/>
    </row>
    <row r="1118" spans="1:12">
      <c r="A1118" s="45"/>
      <c r="B1118" s="43">
        <v>7</v>
      </c>
      <c r="C1118" s="19"/>
      <c r="D1118" s="20"/>
      <c r="E1118" s="21">
        <v>1</v>
      </c>
      <c r="F1118" s="20">
        <f t="shared" si="112"/>
        <v>0</v>
      </c>
      <c r="G1118" s="21">
        <v>107</v>
      </c>
      <c r="H1118" s="20">
        <f t="shared" si="113"/>
        <v>0</v>
      </c>
      <c r="I1118" s="2"/>
      <c r="J1118" s="17"/>
      <c r="K1118" s="17"/>
      <c r="L1118" s="17"/>
    </row>
    <row r="1119" spans="1:12">
      <c r="A1119" s="45"/>
      <c r="B1119" s="43">
        <v>8</v>
      </c>
      <c r="C1119" s="19"/>
      <c r="D1119" s="20">
        <v>0</v>
      </c>
      <c r="E1119" s="21">
        <v>1</v>
      </c>
      <c r="F1119" s="20">
        <f>D1119*E1119</f>
        <v>0</v>
      </c>
      <c r="G1119" s="21">
        <v>102</v>
      </c>
      <c r="H1119" s="20">
        <f>F1119*G1119</f>
        <v>0</v>
      </c>
      <c r="I1119" s="2"/>
      <c r="J1119" s="17"/>
      <c r="K1119" s="17"/>
      <c r="L1119" s="17"/>
    </row>
    <row r="1120" spans="1:12">
      <c r="A1120" s="45"/>
      <c r="B1120" s="43"/>
      <c r="C1120" s="14" t="s">
        <v>636</v>
      </c>
      <c r="D1120" s="20"/>
      <c r="F1120" s="20"/>
      <c r="H1120" s="25">
        <f>SUM(H1112:H1119)</f>
        <v>0</v>
      </c>
      <c r="I1120" s="2"/>
      <c r="J1120" s="17"/>
      <c r="K1120" s="17"/>
      <c r="L1120" s="17"/>
    </row>
    <row r="1121" spans="1:12">
      <c r="A1121" s="45"/>
      <c r="B1121" s="43"/>
      <c r="C1121" s="14"/>
      <c r="D1121" s="20"/>
      <c r="F1121" s="20"/>
      <c r="H1121" s="25"/>
      <c r="I1121" s="2"/>
      <c r="J1121" s="17"/>
      <c r="K1121" s="17"/>
      <c r="L1121" s="17"/>
    </row>
    <row r="1122" spans="1:12">
      <c r="A1122" s="45"/>
      <c r="B1122" s="46"/>
      <c r="C1122" s="14" t="s">
        <v>637</v>
      </c>
      <c r="D1122" s="20"/>
      <c r="F1122" s="20"/>
      <c r="H1122" s="20"/>
      <c r="I1122" s="2"/>
      <c r="J1122" s="17"/>
      <c r="K1122" s="17"/>
      <c r="L1122" s="17"/>
    </row>
    <row r="1123" spans="1:12">
      <c r="A1123" s="45"/>
      <c r="B1123" s="43">
        <v>1</v>
      </c>
      <c r="C1123" s="19" t="s">
        <v>638</v>
      </c>
      <c r="D1123" s="20">
        <v>0</v>
      </c>
      <c r="E1123" s="21">
        <v>1</v>
      </c>
      <c r="F1123" s="20">
        <f>D1123*E1123</f>
        <v>0</v>
      </c>
      <c r="G1123" s="21">
        <v>140000</v>
      </c>
      <c r="H1123" s="20">
        <f>F1123*G1123</f>
        <v>0</v>
      </c>
      <c r="I1123" s="2"/>
      <c r="J1123" s="17"/>
      <c r="K1123" s="17"/>
      <c r="L1123" s="17"/>
    </row>
    <row r="1124" spans="1:12">
      <c r="A1124" s="45"/>
      <c r="B1124" s="43">
        <v>2</v>
      </c>
      <c r="C1124" s="19" t="s">
        <v>76</v>
      </c>
      <c r="D1124" s="20">
        <v>0</v>
      </c>
      <c r="E1124" s="21">
        <v>1</v>
      </c>
      <c r="F1124" s="20">
        <f t="shared" ref="F1124:F1132" si="114">D1124*E1124</f>
        <v>0</v>
      </c>
      <c r="G1124" s="21">
        <v>30770</v>
      </c>
      <c r="H1124" s="20">
        <f t="shared" ref="H1124:H1132" si="115">F1124*G1124</f>
        <v>0</v>
      </c>
      <c r="I1124" s="2"/>
      <c r="J1124" s="17"/>
      <c r="K1124" s="17"/>
      <c r="L1124" s="17"/>
    </row>
    <row r="1125" spans="1:12">
      <c r="A1125" s="45"/>
      <c r="B1125" s="43">
        <v>3</v>
      </c>
      <c r="C1125" s="19" t="s">
        <v>639</v>
      </c>
      <c r="D1125" s="20">
        <v>0</v>
      </c>
      <c r="E1125" s="21">
        <v>1</v>
      </c>
      <c r="F1125" s="20">
        <f t="shared" si="114"/>
        <v>0</v>
      </c>
      <c r="G1125" s="21">
        <v>30770</v>
      </c>
      <c r="H1125" s="20">
        <f t="shared" si="115"/>
        <v>0</v>
      </c>
      <c r="I1125" s="2"/>
      <c r="J1125" s="17"/>
      <c r="K1125" s="17"/>
      <c r="L1125" s="17"/>
    </row>
    <row r="1126" spans="1:12">
      <c r="A1126" s="45"/>
      <c r="B1126" s="43">
        <v>4</v>
      </c>
      <c r="C1126" s="19"/>
      <c r="D1126" s="20">
        <v>0</v>
      </c>
      <c r="E1126" s="21">
        <v>1</v>
      </c>
      <c r="F1126" s="20">
        <f t="shared" si="114"/>
        <v>0</v>
      </c>
      <c r="G1126" s="21">
        <v>104</v>
      </c>
      <c r="H1126" s="20">
        <f t="shared" si="115"/>
        <v>0</v>
      </c>
      <c r="I1126" s="2"/>
      <c r="J1126" s="17"/>
      <c r="K1126" s="17"/>
      <c r="L1126" s="17"/>
    </row>
    <row r="1127" spans="1:12">
      <c r="A1127" s="45"/>
      <c r="B1127" s="43">
        <v>5</v>
      </c>
      <c r="C1127" s="19"/>
      <c r="D1127" s="20">
        <v>0</v>
      </c>
      <c r="E1127" s="21">
        <v>1</v>
      </c>
      <c r="F1127" s="20">
        <f t="shared" si="114"/>
        <v>0</v>
      </c>
      <c r="G1127" s="21">
        <v>105</v>
      </c>
      <c r="H1127" s="20">
        <f t="shared" si="115"/>
        <v>0</v>
      </c>
      <c r="I1127" s="2"/>
      <c r="J1127" s="17"/>
      <c r="K1127" s="17"/>
      <c r="L1127" s="17"/>
    </row>
    <row r="1128" spans="1:12">
      <c r="A1128" s="45"/>
      <c r="B1128" s="43">
        <v>6</v>
      </c>
      <c r="C1128" s="19"/>
      <c r="D1128" s="20">
        <v>0</v>
      </c>
      <c r="E1128" s="21">
        <v>1</v>
      </c>
      <c r="F1128" s="20">
        <f t="shared" si="114"/>
        <v>0</v>
      </c>
      <c r="G1128" s="21">
        <v>106</v>
      </c>
      <c r="H1128" s="20">
        <f t="shared" si="115"/>
        <v>0</v>
      </c>
      <c r="I1128" s="2"/>
      <c r="J1128" s="17"/>
      <c r="K1128" s="17"/>
      <c r="L1128" s="17"/>
    </row>
    <row r="1129" spans="1:12">
      <c r="A1129" s="45"/>
      <c r="B1129" s="43">
        <v>7</v>
      </c>
      <c r="C1129" s="19"/>
      <c r="D1129" s="20">
        <v>0</v>
      </c>
      <c r="E1129" s="21">
        <v>1</v>
      </c>
      <c r="F1129" s="20">
        <f t="shared" si="114"/>
        <v>0</v>
      </c>
      <c r="G1129" s="21">
        <v>107</v>
      </c>
      <c r="H1129" s="20">
        <f t="shared" si="115"/>
        <v>0</v>
      </c>
      <c r="I1129" s="2"/>
      <c r="J1129" s="17"/>
      <c r="K1129" s="17"/>
      <c r="L1129" s="17"/>
    </row>
    <row r="1130" spans="1:12">
      <c r="A1130" s="45"/>
      <c r="B1130" s="43">
        <v>8</v>
      </c>
      <c r="C1130" s="19"/>
      <c r="D1130" s="20">
        <v>0</v>
      </c>
      <c r="E1130" s="21">
        <v>1</v>
      </c>
      <c r="F1130" s="20">
        <f t="shared" si="114"/>
        <v>0</v>
      </c>
      <c r="G1130" s="21">
        <v>108</v>
      </c>
      <c r="H1130" s="20">
        <f t="shared" si="115"/>
        <v>0</v>
      </c>
      <c r="I1130" s="2"/>
      <c r="J1130" s="17"/>
      <c r="K1130" s="17"/>
      <c r="L1130" s="17"/>
    </row>
    <row r="1131" spans="1:12">
      <c r="A1131" s="45"/>
      <c r="B1131" s="43">
        <v>9</v>
      </c>
      <c r="C1131" s="19"/>
      <c r="D1131" s="20">
        <v>0</v>
      </c>
      <c r="E1131" s="21">
        <v>1</v>
      </c>
      <c r="F1131" s="20">
        <f t="shared" si="114"/>
        <v>0</v>
      </c>
      <c r="G1131" s="21">
        <v>109</v>
      </c>
      <c r="H1131" s="20">
        <f t="shared" si="115"/>
        <v>0</v>
      </c>
      <c r="I1131" s="2"/>
      <c r="J1131" s="17"/>
      <c r="K1131" s="17"/>
      <c r="L1131" s="17"/>
    </row>
    <row r="1132" spans="1:12">
      <c r="A1132" s="45"/>
      <c r="B1132" s="43">
        <v>10</v>
      </c>
      <c r="C1132" s="19"/>
      <c r="D1132" s="20">
        <v>0</v>
      </c>
      <c r="E1132" s="21">
        <v>1</v>
      </c>
      <c r="F1132" s="20">
        <f t="shared" si="114"/>
        <v>0</v>
      </c>
      <c r="G1132" s="21">
        <v>110</v>
      </c>
      <c r="H1132" s="20">
        <f t="shared" si="115"/>
        <v>0</v>
      </c>
      <c r="I1132" s="2"/>
      <c r="J1132" s="17"/>
      <c r="K1132" s="17"/>
      <c r="L1132" s="17"/>
    </row>
    <row r="1133" spans="1:12">
      <c r="A1133" s="45"/>
      <c r="B1133" s="43">
        <v>11</v>
      </c>
      <c r="C1133" s="19"/>
      <c r="D1133" s="20">
        <v>0</v>
      </c>
      <c r="E1133" s="21">
        <v>1</v>
      </c>
      <c r="F1133" s="20">
        <f>D1133*E1133</f>
        <v>0</v>
      </c>
      <c r="G1133" s="21">
        <v>102</v>
      </c>
      <c r="H1133" s="20">
        <f>F1133*G1133</f>
        <v>0</v>
      </c>
      <c r="I1133" s="2"/>
      <c r="J1133" s="17"/>
      <c r="K1133" s="17"/>
      <c r="L1133" s="17"/>
    </row>
    <row r="1134" spans="1:12">
      <c r="A1134" s="45"/>
      <c r="B1134" s="43"/>
      <c r="C1134" s="14" t="s">
        <v>640</v>
      </c>
      <c r="D1134" s="20"/>
      <c r="F1134" s="20"/>
      <c r="H1134" s="25">
        <f>SUM(H1123:H1133)</f>
        <v>0</v>
      </c>
      <c r="I1134" s="2"/>
      <c r="J1134" s="17"/>
      <c r="K1134" s="17"/>
      <c r="L1134" s="17"/>
    </row>
    <row r="1135" spans="1:12">
      <c r="A1135" s="45"/>
      <c r="B1135" s="43"/>
      <c r="C1135" s="14"/>
      <c r="D1135" s="20"/>
      <c r="F1135" s="20"/>
      <c r="H1135" s="25"/>
      <c r="I1135" s="2"/>
      <c r="J1135" s="17"/>
      <c r="K1135" s="17"/>
      <c r="L1135" s="17"/>
    </row>
    <row r="1136" spans="1:12">
      <c r="A1136" s="45"/>
      <c r="B1136" s="43"/>
      <c r="C1136" s="14" t="s">
        <v>641</v>
      </c>
      <c r="D1136" s="20"/>
      <c r="F1136" s="20"/>
      <c r="H1136" s="25">
        <f>H1058+H1066+H1074+H1082+H1101+H1109+H1120+H1134</f>
        <v>0</v>
      </c>
      <c r="I1136" s="2"/>
      <c r="J1136" s="17"/>
      <c r="K1136" s="17"/>
      <c r="L1136" s="17"/>
    </row>
    <row r="1137" spans="1:12">
      <c r="A1137" s="45"/>
      <c r="B1137" s="46"/>
      <c r="C1137" s="14"/>
      <c r="D1137" s="20"/>
      <c r="F1137" s="20"/>
      <c r="H1137" s="20"/>
      <c r="I1137" s="2"/>
      <c r="J1137" s="17"/>
      <c r="K1137" s="17"/>
      <c r="L1137" s="17"/>
    </row>
    <row r="1138" spans="1:12" ht="26">
      <c r="A1138" s="45"/>
      <c r="B1138" s="42" t="s">
        <v>642</v>
      </c>
      <c r="C1138" s="14" t="s">
        <v>643</v>
      </c>
      <c r="D1138" s="20"/>
      <c r="F1138" s="20"/>
      <c r="H1138" s="20"/>
      <c r="I1138" s="2"/>
      <c r="J1138" s="17"/>
      <c r="K1138" s="17"/>
      <c r="L1138" s="17"/>
    </row>
    <row r="1139" spans="1:12">
      <c r="A1139" s="45"/>
      <c r="B1139" s="43">
        <v>1</v>
      </c>
      <c r="C1139" s="19"/>
      <c r="D1139" s="20">
        <v>0</v>
      </c>
      <c r="E1139" s="21">
        <v>1</v>
      </c>
      <c r="F1139" s="20">
        <f>D1139*E1139</f>
        <v>0</v>
      </c>
      <c r="G1139" s="21">
        <v>101</v>
      </c>
      <c r="H1139" s="20">
        <f>F1139*G1139</f>
        <v>0</v>
      </c>
      <c r="I1139" s="2"/>
      <c r="J1139" s="17"/>
      <c r="K1139" s="17"/>
      <c r="L1139" s="17"/>
    </row>
    <row r="1140" spans="1:12">
      <c r="A1140" s="45"/>
      <c r="B1140" s="43">
        <v>2</v>
      </c>
      <c r="C1140" s="19"/>
      <c r="D1140" s="20">
        <v>0</v>
      </c>
      <c r="E1140" s="21">
        <v>1</v>
      </c>
      <c r="F1140" s="20">
        <f t="shared" ref="F1140:F1142" si="116">D1140*E1140</f>
        <v>0</v>
      </c>
      <c r="G1140" s="21">
        <v>102</v>
      </c>
      <c r="H1140" s="20">
        <f t="shared" ref="H1140:H1142" si="117">F1140*G1140</f>
        <v>0</v>
      </c>
      <c r="I1140" s="2"/>
      <c r="J1140" s="17"/>
      <c r="K1140" s="17"/>
      <c r="L1140" s="17"/>
    </row>
    <row r="1141" spans="1:12">
      <c r="A1141" s="45"/>
      <c r="B1141" s="43">
        <v>3</v>
      </c>
      <c r="C1141" s="19"/>
      <c r="D1141" s="20">
        <v>0</v>
      </c>
      <c r="E1141" s="21">
        <v>1</v>
      </c>
      <c r="F1141" s="20">
        <f t="shared" si="116"/>
        <v>0</v>
      </c>
      <c r="G1141" s="21">
        <v>103</v>
      </c>
      <c r="H1141" s="20">
        <f t="shared" si="117"/>
        <v>0</v>
      </c>
      <c r="I1141" s="2"/>
      <c r="J1141" s="17"/>
      <c r="K1141" s="17"/>
      <c r="L1141" s="17"/>
    </row>
    <row r="1142" spans="1:12">
      <c r="A1142" s="45"/>
      <c r="B1142" s="43">
        <v>4</v>
      </c>
      <c r="C1142" s="19"/>
      <c r="D1142" s="20">
        <v>0</v>
      </c>
      <c r="E1142" s="21">
        <v>1</v>
      </c>
      <c r="F1142" s="20">
        <f t="shared" si="116"/>
        <v>0</v>
      </c>
      <c r="G1142" s="21">
        <v>104</v>
      </c>
      <c r="H1142" s="20">
        <f t="shared" si="117"/>
        <v>0</v>
      </c>
      <c r="I1142" s="2"/>
      <c r="J1142" s="17"/>
      <c r="K1142" s="17"/>
      <c r="L1142" s="17"/>
    </row>
    <row r="1143" spans="1:12">
      <c r="A1143" s="45"/>
      <c r="B1143" s="43">
        <v>5</v>
      </c>
      <c r="C1143" s="19"/>
      <c r="D1143" s="20">
        <v>0</v>
      </c>
      <c r="E1143" s="21">
        <v>1</v>
      </c>
      <c r="F1143" s="20">
        <f>D1143*E1143</f>
        <v>0</v>
      </c>
      <c r="G1143" s="21">
        <v>102</v>
      </c>
      <c r="H1143" s="20">
        <f>F1143*G1143</f>
        <v>0</v>
      </c>
      <c r="I1143" s="2"/>
      <c r="J1143" s="17"/>
      <c r="K1143" s="17"/>
      <c r="L1143" s="17"/>
    </row>
    <row r="1144" spans="1:12">
      <c r="A1144" s="45"/>
      <c r="B1144" s="43"/>
      <c r="C1144" s="14" t="s">
        <v>644</v>
      </c>
      <c r="D1144" s="20"/>
      <c r="F1144" s="20"/>
      <c r="H1144" s="25">
        <f>SUM(H1139:H1143)</f>
        <v>0</v>
      </c>
      <c r="I1144" s="2"/>
      <c r="J1144" s="17"/>
      <c r="K1144" s="17"/>
      <c r="L1144" s="17"/>
    </row>
    <row r="1145" spans="1:12">
      <c r="A1145" s="45"/>
      <c r="B1145" s="42"/>
      <c r="C1145" s="14"/>
      <c r="D1145" s="20"/>
      <c r="F1145" s="20"/>
      <c r="H1145" s="20"/>
      <c r="I1145" s="2"/>
      <c r="J1145" s="17"/>
      <c r="K1145" s="17"/>
      <c r="L1145" s="17"/>
    </row>
    <row r="1146" spans="1:12">
      <c r="A1146" s="45"/>
      <c r="B1146" s="46"/>
      <c r="C1146" s="14" t="s">
        <v>645</v>
      </c>
      <c r="D1146" s="20"/>
      <c r="F1146" s="20"/>
      <c r="H1146" s="20"/>
      <c r="I1146" s="2"/>
      <c r="J1146" s="17"/>
      <c r="K1146" s="17"/>
      <c r="L1146" s="17"/>
    </row>
    <row r="1147" spans="1:12">
      <c r="A1147" s="45"/>
      <c r="B1147" s="43">
        <v>1</v>
      </c>
      <c r="C1147" s="19"/>
      <c r="D1147" s="20">
        <v>0</v>
      </c>
      <c r="E1147" s="21">
        <v>1</v>
      </c>
      <c r="F1147" s="20">
        <f>D1147*E1147</f>
        <v>0</v>
      </c>
      <c r="G1147" s="21">
        <v>101</v>
      </c>
      <c r="H1147" s="20">
        <f>F1147*G1147</f>
        <v>0</v>
      </c>
      <c r="I1147" s="2"/>
      <c r="J1147" s="17"/>
      <c r="K1147" s="17"/>
      <c r="L1147" s="17"/>
    </row>
    <row r="1148" spans="1:12">
      <c r="A1148" s="45"/>
      <c r="B1148" s="43">
        <v>2</v>
      </c>
      <c r="C1148" s="19"/>
      <c r="D1148" s="20">
        <v>0</v>
      </c>
      <c r="E1148" s="21">
        <v>1</v>
      </c>
      <c r="F1148" s="20">
        <f t="shared" ref="F1148:F1150" si="118">D1148*E1148</f>
        <v>0</v>
      </c>
      <c r="G1148" s="21">
        <v>102</v>
      </c>
      <c r="H1148" s="20">
        <f t="shared" ref="H1148:H1150" si="119">F1148*G1148</f>
        <v>0</v>
      </c>
      <c r="I1148" s="2"/>
      <c r="J1148" s="17"/>
      <c r="K1148" s="17"/>
      <c r="L1148" s="17"/>
    </row>
    <row r="1149" spans="1:12">
      <c r="A1149" s="45"/>
      <c r="B1149" s="43">
        <v>3</v>
      </c>
      <c r="C1149" s="19"/>
      <c r="D1149" s="20">
        <v>0</v>
      </c>
      <c r="E1149" s="21">
        <v>1</v>
      </c>
      <c r="F1149" s="20">
        <f t="shared" si="118"/>
        <v>0</v>
      </c>
      <c r="G1149" s="21">
        <v>103</v>
      </c>
      <c r="H1149" s="20">
        <f t="shared" si="119"/>
        <v>0</v>
      </c>
      <c r="I1149" s="2"/>
      <c r="J1149" s="17"/>
      <c r="K1149" s="17"/>
      <c r="L1149" s="17"/>
    </row>
    <row r="1150" spans="1:12">
      <c r="A1150" s="45"/>
      <c r="B1150" s="43">
        <v>4</v>
      </c>
      <c r="C1150" s="19"/>
      <c r="D1150" s="20">
        <v>0</v>
      </c>
      <c r="E1150" s="21">
        <v>1</v>
      </c>
      <c r="F1150" s="20">
        <f t="shared" si="118"/>
        <v>0</v>
      </c>
      <c r="G1150" s="21">
        <v>104</v>
      </c>
      <c r="H1150" s="20">
        <f t="shared" si="119"/>
        <v>0</v>
      </c>
      <c r="I1150" s="2"/>
      <c r="J1150" s="17"/>
      <c r="K1150" s="17"/>
      <c r="L1150" s="17"/>
    </row>
    <row r="1151" spans="1:12">
      <c r="A1151" s="45"/>
      <c r="B1151" s="43">
        <v>5</v>
      </c>
      <c r="C1151" s="19"/>
      <c r="D1151" s="20">
        <v>0</v>
      </c>
      <c r="E1151" s="21">
        <v>1</v>
      </c>
      <c r="F1151" s="20">
        <f>D1151*E1151</f>
        <v>0</v>
      </c>
      <c r="G1151" s="21">
        <v>102</v>
      </c>
      <c r="H1151" s="20">
        <f>F1151*G1151</f>
        <v>0</v>
      </c>
      <c r="I1151" s="2"/>
      <c r="J1151" s="17"/>
      <c r="K1151" s="17"/>
      <c r="L1151" s="17"/>
    </row>
    <row r="1152" spans="1:12">
      <c r="A1152" s="45"/>
      <c r="B1152" s="43"/>
      <c r="C1152" s="14" t="s">
        <v>646</v>
      </c>
      <c r="D1152" s="20"/>
      <c r="F1152" s="20"/>
      <c r="H1152" s="25">
        <f>SUM(H1147:H1151)</f>
        <v>0</v>
      </c>
      <c r="I1152" s="2"/>
      <c r="J1152" s="17"/>
      <c r="K1152" s="17"/>
      <c r="L1152" s="17"/>
    </row>
    <row r="1153" spans="1:12">
      <c r="A1153" s="45"/>
      <c r="B1153" s="46"/>
      <c r="C1153" s="14"/>
      <c r="D1153" s="20"/>
      <c r="F1153" s="20"/>
      <c r="H1153" s="20"/>
      <c r="I1153" s="2"/>
      <c r="J1153" s="17"/>
      <c r="K1153" s="17"/>
      <c r="L1153" s="17"/>
    </row>
    <row r="1154" spans="1:12">
      <c r="A1154" s="45"/>
      <c r="B1154" s="46"/>
      <c r="C1154" s="14" t="s">
        <v>647</v>
      </c>
      <c r="D1154" s="20"/>
      <c r="F1154" s="20"/>
      <c r="H1154" s="20"/>
      <c r="I1154" s="2"/>
      <c r="J1154" s="17"/>
      <c r="K1154" s="17"/>
      <c r="L1154" s="17"/>
    </row>
    <row r="1155" spans="1:12">
      <c r="A1155" s="45"/>
      <c r="B1155" s="43">
        <v>1</v>
      </c>
      <c r="C1155" s="19"/>
      <c r="D1155" s="20">
        <v>0</v>
      </c>
      <c r="E1155" s="21">
        <v>1</v>
      </c>
      <c r="F1155" s="20">
        <f>D1155*E1155</f>
        <v>0</v>
      </c>
      <c r="G1155" s="21">
        <v>101</v>
      </c>
      <c r="H1155" s="20">
        <f>F1155*G1155</f>
        <v>0</v>
      </c>
      <c r="I1155" s="2"/>
      <c r="J1155" s="17"/>
      <c r="K1155" s="17"/>
      <c r="L1155" s="17"/>
    </row>
    <row r="1156" spans="1:12">
      <c r="A1156" s="45"/>
      <c r="B1156" s="43">
        <v>2</v>
      </c>
      <c r="C1156" s="19"/>
      <c r="D1156" s="20">
        <v>0</v>
      </c>
      <c r="E1156" s="21">
        <v>1</v>
      </c>
      <c r="F1156" s="20">
        <f t="shared" ref="F1156:F1158" si="120">D1156*E1156</f>
        <v>0</v>
      </c>
      <c r="G1156" s="21">
        <v>102</v>
      </c>
      <c r="H1156" s="20">
        <f t="shared" ref="H1156:H1158" si="121">F1156*G1156</f>
        <v>0</v>
      </c>
      <c r="I1156" s="2"/>
      <c r="J1156" s="17"/>
      <c r="K1156" s="17"/>
      <c r="L1156" s="17"/>
    </row>
    <row r="1157" spans="1:12">
      <c r="A1157" s="45"/>
      <c r="B1157" s="43">
        <v>3</v>
      </c>
      <c r="C1157" s="19"/>
      <c r="D1157" s="20">
        <v>0</v>
      </c>
      <c r="E1157" s="21">
        <v>1</v>
      </c>
      <c r="F1157" s="20">
        <f t="shared" si="120"/>
        <v>0</v>
      </c>
      <c r="G1157" s="21">
        <v>103</v>
      </c>
      <c r="H1157" s="20">
        <f t="shared" si="121"/>
        <v>0</v>
      </c>
      <c r="I1157" s="2"/>
      <c r="J1157" s="17"/>
      <c r="K1157" s="17"/>
      <c r="L1157" s="17"/>
    </row>
    <row r="1158" spans="1:12">
      <c r="A1158" s="45"/>
      <c r="B1158" s="43">
        <v>4</v>
      </c>
      <c r="C1158" s="19"/>
      <c r="D1158" s="20">
        <v>0</v>
      </c>
      <c r="E1158" s="21">
        <v>1</v>
      </c>
      <c r="F1158" s="20">
        <f t="shared" si="120"/>
        <v>0</v>
      </c>
      <c r="G1158" s="21">
        <v>104</v>
      </c>
      <c r="H1158" s="20">
        <f t="shared" si="121"/>
        <v>0</v>
      </c>
      <c r="I1158" s="2"/>
      <c r="J1158" s="17"/>
      <c r="K1158" s="17"/>
      <c r="L1158" s="17"/>
    </row>
    <row r="1159" spans="1:12">
      <c r="A1159" s="45"/>
      <c r="B1159" s="43">
        <v>5</v>
      </c>
      <c r="C1159" s="19"/>
      <c r="D1159" s="20">
        <v>0</v>
      </c>
      <c r="E1159" s="21">
        <v>1</v>
      </c>
      <c r="F1159" s="20">
        <f>D1159*E1159</f>
        <v>0</v>
      </c>
      <c r="G1159" s="21">
        <v>102</v>
      </c>
      <c r="H1159" s="20">
        <f>F1159*G1159</f>
        <v>0</v>
      </c>
      <c r="I1159" s="2"/>
      <c r="J1159" s="17"/>
      <c r="K1159" s="17"/>
      <c r="L1159" s="17"/>
    </row>
    <row r="1160" spans="1:12">
      <c r="A1160" s="45"/>
      <c r="B1160" s="43"/>
      <c r="C1160" s="14" t="s">
        <v>648</v>
      </c>
      <c r="D1160" s="20"/>
      <c r="F1160" s="20"/>
      <c r="H1160" s="25">
        <f>SUM(H1155:H1159)</f>
        <v>0</v>
      </c>
      <c r="I1160" s="2"/>
      <c r="J1160" s="17"/>
      <c r="K1160" s="17"/>
      <c r="L1160" s="17"/>
    </row>
    <row r="1161" spans="1:12">
      <c r="A1161" s="45"/>
      <c r="B1161" s="46"/>
      <c r="C1161" s="14"/>
      <c r="D1161" s="20"/>
      <c r="F1161" s="20"/>
      <c r="H1161" s="20"/>
      <c r="I1161" s="2"/>
      <c r="J1161" s="17"/>
      <c r="K1161" s="17"/>
      <c r="L1161" s="17"/>
    </row>
    <row r="1162" spans="1:12">
      <c r="A1162" s="45"/>
      <c r="B1162" s="46"/>
      <c r="C1162" s="14" t="s">
        <v>649</v>
      </c>
      <c r="D1162" s="20"/>
      <c r="F1162" s="20"/>
      <c r="H1162" s="20"/>
      <c r="I1162" s="2"/>
      <c r="J1162" s="17"/>
      <c r="K1162" s="17"/>
      <c r="L1162" s="17"/>
    </row>
    <row r="1163" spans="1:12">
      <c r="A1163" s="45"/>
      <c r="B1163" s="43">
        <v>1</v>
      </c>
      <c r="C1163" s="19"/>
      <c r="D1163" s="20">
        <v>0</v>
      </c>
      <c r="E1163" s="21">
        <v>1</v>
      </c>
      <c r="F1163" s="20">
        <f>D1163*E1163</f>
        <v>0</v>
      </c>
      <c r="G1163" s="21">
        <v>101</v>
      </c>
      <c r="H1163" s="20">
        <f>F1163*G1163</f>
        <v>0</v>
      </c>
      <c r="I1163" s="2"/>
      <c r="J1163" s="17"/>
      <c r="K1163" s="17"/>
      <c r="L1163" s="17"/>
    </row>
    <row r="1164" spans="1:12">
      <c r="A1164" s="45"/>
      <c r="B1164" s="43">
        <v>2</v>
      </c>
      <c r="C1164" s="19"/>
      <c r="D1164" s="20">
        <v>0</v>
      </c>
      <c r="E1164" s="21">
        <v>1</v>
      </c>
      <c r="F1164" s="20">
        <f t="shared" ref="F1164:F1167" si="122">D1164*E1164</f>
        <v>0</v>
      </c>
      <c r="G1164" s="21">
        <v>102</v>
      </c>
      <c r="H1164" s="20">
        <f t="shared" ref="H1164:H1167" si="123">F1164*G1164</f>
        <v>0</v>
      </c>
      <c r="I1164" s="2"/>
      <c r="J1164" s="17"/>
      <c r="K1164" s="17"/>
      <c r="L1164" s="17"/>
    </row>
    <row r="1165" spans="1:12">
      <c r="A1165" s="45"/>
      <c r="B1165" s="43">
        <v>3</v>
      </c>
      <c r="C1165" s="19"/>
      <c r="D1165" s="20">
        <v>0</v>
      </c>
      <c r="E1165" s="21">
        <v>1</v>
      </c>
      <c r="F1165" s="20">
        <f t="shared" si="122"/>
        <v>0</v>
      </c>
      <c r="G1165" s="21">
        <v>103</v>
      </c>
      <c r="H1165" s="20">
        <f t="shared" si="123"/>
        <v>0</v>
      </c>
      <c r="I1165" s="2"/>
      <c r="J1165" s="17"/>
      <c r="K1165" s="17"/>
      <c r="L1165" s="17"/>
    </row>
    <row r="1166" spans="1:12">
      <c r="A1166" s="45"/>
      <c r="B1166" s="43">
        <v>4</v>
      </c>
      <c r="C1166" s="19"/>
      <c r="D1166" s="20">
        <v>0</v>
      </c>
      <c r="E1166" s="21">
        <v>1</v>
      </c>
      <c r="F1166" s="20">
        <f t="shared" si="122"/>
        <v>0</v>
      </c>
      <c r="G1166" s="21">
        <v>104</v>
      </c>
      <c r="H1166" s="20">
        <f t="shared" si="123"/>
        <v>0</v>
      </c>
      <c r="I1166" s="2"/>
      <c r="J1166" s="17"/>
      <c r="K1166" s="17"/>
      <c r="L1166" s="17"/>
    </row>
    <row r="1167" spans="1:12">
      <c r="A1167" s="45"/>
      <c r="B1167" s="43">
        <v>5</v>
      </c>
      <c r="C1167" s="19"/>
      <c r="D1167" s="20">
        <v>0</v>
      </c>
      <c r="E1167" s="21">
        <v>1</v>
      </c>
      <c r="F1167" s="20">
        <f t="shared" si="122"/>
        <v>0</v>
      </c>
      <c r="G1167" s="21">
        <v>105</v>
      </c>
      <c r="H1167" s="20">
        <f t="shared" si="123"/>
        <v>0</v>
      </c>
      <c r="I1167" s="2"/>
      <c r="J1167" s="17"/>
      <c r="K1167" s="17"/>
      <c r="L1167" s="17"/>
    </row>
    <row r="1168" spans="1:12">
      <c r="A1168" s="45"/>
      <c r="B1168" s="43">
        <v>6</v>
      </c>
      <c r="C1168" s="19"/>
      <c r="D1168" s="20">
        <v>0</v>
      </c>
      <c r="E1168" s="21">
        <v>1</v>
      </c>
      <c r="F1168" s="20">
        <f>D1168*E1168</f>
        <v>0</v>
      </c>
      <c r="G1168" s="21">
        <v>102</v>
      </c>
      <c r="H1168" s="20">
        <f>F1168*G1168</f>
        <v>0</v>
      </c>
      <c r="I1168" s="2"/>
      <c r="J1168" s="17"/>
      <c r="K1168" s="17"/>
      <c r="L1168" s="17"/>
    </row>
    <row r="1169" spans="1:12">
      <c r="A1169" s="45"/>
      <c r="B1169" s="43"/>
      <c r="C1169" s="14" t="s">
        <v>650</v>
      </c>
      <c r="D1169" s="20"/>
      <c r="F1169" s="20"/>
      <c r="H1169" s="25">
        <f>SUM(H1163:H1168)</f>
        <v>0</v>
      </c>
      <c r="I1169" s="2"/>
      <c r="J1169" s="17"/>
      <c r="K1169" s="17"/>
      <c r="L1169" s="17"/>
    </row>
    <row r="1170" spans="1:12">
      <c r="A1170" s="45"/>
      <c r="B1170" s="46"/>
      <c r="C1170" s="14"/>
      <c r="D1170" s="20"/>
      <c r="F1170" s="20"/>
      <c r="H1170" s="20"/>
      <c r="I1170" s="2"/>
      <c r="J1170" s="17"/>
      <c r="K1170" s="17"/>
      <c r="L1170" s="17"/>
    </row>
    <row r="1171" spans="1:12">
      <c r="A1171" s="45"/>
      <c r="B1171" s="46"/>
      <c r="C1171" s="14" t="s">
        <v>651</v>
      </c>
      <c r="D1171" s="20"/>
      <c r="F1171" s="20"/>
      <c r="H1171" s="20"/>
      <c r="I1171" s="2"/>
      <c r="J1171" s="17"/>
      <c r="K1171" s="17"/>
      <c r="L1171" s="17"/>
    </row>
    <row r="1172" spans="1:12">
      <c r="A1172" s="45"/>
      <c r="B1172" s="43">
        <v>1</v>
      </c>
      <c r="C1172" s="19" t="s">
        <v>652</v>
      </c>
      <c r="D1172" s="20">
        <v>0</v>
      </c>
      <c r="E1172" s="21">
        <v>1</v>
      </c>
      <c r="F1172" s="20">
        <f>D1172*E1172</f>
        <v>0</v>
      </c>
      <c r="G1172" s="21">
        <v>43076.923076923078</v>
      </c>
      <c r="H1172" s="20">
        <f>F1172*G1172</f>
        <v>0</v>
      </c>
      <c r="I1172" s="2"/>
      <c r="J1172" s="17"/>
      <c r="K1172" s="17"/>
      <c r="L1172" s="17"/>
    </row>
    <row r="1173" spans="1:12">
      <c r="A1173" s="45"/>
      <c r="B1173" s="43">
        <v>2</v>
      </c>
      <c r="C1173" s="19" t="s">
        <v>653</v>
      </c>
      <c r="D1173" s="20">
        <v>0</v>
      </c>
      <c r="E1173" s="21">
        <v>0.2</v>
      </c>
      <c r="F1173" s="20">
        <f t="shared" ref="F1173:F1185" si="124">D1173*E1173</f>
        <v>0</v>
      </c>
      <c r="G1173" s="69">
        <v>1200000</v>
      </c>
      <c r="H1173" s="20">
        <f t="shared" ref="H1173:H1185" si="125">F1173*G1173</f>
        <v>0</v>
      </c>
      <c r="I1173" s="2"/>
      <c r="J1173" s="17"/>
      <c r="K1173" s="17"/>
      <c r="L1173" s="17"/>
    </row>
    <row r="1174" spans="1:12">
      <c r="A1174" s="45"/>
      <c r="B1174" s="43">
        <v>3</v>
      </c>
      <c r="C1174" s="19" t="s">
        <v>496</v>
      </c>
      <c r="D1174" s="20">
        <v>0</v>
      </c>
      <c r="E1174" s="21">
        <v>1</v>
      </c>
      <c r="F1174" s="20">
        <f t="shared" si="124"/>
        <v>0</v>
      </c>
      <c r="G1174" s="21">
        <v>5384.6153846153848</v>
      </c>
      <c r="H1174" s="20">
        <f t="shared" si="125"/>
        <v>0</v>
      </c>
      <c r="I1174" s="2"/>
      <c r="J1174" s="17"/>
      <c r="K1174" s="17"/>
      <c r="L1174" s="17"/>
    </row>
    <row r="1175" spans="1:12">
      <c r="A1175" s="45"/>
      <c r="B1175" s="43">
        <v>4</v>
      </c>
      <c r="C1175" s="19" t="s">
        <v>497</v>
      </c>
      <c r="D1175" s="20">
        <v>0</v>
      </c>
      <c r="E1175" s="21">
        <v>1</v>
      </c>
      <c r="F1175" s="20">
        <f t="shared" si="124"/>
        <v>0</v>
      </c>
      <c r="G1175" s="21">
        <v>8307.6923076923067</v>
      </c>
      <c r="H1175" s="20">
        <f t="shared" si="125"/>
        <v>0</v>
      </c>
      <c r="I1175" s="2"/>
      <c r="J1175" s="17"/>
      <c r="K1175" s="17"/>
      <c r="L1175" s="17"/>
    </row>
    <row r="1176" spans="1:12">
      <c r="A1176" s="45"/>
      <c r="B1176" s="43">
        <v>5</v>
      </c>
      <c r="C1176" s="19" t="s">
        <v>606</v>
      </c>
      <c r="D1176" s="20">
        <v>0</v>
      </c>
      <c r="E1176" s="21">
        <v>1</v>
      </c>
      <c r="F1176" s="20">
        <f t="shared" si="124"/>
        <v>0</v>
      </c>
      <c r="G1176" s="21">
        <v>60.769230769230766</v>
      </c>
      <c r="H1176" s="20">
        <f t="shared" si="125"/>
        <v>0</v>
      </c>
      <c r="I1176" s="2"/>
      <c r="J1176" s="17"/>
      <c r="K1176" s="17"/>
      <c r="L1176" s="17"/>
    </row>
    <row r="1177" spans="1:12">
      <c r="A1177" s="45"/>
      <c r="B1177" s="43">
        <v>6</v>
      </c>
      <c r="C1177" s="19" t="s">
        <v>503</v>
      </c>
      <c r="D1177" s="20">
        <v>0</v>
      </c>
      <c r="E1177" s="21">
        <v>0</v>
      </c>
      <c r="F1177" s="20">
        <f t="shared" si="124"/>
        <v>0</v>
      </c>
      <c r="G1177" s="21">
        <v>40</v>
      </c>
      <c r="H1177" s="20">
        <f t="shared" si="125"/>
        <v>0</v>
      </c>
      <c r="I1177" s="2"/>
      <c r="J1177" s="17"/>
      <c r="K1177" s="17"/>
      <c r="L1177" s="17"/>
    </row>
    <row r="1178" spans="1:12">
      <c r="A1178" s="45"/>
      <c r="B1178" s="43">
        <v>7</v>
      </c>
      <c r="C1178" s="19" t="s">
        <v>504</v>
      </c>
      <c r="D1178" s="20">
        <v>0</v>
      </c>
      <c r="E1178" s="21">
        <v>0</v>
      </c>
      <c r="F1178" s="20">
        <f t="shared" si="124"/>
        <v>0</v>
      </c>
      <c r="G1178" s="21">
        <v>49000</v>
      </c>
      <c r="H1178" s="20">
        <f t="shared" si="125"/>
        <v>0</v>
      </c>
      <c r="I1178" s="2"/>
      <c r="J1178" s="17"/>
      <c r="K1178" s="17"/>
      <c r="L1178" s="17"/>
    </row>
    <row r="1179" spans="1:12">
      <c r="A1179" s="45"/>
      <c r="B1179" s="43">
        <v>8</v>
      </c>
      <c r="C1179" s="19" t="s">
        <v>507</v>
      </c>
      <c r="D1179" s="20">
        <v>0</v>
      </c>
      <c r="E1179" s="21">
        <v>0</v>
      </c>
      <c r="F1179" s="20">
        <f t="shared" si="124"/>
        <v>0</v>
      </c>
      <c r="G1179" s="21">
        <v>230.76923076923077</v>
      </c>
      <c r="H1179" s="20">
        <f t="shared" si="125"/>
        <v>0</v>
      </c>
      <c r="I1179" s="2"/>
      <c r="J1179" s="17"/>
      <c r="K1179" s="17"/>
      <c r="L1179" s="17"/>
    </row>
    <row r="1180" spans="1:12">
      <c r="A1180" s="45"/>
      <c r="B1180" s="43">
        <v>9</v>
      </c>
      <c r="C1180" s="19" t="s">
        <v>508</v>
      </c>
      <c r="D1180" s="20">
        <v>0</v>
      </c>
      <c r="E1180" s="21">
        <v>0.14399999999999999</v>
      </c>
      <c r="F1180" s="20">
        <f t="shared" si="124"/>
        <v>0</v>
      </c>
      <c r="G1180" s="21">
        <v>9000</v>
      </c>
      <c r="H1180" s="20">
        <f t="shared" si="125"/>
        <v>0</v>
      </c>
      <c r="I1180" s="2"/>
      <c r="J1180" s="17"/>
      <c r="K1180" s="17"/>
      <c r="L1180" s="17"/>
    </row>
    <row r="1181" spans="1:12">
      <c r="A1181" s="45"/>
      <c r="B1181" s="43">
        <v>10</v>
      </c>
      <c r="C1181" s="19" t="s">
        <v>352</v>
      </c>
      <c r="D1181" s="20">
        <v>0</v>
      </c>
      <c r="E1181" s="21">
        <v>0.58199999999999996</v>
      </c>
      <c r="F1181" s="20">
        <f t="shared" si="124"/>
        <v>0</v>
      </c>
      <c r="G1181" s="21">
        <v>177.69230769230768</v>
      </c>
      <c r="H1181" s="20">
        <f t="shared" si="125"/>
        <v>0</v>
      </c>
      <c r="I1181" s="2"/>
      <c r="J1181" s="17"/>
      <c r="K1181" s="17"/>
      <c r="L1181" s="17"/>
    </row>
    <row r="1182" spans="1:12">
      <c r="A1182" s="45"/>
      <c r="B1182" s="43">
        <v>11</v>
      </c>
      <c r="C1182" s="19" t="s">
        <v>45</v>
      </c>
      <c r="D1182" s="20">
        <v>0</v>
      </c>
      <c r="E1182" s="21">
        <v>0.58199999999999996</v>
      </c>
      <c r="F1182" s="20">
        <f t="shared" si="124"/>
        <v>0</v>
      </c>
      <c r="G1182" s="21">
        <v>77.692307692307693</v>
      </c>
      <c r="H1182" s="20">
        <f t="shared" si="125"/>
        <v>0</v>
      </c>
      <c r="I1182" s="2"/>
      <c r="J1182" s="17"/>
      <c r="K1182" s="17"/>
      <c r="L1182" s="17"/>
    </row>
    <row r="1183" spans="1:12">
      <c r="A1183" s="45"/>
      <c r="B1183" s="43">
        <v>12</v>
      </c>
      <c r="C1183" s="19" t="s">
        <v>351</v>
      </c>
      <c r="D1183" s="20">
        <v>0</v>
      </c>
      <c r="E1183" s="21">
        <v>0.58199999999999996</v>
      </c>
      <c r="F1183" s="20">
        <f t="shared" si="124"/>
        <v>0</v>
      </c>
      <c r="G1183" s="21">
        <v>264.61538461538458</v>
      </c>
      <c r="H1183" s="20">
        <f t="shared" si="125"/>
        <v>0</v>
      </c>
      <c r="I1183" s="2"/>
      <c r="J1183" s="17"/>
      <c r="K1183" s="17"/>
      <c r="L1183" s="17"/>
    </row>
    <row r="1184" spans="1:12">
      <c r="A1184" s="45"/>
      <c r="B1184" s="43">
        <v>13</v>
      </c>
      <c r="C1184" s="19"/>
      <c r="D1184" s="20">
        <v>0</v>
      </c>
      <c r="E1184" s="21">
        <v>0</v>
      </c>
      <c r="F1184" s="20">
        <f t="shared" si="124"/>
        <v>0</v>
      </c>
      <c r="G1184" s="21">
        <v>110</v>
      </c>
      <c r="H1184" s="20">
        <f t="shared" si="125"/>
        <v>0</v>
      </c>
      <c r="I1184" s="2"/>
      <c r="J1184" s="17"/>
      <c r="K1184" s="17"/>
      <c r="L1184" s="17"/>
    </row>
    <row r="1185" spans="1:12">
      <c r="A1185" s="45"/>
      <c r="B1185" s="43">
        <v>14</v>
      </c>
      <c r="C1185" s="19"/>
      <c r="D1185" s="20">
        <v>0</v>
      </c>
      <c r="E1185" s="21">
        <v>0</v>
      </c>
      <c r="F1185" s="20">
        <f t="shared" si="124"/>
        <v>0</v>
      </c>
      <c r="G1185" s="21">
        <v>111</v>
      </c>
      <c r="H1185" s="20">
        <f t="shared" si="125"/>
        <v>0</v>
      </c>
      <c r="I1185" s="2"/>
      <c r="J1185" s="17"/>
      <c r="K1185" s="17"/>
      <c r="L1185" s="17"/>
    </row>
    <row r="1186" spans="1:12">
      <c r="A1186" s="45"/>
      <c r="B1186" s="43">
        <v>15</v>
      </c>
      <c r="C1186" s="19"/>
      <c r="D1186" s="20">
        <v>0</v>
      </c>
      <c r="E1186" s="21">
        <v>0</v>
      </c>
      <c r="F1186" s="20">
        <f>D1186*E1186</f>
        <v>0</v>
      </c>
      <c r="G1186" s="21">
        <v>102</v>
      </c>
      <c r="H1186" s="20">
        <f>F1186*G1186</f>
        <v>0</v>
      </c>
      <c r="I1186" s="2"/>
      <c r="J1186" s="17"/>
      <c r="K1186" s="17"/>
      <c r="L1186" s="17"/>
    </row>
    <row r="1187" spans="1:12">
      <c r="A1187" s="45"/>
      <c r="B1187" s="43"/>
      <c r="C1187" s="14" t="s">
        <v>654</v>
      </c>
      <c r="D1187" s="20"/>
      <c r="F1187" s="20"/>
      <c r="H1187" s="25">
        <f>SUM(H1172:H1186)</f>
        <v>0</v>
      </c>
      <c r="I1187" s="2"/>
      <c r="J1187" s="17"/>
      <c r="K1187" s="17"/>
      <c r="L1187" s="17"/>
    </row>
    <row r="1188" spans="1:12">
      <c r="A1188" s="45"/>
      <c r="B1188" s="46"/>
      <c r="C1188" s="14"/>
      <c r="D1188" s="20"/>
      <c r="F1188" s="20"/>
      <c r="H1188" s="20"/>
      <c r="I1188" s="2"/>
      <c r="J1188" s="17"/>
      <c r="K1188" s="17"/>
      <c r="L1188" s="17"/>
    </row>
    <row r="1189" spans="1:12">
      <c r="A1189" s="45"/>
      <c r="B1189" s="46"/>
      <c r="C1189" s="14" t="s">
        <v>655</v>
      </c>
      <c r="D1189" s="20"/>
      <c r="F1189" s="20"/>
      <c r="H1189" s="20"/>
      <c r="I1189" s="2"/>
      <c r="J1189" s="17"/>
      <c r="K1189" s="17"/>
      <c r="L1189" s="17"/>
    </row>
    <row r="1190" spans="1:12">
      <c r="A1190" s="45"/>
      <c r="B1190" s="43">
        <v>1</v>
      </c>
      <c r="C1190" s="19" t="s">
        <v>284</v>
      </c>
      <c r="D1190" s="20">
        <v>0</v>
      </c>
      <c r="E1190" s="21">
        <v>1</v>
      </c>
      <c r="F1190" s="20">
        <f>D1190*E1190</f>
        <v>0</v>
      </c>
      <c r="G1190" s="21">
        <v>40000</v>
      </c>
      <c r="H1190" s="20">
        <f>F1190*G1190</f>
        <v>0</v>
      </c>
      <c r="I1190" s="2"/>
      <c r="J1190" s="17"/>
      <c r="K1190" s="17"/>
      <c r="L1190" s="17"/>
    </row>
    <row r="1191" spans="1:12">
      <c r="A1191" s="45"/>
      <c r="B1191" s="43">
        <v>2</v>
      </c>
      <c r="C1191" s="19" t="s">
        <v>656</v>
      </c>
      <c r="D1191" s="20">
        <v>0</v>
      </c>
      <c r="E1191" s="21">
        <v>1</v>
      </c>
      <c r="F1191" s="20">
        <f t="shared" ref="F1191:F1193" si="126">D1191*E1191</f>
        <v>0</v>
      </c>
      <c r="G1191" s="21">
        <v>200000</v>
      </c>
      <c r="H1191" s="20">
        <f t="shared" ref="H1191:H1193" si="127">F1191*G1191</f>
        <v>0</v>
      </c>
      <c r="I1191" s="2"/>
      <c r="J1191" s="17"/>
      <c r="K1191" s="17"/>
      <c r="L1191" s="17"/>
    </row>
    <row r="1192" spans="1:12">
      <c r="A1192" s="45"/>
      <c r="B1192" s="43">
        <v>3</v>
      </c>
      <c r="C1192" s="19"/>
      <c r="D1192" s="20">
        <v>0</v>
      </c>
      <c r="E1192" s="21">
        <v>1</v>
      </c>
      <c r="F1192" s="20">
        <f t="shared" si="126"/>
        <v>0</v>
      </c>
      <c r="G1192" s="21">
        <v>103</v>
      </c>
      <c r="H1192" s="20">
        <f t="shared" si="127"/>
        <v>0</v>
      </c>
      <c r="I1192" s="2"/>
      <c r="J1192" s="17"/>
      <c r="K1192" s="17"/>
      <c r="L1192" s="17"/>
    </row>
    <row r="1193" spans="1:12">
      <c r="A1193" s="45"/>
      <c r="B1193" s="43">
        <v>4</v>
      </c>
      <c r="C1193" s="19"/>
      <c r="D1193" s="20">
        <v>0</v>
      </c>
      <c r="E1193" s="21">
        <v>1</v>
      </c>
      <c r="F1193" s="20">
        <f t="shared" si="126"/>
        <v>0</v>
      </c>
      <c r="G1193" s="21">
        <v>104</v>
      </c>
      <c r="H1193" s="20">
        <f t="shared" si="127"/>
        <v>0</v>
      </c>
      <c r="I1193" s="2"/>
      <c r="J1193" s="17"/>
      <c r="K1193" s="17"/>
      <c r="L1193" s="17"/>
    </row>
    <row r="1194" spans="1:12">
      <c r="A1194" s="45"/>
      <c r="B1194" s="43">
        <v>5</v>
      </c>
      <c r="C1194" s="19"/>
      <c r="D1194" s="20">
        <v>0</v>
      </c>
      <c r="E1194" s="21">
        <v>1</v>
      </c>
      <c r="F1194" s="20">
        <f>D1194*E1194</f>
        <v>0</v>
      </c>
      <c r="G1194" s="21">
        <v>102</v>
      </c>
      <c r="H1194" s="20">
        <f>F1194*G1194</f>
        <v>0</v>
      </c>
      <c r="I1194" s="2"/>
      <c r="J1194" s="17"/>
      <c r="K1194" s="17"/>
      <c r="L1194" s="17"/>
    </row>
    <row r="1195" spans="1:12">
      <c r="A1195" s="45"/>
      <c r="B1195" s="43"/>
      <c r="C1195" s="14" t="s">
        <v>657</v>
      </c>
      <c r="D1195" s="20"/>
      <c r="F1195" s="20"/>
      <c r="H1195" s="25">
        <f>SUM(H1190:H1194)</f>
        <v>0</v>
      </c>
      <c r="I1195" s="2"/>
      <c r="J1195" s="17"/>
      <c r="K1195" s="17"/>
      <c r="L1195" s="17"/>
    </row>
    <row r="1196" spans="1:12">
      <c r="A1196" s="45"/>
      <c r="B1196" s="46"/>
      <c r="C1196" s="14"/>
      <c r="D1196" s="20"/>
      <c r="F1196" s="20"/>
      <c r="H1196" s="20"/>
      <c r="I1196" s="2"/>
      <c r="J1196" s="17"/>
      <c r="K1196" s="17"/>
      <c r="L1196" s="17"/>
    </row>
    <row r="1197" spans="1:12">
      <c r="A1197" s="45"/>
      <c r="B1197" s="46"/>
      <c r="C1197" s="14" t="s">
        <v>658</v>
      </c>
      <c r="D1197" s="20"/>
      <c r="F1197" s="20"/>
      <c r="H1197" s="20"/>
      <c r="I1197" s="2"/>
      <c r="J1197" s="17"/>
      <c r="K1197" s="17"/>
      <c r="L1197" s="17"/>
    </row>
    <row r="1198" spans="1:12">
      <c r="A1198" s="45"/>
      <c r="B1198" s="43">
        <v>1</v>
      </c>
      <c r="C1198" s="19" t="s">
        <v>219</v>
      </c>
      <c r="D1198" s="20">
        <v>0</v>
      </c>
      <c r="E1198" s="21">
        <v>1</v>
      </c>
      <c r="F1198" s="20">
        <f>D1198*E1198</f>
        <v>0</v>
      </c>
      <c r="G1198" s="69">
        <v>12507</v>
      </c>
      <c r="H1198" s="20">
        <f>F1198*G1198</f>
        <v>0</v>
      </c>
      <c r="I1198" s="2"/>
      <c r="J1198" s="17"/>
      <c r="K1198" s="17"/>
      <c r="L1198" s="17"/>
    </row>
    <row r="1199" spans="1:12">
      <c r="A1199" s="45"/>
      <c r="B1199" s="43">
        <v>2</v>
      </c>
      <c r="C1199" s="19" t="s">
        <v>64</v>
      </c>
      <c r="D1199" s="20">
        <v>0</v>
      </c>
      <c r="E1199" s="21">
        <v>1</v>
      </c>
      <c r="F1199" s="20">
        <f t="shared" ref="F1199:F1204" si="128">D1199*E1199</f>
        <v>0</v>
      </c>
      <c r="G1199" s="69">
        <v>12507</v>
      </c>
      <c r="H1199" s="20">
        <f t="shared" ref="H1199:H1204" si="129">F1199*G1199</f>
        <v>0</v>
      </c>
      <c r="I1199" s="2"/>
      <c r="J1199" s="17"/>
      <c r="K1199" s="17"/>
      <c r="L1199" s="17"/>
    </row>
    <row r="1200" spans="1:12">
      <c r="A1200" s="45"/>
      <c r="B1200" s="43">
        <v>3</v>
      </c>
      <c r="C1200" s="19" t="s">
        <v>65</v>
      </c>
      <c r="D1200" s="20">
        <v>0</v>
      </c>
      <c r="E1200" s="21">
        <v>1</v>
      </c>
      <c r="F1200" s="20">
        <f t="shared" si="128"/>
        <v>0</v>
      </c>
      <c r="G1200" s="69">
        <v>12507</v>
      </c>
      <c r="H1200" s="20">
        <f t="shared" si="129"/>
        <v>0</v>
      </c>
      <c r="I1200" s="2"/>
      <c r="J1200" s="17"/>
      <c r="K1200" s="17"/>
      <c r="L1200" s="17"/>
    </row>
    <row r="1201" spans="1:12">
      <c r="A1201" s="45"/>
      <c r="B1201" s="43">
        <v>4</v>
      </c>
      <c r="C1201" s="19" t="s">
        <v>358</v>
      </c>
      <c r="D1201" s="20">
        <v>0</v>
      </c>
      <c r="E1201" s="21">
        <v>1</v>
      </c>
      <c r="F1201" s="20">
        <f t="shared" si="128"/>
        <v>0</v>
      </c>
      <c r="G1201" s="69">
        <v>12507</v>
      </c>
      <c r="H1201" s="20">
        <f t="shared" si="129"/>
        <v>0</v>
      </c>
      <c r="I1201" s="2"/>
      <c r="J1201" s="17"/>
      <c r="K1201" s="17"/>
      <c r="L1201" s="17"/>
    </row>
    <row r="1202" spans="1:12">
      <c r="A1202" s="45"/>
      <c r="B1202" s="43">
        <v>5</v>
      </c>
      <c r="C1202" s="19" t="s">
        <v>222</v>
      </c>
      <c r="D1202" s="20">
        <v>0</v>
      </c>
      <c r="E1202" s="21">
        <v>1</v>
      </c>
      <c r="F1202" s="20">
        <f t="shared" si="128"/>
        <v>0</v>
      </c>
      <c r="G1202" s="69">
        <v>12507</v>
      </c>
      <c r="H1202" s="20">
        <f t="shared" si="129"/>
        <v>0</v>
      </c>
      <c r="I1202" s="2"/>
      <c r="J1202" s="17"/>
      <c r="K1202" s="17"/>
      <c r="L1202" s="17"/>
    </row>
    <row r="1203" spans="1:12">
      <c r="A1203" s="45"/>
      <c r="B1203" s="43">
        <v>6</v>
      </c>
      <c r="C1203" s="19" t="s">
        <v>360</v>
      </c>
      <c r="D1203" s="20">
        <v>0</v>
      </c>
      <c r="E1203" s="21">
        <v>1</v>
      </c>
      <c r="F1203" s="20">
        <f t="shared" si="128"/>
        <v>0</v>
      </c>
      <c r="G1203" s="69">
        <v>31769</v>
      </c>
      <c r="H1203" s="20">
        <f t="shared" si="129"/>
        <v>0</v>
      </c>
      <c r="I1203" s="2"/>
      <c r="J1203" s="17"/>
      <c r="K1203" s="17"/>
      <c r="L1203" s="17"/>
    </row>
    <row r="1204" spans="1:12">
      <c r="A1204" s="45"/>
      <c r="B1204" s="43">
        <v>7</v>
      </c>
      <c r="C1204" s="19" t="s">
        <v>321</v>
      </c>
      <c r="D1204" s="20">
        <v>0</v>
      </c>
      <c r="E1204" s="21">
        <v>1</v>
      </c>
      <c r="F1204" s="20">
        <f t="shared" si="128"/>
        <v>0</v>
      </c>
      <c r="G1204" s="69">
        <v>192307</v>
      </c>
      <c r="H1204" s="20">
        <f t="shared" si="129"/>
        <v>0</v>
      </c>
      <c r="I1204" s="2"/>
      <c r="J1204" s="17"/>
      <c r="K1204" s="17"/>
      <c r="L1204" s="17"/>
    </row>
    <row r="1205" spans="1:12">
      <c r="A1205" s="45"/>
      <c r="B1205" s="43">
        <v>8</v>
      </c>
      <c r="C1205" s="19"/>
      <c r="D1205" s="20">
        <v>0</v>
      </c>
      <c r="E1205" s="21">
        <v>0</v>
      </c>
      <c r="F1205" s="20">
        <f>D1205*E1205</f>
        <v>0</v>
      </c>
      <c r="G1205" s="21">
        <v>102</v>
      </c>
      <c r="H1205" s="20">
        <f>F1205*G1205</f>
        <v>0</v>
      </c>
      <c r="I1205" s="2"/>
      <c r="J1205" s="17"/>
      <c r="K1205" s="17"/>
      <c r="L1205" s="17"/>
    </row>
    <row r="1206" spans="1:12">
      <c r="A1206" s="45"/>
      <c r="B1206" s="43"/>
      <c r="C1206" s="14" t="s">
        <v>659</v>
      </c>
      <c r="D1206" s="20"/>
      <c r="F1206" s="20"/>
      <c r="H1206" s="25">
        <f>SUM(H1198:H1205)</f>
        <v>0</v>
      </c>
      <c r="I1206" s="2"/>
      <c r="J1206" s="17"/>
      <c r="K1206" s="17"/>
      <c r="L1206" s="17"/>
    </row>
    <row r="1207" spans="1:12">
      <c r="A1207" s="45"/>
      <c r="B1207" s="43"/>
      <c r="C1207" s="14"/>
      <c r="D1207" s="20"/>
      <c r="F1207" s="20"/>
      <c r="H1207" s="25"/>
      <c r="I1207" s="2"/>
      <c r="J1207" s="17"/>
      <c r="K1207" s="17"/>
      <c r="L1207" s="17"/>
    </row>
    <row r="1208" spans="1:12">
      <c r="A1208" s="45"/>
      <c r="B1208" s="46"/>
      <c r="C1208" s="14" t="s">
        <v>660</v>
      </c>
      <c r="D1208" s="20"/>
      <c r="F1208" s="20"/>
      <c r="H1208" s="20"/>
      <c r="I1208" s="2"/>
      <c r="J1208" s="17"/>
      <c r="K1208" s="17"/>
      <c r="L1208" s="17"/>
    </row>
    <row r="1209" spans="1:12">
      <c r="A1209" s="45"/>
      <c r="B1209" s="43">
        <v>1</v>
      </c>
      <c r="C1209" s="19" t="s">
        <v>638</v>
      </c>
      <c r="D1209" s="20">
        <v>0</v>
      </c>
      <c r="E1209" s="21">
        <v>1</v>
      </c>
      <c r="F1209" s="20">
        <f>D1209*E1209</f>
        <v>0</v>
      </c>
      <c r="G1209" s="21">
        <v>140000</v>
      </c>
      <c r="H1209" s="20">
        <f>F1209*G1209</f>
        <v>0</v>
      </c>
      <c r="I1209" s="2"/>
      <c r="J1209" s="17"/>
      <c r="K1209" s="17"/>
      <c r="L1209" s="17"/>
    </row>
    <row r="1210" spans="1:12">
      <c r="A1210" s="45"/>
      <c r="B1210" s="43">
        <v>2</v>
      </c>
      <c r="C1210" s="19" t="s">
        <v>76</v>
      </c>
      <c r="D1210" s="20">
        <v>0</v>
      </c>
      <c r="E1210" s="21">
        <v>1</v>
      </c>
      <c r="F1210" s="20">
        <f t="shared" ref="F1210:F1214" si="130">D1210*E1210</f>
        <v>0</v>
      </c>
      <c r="G1210" s="21">
        <v>30770</v>
      </c>
      <c r="H1210" s="20">
        <f t="shared" ref="H1210:H1214" si="131">F1210*G1210</f>
        <v>0</v>
      </c>
      <c r="I1210" s="2"/>
      <c r="J1210" s="17"/>
      <c r="K1210" s="17"/>
      <c r="L1210" s="17"/>
    </row>
    <row r="1211" spans="1:12">
      <c r="A1211" s="45"/>
      <c r="B1211" s="43">
        <v>3</v>
      </c>
      <c r="C1211" s="19" t="s">
        <v>364</v>
      </c>
      <c r="D1211" s="20">
        <v>0</v>
      </c>
      <c r="E1211" s="21">
        <v>1</v>
      </c>
      <c r="F1211" s="20">
        <f t="shared" si="130"/>
        <v>0</v>
      </c>
      <c r="G1211" s="21">
        <v>30770</v>
      </c>
      <c r="H1211" s="20">
        <f t="shared" si="131"/>
        <v>0</v>
      </c>
      <c r="I1211" s="2"/>
      <c r="J1211" s="17"/>
      <c r="K1211" s="17"/>
      <c r="L1211" s="17"/>
    </row>
    <row r="1212" spans="1:12">
      <c r="A1212" s="45"/>
      <c r="B1212" s="43">
        <v>4</v>
      </c>
      <c r="C1212" s="19"/>
      <c r="D1212" s="20"/>
      <c r="E1212" s="21">
        <v>1</v>
      </c>
      <c r="F1212" s="20">
        <f t="shared" si="130"/>
        <v>0</v>
      </c>
      <c r="G1212" s="21">
        <v>104</v>
      </c>
      <c r="H1212" s="20">
        <f t="shared" si="131"/>
        <v>0</v>
      </c>
      <c r="I1212" s="2"/>
      <c r="J1212" s="17"/>
      <c r="K1212" s="17"/>
      <c r="L1212" s="17"/>
    </row>
    <row r="1213" spans="1:12">
      <c r="A1213" s="45"/>
      <c r="B1213" s="43">
        <v>5</v>
      </c>
      <c r="C1213" s="19"/>
      <c r="D1213" s="20"/>
      <c r="E1213" s="21">
        <v>1</v>
      </c>
      <c r="F1213" s="20">
        <f t="shared" si="130"/>
        <v>0</v>
      </c>
      <c r="G1213" s="21">
        <v>105</v>
      </c>
      <c r="H1213" s="20">
        <f t="shared" si="131"/>
        <v>0</v>
      </c>
      <c r="I1213" s="2"/>
      <c r="J1213" s="17"/>
      <c r="K1213" s="17"/>
      <c r="L1213" s="17"/>
    </row>
    <row r="1214" spans="1:12">
      <c r="A1214" s="45"/>
      <c r="B1214" s="43">
        <v>6</v>
      </c>
      <c r="C1214" s="19"/>
      <c r="D1214" s="20"/>
      <c r="E1214" s="21">
        <v>1</v>
      </c>
      <c r="F1214" s="20">
        <f t="shared" si="130"/>
        <v>0</v>
      </c>
      <c r="G1214" s="21">
        <v>106</v>
      </c>
      <c r="H1214" s="20">
        <f t="shared" si="131"/>
        <v>0</v>
      </c>
      <c r="I1214" s="2"/>
      <c r="J1214" s="17"/>
      <c r="K1214" s="17"/>
      <c r="L1214" s="17"/>
    </row>
    <row r="1215" spans="1:12">
      <c r="A1215" s="45"/>
      <c r="B1215" s="43">
        <v>7</v>
      </c>
      <c r="C1215" s="19"/>
      <c r="D1215" s="20">
        <v>0</v>
      </c>
      <c r="E1215" s="21">
        <v>1</v>
      </c>
      <c r="F1215" s="20">
        <f>D1215*E1215</f>
        <v>0</v>
      </c>
      <c r="G1215" s="21">
        <v>102</v>
      </c>
      <c r="H1215" s="20">
        <f>F1215*G1215</f>
        <v>0</v>
      </c>
      <c r="I1215" s="2"/>
      <c r="J1215" s="17"/>
      <c r="K1215" s="17"/>
      <c r="L1215" s="17"/>
    </row>
    <row r="1216" spans="1:12">
      <c r="A1216" s="45"/>
      <c r="B1216" s="43"/>
      <c r="C1216" s="14" t="s">
        <v>661</v>
      </c>
      <c r="D1216" s="20"/>
      <c r="F1216" s="20"/>
      <c r="H1216" s="25">
        <f>SUM(H1209:H1215)</f>
        <v>0</v>
      </c>
      <c r="I1216" s="2"/>
      <c r="J1216" s="17"/>
      <c r="K1216" s="17"/>
      <c r="L1216" s="17"/>
    </row>
    <row r="1217" spans="1:12">
      <c r="A1217" s="45"/>
      <c r="B1217" s="43"/>
      <c r="C1217" s="14"/>
      <c r="D1217" s="20"/>
      <c r="F1217" s="20"/>
      <c r="H1217" s="25"/>
      <c r="I1217" s="2"/>
      <c r="J1217" s="17"/>
      <c r="K1217" s="17"/>
      <c r="L1217" s="17"/>
    </row>
    <row r="1218" spans="1:12">
      <c r="A1218" s="45"/>
      <c r="B1218" s="46"/>
      <c r="C1218" s="14" t="s">
        <v>662</v>
      </c>
      <c r="D1218" s="20"/>
      <c r="F1218" s="20"/>
      <c r="H1218" s="25">
        <f>H1144+H1152+H1160+H1169+H1187+H1195+H1206+H1216</f>
        <v>0</v>
      </c>
      <c r="I1218" s="2"/>
      <c r="J1218" s="17"/>
      <c r="K1218" s="17"/>
      <c r="L1218" s="17"/>
    </row>
    <row r="1219" spans="1:12">
      <c r="A1219" s="45"/>
      <c r="B1219" s="46"/>
      <c r="C1219" s="14"/>
      <c r="D1219" s="20"/>
      <c r="F1219" s="20"/>
      <c r="H1219" s="25"/>
      <c r="I1219" s="2"/>
      <c r="J1219" s="17"/>
      <c r="K1219" s="17"/>
      <c r="L1219" s="17"/>
    </row>
    <row r="1220" spans="1:12" s="2" customFormat="1">
      <c r="A1220" s="32"/>
      <c r="B1220" s="33"/>
      <c r="C1220" s="14"/>
      <c r="D1220" s="20"/>
      <c r="E1220" s="21"/>
      <c r="F1220" s="20"/>
      <c r="G1220" s="21"/>
      <c r="H1220" s="20"/>
      <c r="J1220" s="17"/>
      <c r="K1220" s="17"/>
      <c r="L1220" s="17"/>
    </row>
    <row r="1221" spans="1:12" ht="36">
      <c r="A1221" s="47" t="s">
        <v>663</v>
      </c>
      <c r="B1221" s="48" t="s">
        <v>664</v>
      </c>
      <c r="C1221" s="14" t="s">
        <v>665</v>
      </c>
      <c r="D1221" s="20"/>
      <c r="F1221" s="20"/>
      <c r="H1221" s="20"/>
      <c r="I1221" s="2"/>
      <c r="J1221" s="17"/>
      <c r="K1221" s="17"/>
      <c r="L1221" s="17"/>
    </row>
    <row r="1222" spans="1:12">
      <c r="A1222" s="47"/>
      <c r="B1222" s="49">
        <v>1</v>
      </c>
      <c r="C1222" s="19"/>
      <c r="D1222" s="20">
        <v>0</v>
      </c>
      <c r="E1222" s="21">
        <v>1</v>
      </c>
      <c r="F1222" s="20">
        <f>D1222*E1222</f>
        <v>0</v>
      </c>
      <c r="G1222" s="21">
        <v>101</v>
      </c>
      <c r="H1222" s="20">
        <f>F1222*G1222</f>
        <v>0</v>
      </c>
      <c r="I1222" s="2"/>
      <c r="J1222" s="17"/>
      <c r="K1222" s="17"/>
      <c r="L1222" s="17"/>
    </row>
    <row r="1223" spans="1:12">
      <c r="A1223" s="47"/>
      <c r="B1223" s="49">
        <v>2</v>
      </c>
      <c r="C1223" s="19"/>
      <c r="D1223" s="20">
        <v>0</v>
      </c>
      <c r="E1223" s="21">
        <v>1</v>
      </c>
      <c r="F1223" s="20">
        <f>D1223*E1223</f>
        <v>0</v>
      </c>
      <c r="G1223" s="21">
        <v>102</v>
      </c>
      <c r="H1223" s="20">
        <f>F1223*G1223</f>
        <v>0</v>
      </c>
      <c r="I1223" s="2"/>
      <c r="J1223" s="17"/>
      <c r="K1223" s="17"/>
      <c r="L1223" s="17"/>
    </row>
    <row r="1224" spans="1:12">
      <c r="A1224" s="47"/>
      <c r="B1224" s="49"/>
      <c r="C1224" s="14" t="s">
        <v>666</v>
      </c>
      <c r="D1224" s="20"/>
      <c r="F1224" s="20"/>
      <c r="H1224" s="25">
        <f>SUM(H1222:H1223)</f>
        <v>0</v>
      </c>
      <c r="I1224" s="2"/>
      <c r="J1224" s="17"/>
      <c r="K1224" s="17"/>
      <c r="L1224" s="17"/>
    </row>
    <row r="1225" spans="1:12">
      <c r="A1225" s="47"/>
      <c r="B1225" s="48"/>
      <c r="C1225" s="14"/>
      <c r="D1225" s="20"/>
      <c r="F1225" s="20"/>
      <c r="H1225" s="20"/>
      <c r="I1225" s="2"/>
      <c r="J1225" s="17"/>
      <c r="K1225" s="17"/>
      <c r="L1225" s="17"/>
    </row>
    <row r="1226" spans="1:12">
      <c r="A1226" s="50"/>
      <c r="B1226" s="51"/>
      <c r="C1226" s="14" t="s">
        <v>667</v>
      </c>
      <c r="D1226" s="20"/>
      <c r="F1226" s="20"/>
      <c r="H1226" s="20"/>
      <c r="I1226" s="2"/>
      <c r="J1226" s="17"/>
      <c r="K1226" s="17"/>
      <c r="L1226" s="17"/>
    </row>
    <row r="1227" spans="1:12">
      <c r="A1227" s="50"/>
      <c r="B1227" s="49">
        <v>1</v>
      </c>
      <c r="C1227" s="19"/>
      <c r="D1227" s="20">
        <v>0</v>
      </c>
      <c r="E1227" s="21">
        <v>1</v>
      </c>
      <c r="F1227" s="20">
        <f>D1227*E1227</f>
        <v>0</v>
      </c>
      <c r="G1227" s="21">
        <v>101</v>
      </c>
      <c r="H1227" s="20">
        <f>F1227*G1227</f>
        <v>0</v>
      </c>
      <c r="I1227" s="2"/>
      <c r="J1227" s="17"/>
      <c r="K1227" s="17"/>
      <c r="L1227" s="17"/>
    </row>
    <row r="1228" spans="1:12">
      <c r="A1228" s="50"/>
      <c r="B1228" s="49">
        <v>2</v>
      </c>
      <c r="C1228" s="19"/>
      <c r="D1228" s="20">
        <v>0</v>
      </c>
      <c r="E1228" s="21">
        <v>1</v>
      </c>
      <c r="F1228" s="20">
        <f>D1228*E1228</f>
        <v>0</v>
      </c>
      <c r="G1228" s="21">
        <v>102</v>
      </c>
      <c r="H1228" s="20">
        <f>F1228*G1228</f>
        <v>0</v>
      </c>
      <c r="I1228" s="2"/>
      <c r="J1228" s="17"/>
      <c r="K1228" s="17"/>
      <c r="L1228" s="17"/>
    </row>
    <row r="1229" spans="1:12">
      <c r="A1229" s="50"/>
      <c r="B1229" s="49"/>
      <c r="C1229" s="14" t="s">
        <v>668</v>
      </c>
      <c r="D1229" s="20"/>
      <c r="F1229" s="20"/>
      <c r="H1229" s="25">
        <f>SUM(H1227:H1228)</f>
        <v>0</v>
      </c>
      <c r="I1229" s="2"/>
      <c r="J1229" s="17"/>
      <c r="K1229" s="17"/>
      <c r="L1229" s="17"/>
    </row>
    <row r="1230" spans="1:12">
      <c r="A1230" s="50"/>
      <c r="B1230" s="51"/>
      <c r="C1230" s="14"/>
      <c r="D1230" s="20"/>
      <c r="F1230" s="20"/>
      <c r="H1230" s="20"/>
      <c r="I1230" s="2"/>
      <c r="J1230" s="17"/>
      <c r="K1230" s="17"/>
      <c r="L1230" s="17"/>
    </row>
    <row r="1231" spans="1:12">
      <c r="A1231" s="50"/>
      <c r="B1231" s="51"/>
      <c r="C1231" s="14" t="s">
        <v>669</v>
      </c>
      <c r="D1231" s="20"/>
      <c r="F1231" s="20"/>
      <c r="H1231" s="20"/>
      <c r="I1231" s="2"/>
      <c r="J1231" s="17"/>
      <c r="K1231" s="17"/>
      <c r="L1231" s="17"/>
    </row>
    <row r="1232" spans="1:12">
      <c r="A1232" s="50"/>
      <c r="B1232" s="49">
        <v>1</v>
      </c>
      <c r="C1232" s="19"/>
      <c r="D1232" s="20">
        <v>0</v>
      </c>
      <c r="E1232" s="21">
        <v>1</v>
      </c>
      <c r="F1232" s="20">
        <f>D1232*E1232</f>
        <v>0</v>
      </c>
      <c r="G1232" s="21">
        <v>101</v>
      </c>
      <c r="H1232" s="20">
        <f>F1232*G1232</f>
        <v>0</v>
      </c>
      <c r="I1232" s="2"/>
      <c r="J1232" s="17"/>
      <c r="K1232" s="17"/>
      <c r="L1232" s="17"/>
    </row>
    <row r="1233" spans="1:12">
      <c r="A1233" s="50"/>
      <c r="B1233" s="49">
        <v>2</v>
      </c>
      <c r="C1233" s="19"/>
      <c r="D1233" s="20">
        <v>0</v>
      </c>
      <c r="E1233" s="21">
        <v>1</v>
      </c>
      <c r="F1233" s="20">
        <f>D1233*E1233</f>
        <v>0</v>
      </c>
      <c r="G1233" s="21">
        <v>102</v>
      </c>
      <c r="H1233" s="20">
        <f>F1233*G1233</f>
        <v>0</v>
      </c>
      <c r="I1233" s="2"/>
      <c r="J1233" s="17"/>
      <c r="K1233" s="17"/>
      <c r="L1233" s="17"/>
    </row>
    <row r="1234" spans="1:12">
      <c r="A1234" s="50"/>
      <c r="B1234" s="49"/>
      <c r="C1234" s="14" t="s">
        <v>670</v>
      </c>
      <c r="D1234" s="20"/>
      <c r="F1234" s="20"/>
      <c r="H1234" s="25">
        <f>SUM(H1232:H1233)</f>
        <v>0</v>
      </c>
      <c r="I1234" s="2"/>
      <c r="J1234" s="17"/>
      <c r="K1234" s="17"/>
      <c r="L1234" s="17"/>
    </row>
    <row r="1235" spans="1:12">
      <c r="A1235" s="50"/>
      <c r="B1235" s="51"/>
      <c r="C1235" s="14"/>
      <c r="D1235" s="20"/>
      <c r="F1235" s="20"/>
      <c r="H1235" s="20"/>
      <c r="I1235" s="2"/>
      <c r="J1235" s="17"/>
      <c r="K1235" s="17"/>
      <c r="L1235" s="17"/>
    </row>
    <row r="1236" spans="1:12">
      <c r="A1236" s="50"/>
      <c r="B1236" s="51"/>
      <c r="C1236" s="14" t="s">
        <v>671</v>
      </c>
      <c r="D1236" s="20"/>
      <c r="F1236" s="20"/>
      <c r="H1236" s="20"/>
      <c r="I1236" s="2"/>
      <c r="J1236" s="17"/>
      <c r="K1236" s="17"/>
      <c r="L1236" s="17"/>
    </row>
    <row r="1237" spans="1:12">
      <c r="A1237" s="50"/>
      <c r="B1237" s="49">
        <v>1</v>
      </c>
      <c r="C1237" s="19"/>
      <c r="D1237" s="20">
        <v>0</v>
      </c>
      <c r="E1237" s="21">
        <v>1</v>
      </c>
      <c r="F1237" s="20">
        <f>D1237*E1237</f>
        <v>0</v>
      </c>
      <c r="G1237" s="21">
        <v>101</v>
      </c>
      <c r="H1237" s="20">
        <f>F1237*G1237</f>
        <v>0</v>
      </c>
      <c r="I1237" s="2"/>
      <c r="J1237" s="17"/>
      <c r="K1237" s="17"/>
      <c r="L1237" s="17"/>
    </row>
    <row r="1238" spans="1:12">
      <c r="A1238" s="50"/>
      <c r="B1238" s="49">
        <v>2</v>
      </c>
      <c r="C1238" s="19"/>
      <c r="D1238" s="20">
        <v>0</v>
      </c>
      <c r="E1238" s="21">
        <v>1</v>
      </c>
      <c r="F1238" s="20">
        <f>D1238*E1238</f>
        <v>0</v>
      </c>
      <c r="G1238" s="21">
        <v>102</v>
      </c>
      <c r="H1238" s="20">
        <f>F1238*G1238</f>
        <v>0</v>
      </c>
      <c r="I1238" s="2"/>
      <c r="J1238" s="17"/>
      <c r="K1238" s="17"/>
      <c r="L1238" s="17"/>
    </row>
    <row r="1239" spans="1:12">
      <c r="A1239" s="50"/>
      <c r="B1239" s="49"/>
      <c r="C1239" s="14" t="s">
        <v>672</v>
      </c>
      <c r="D1239" s="20"/>
      <c r="F1239" s="20"/>
      <c r="H1239" s="25">
        <f>SUM(H1237:H1238)</f>
        <v>0</v>
      </c>
      <c r="I1239" s="2"/>
      <c r="J1239" s="17"/>
      <c r="K1239" s="17"/>
      <c r="L1239" s="17"/>
    </row>
    <row r="1240" spans="1:12">
      <c r="A1240" s="50"/>
      <c r="B1240" s="51"/>
      <c r="C1240" s="14"/>
      <c r="D1240" s="20"/>
      <c r="F1240" s="20"/>
      <c r="H1240" s="20"/>
      <c r="I1240" s="2"/>
      <c r="J1240" s="17"/>
      <c r="K1240" s="17"/>
      <c r="L1240" s="17"/>
    </row>
    <row r="1241" spans="1:12">
      <c r="A1241" s="50"/>
      <c r="B1241" s="51"/>
      <c r="C1241" s="14" t="s">
        <v>673</v>
      </c>
      <c r="D1241" s="20"/>
      <c r="F1241" s="20"/>
      <c r="H1241" s="20"/>
      <c r="I1241" s="2"/>
      <c r="J1241" s="17"/>
      <c r="K1241" s="17"/>
      <c r="L1241" s="17"/>
    </row>
    <row r="1242" spans="1:12">
      <c r="A1242" s="50"/>
      <c r="B1242" s="49">
        <v>1</v>
      </c>
      <c r="C1242" s="19"/>
      <c r="D1242" s="20">
        <v>0</v>
      </c>
      <c r="E1242" s="21">
        <v>1</v>
      </c>
      <c r="F1242" s="20">
        <f>D1242*E1242</f>
        <v>0</v>
      </c>
      <c r="G1242" s="21">
        <v>101</v>
      </c>
      <c r="H1242" s="20">
        <f>F1242*G1242</f>
        <v>0</v>
      </c>
      <c r="I1242" s="2"/>
      <c r="J1242" s="17"/>
      <c r="K1242" s="17"/>
      <c r="L1242" s="17"/>
    </row>
    <row r="1243" spans="1:12">
      <c r="A1243" s="50"/>
      <c r="B1243" s="49">
        <v>2</v>
      </c>
      <c r="C1243" s="19"/>
      <c r="D1243" s="20">
        <v>0</v>
      </c>
      <c r="E1243" s="21">
        <v>1</v>
      </c>
      <c r="F1243" s="20">
        <f>D1243*E1243</f>
        <v>0</v>
      </c>
      <c r="G1243" s="21">
        <v>102</v>
      </c>
      <c r="H1243" s="20">
        <f>F1243*G1243</f>
        <v>0</v>
      </c>
      <c r="I1243" s="2"/>
      <c r="J1243" s="17"/>
      <c r="K1243" s="17"/>
      <c r="L1243" s="17"/>
    </row>
    <row r="1244" spans="1:12">
      <c r="A1244" s="50"/>
      <c r="B1244" s="49"/>
      <c r="C1244" s="14" t="s">
        <v>674</v>
      </c>
      <c r="D1244" s="20"/>
      <c r="F1244" s="20"/>
      <c r="H1244" s="25">
        <f>SUM(H1242:H1243)</f>
        <v>0</v>
      </c>
      <c r="I1244" s="2"/>
      <c r="J1244" s="17"/>
      <c r="K1244" s="17"/>
      <c r="L1244" s="17"/>
    </row>
    <row r="1245" spans="1:12">
      <c r="A1245" s="50"/>
      <c r="B1245" s="51"/>
      <c r="C1245" s="14"/>
      <c r="D1245" s="20"/>
      <c r="F1245" s="20"/>
      <c r="H1245" s="20"/>
      <c r="I1245" s="2"/>
      <c r="J1245" s="17"/>
      <c r="K1245" s="17"/>
      <c r="L1245" s="17"/>
    </row>
    <row r="1246" spans="1:12">
      <c r="A1246" s="50"/>
      <c r="B1246" s="51"/>
      <c r="C1246" s="14" t="s">
        <v>675</v>
      </c>
      <c r="D1246" s="20"/>
      <c r="F1246" s="20"/>
      <c r="H1246" s="20"/>
      <c r="I1246" s="2"/>
      <c r="J1246" s="17"/>
      <c r="K1246" s="17"/>
      <c r="L1246" s="17"/>
    </row>
    <row r="1247" spans="1:12">
      <c r="A1247" s="50"/>
      <c r="B1247" s="49">
        <v>1</v>
      </c>
      <c r="C1247" s="19"/>
      <c r="D1247" s="20">
        <v>0</v>
      </c>
      <c r="E1247" s="21">
        <v>1</v>
      </c>
      <c r="F1247" s="20">
        <f>D1247*E1247</f>
        <v>0</v>
      </c>
      <c r="G1247" s="21">
        <v>101</v>
      </c>
      <c r="H1247" s="20">
        <f>F1247*G1247</f>
        <v>0</v>
      </c>
      <c r="I1247" s="2"/>
      <c r="J1247" s="17"/>
      <c r="K1247" s="17"/>
      <c r="L1247" s="17"/>
    </row>
    <row r="1248" spans="1:12">
      <c r="A1248" s="50"/>
      <c r="B1248" s="49">
        <v>2</v>
      </c>
      <c r="C1248" s="19"/>
      <c r="D1248" s="20">
        <v>0</v>
      </c>
      <c r="E1248" s="21">
        <v>1</v>
      </c>
      <c r="F1248" s="20">
        <f>D1248*E1248</f>
        <v>0</v>
      </c>
      <c r="G1248" s="21">
        <v>102</v>
      </c>
      <c r="H1248" s="20">
        <f>F1248*G1248</f>
        <v>0</v>
      </c>
      <c r="I1248" s="2"/>
      <c r="J1248" s="17"/>
      <c r="K1248" s="17"/>
      <c r="L1248" s="17"/>
    </row>
    <row r="1249" spans="1:12">
      <c r="A1249" s="50"/>
      <c r="B1249" s="49"/>
      <c r="C1249" s="14" t="s">
        <v>676</v>
      </c>
      <c r="D1249" s="20"/>
      <c r="F1249" s="20"/>
      <c r="H1249" s="25">
        <f>SUM(H1247:H1248)</f>
        <v>0</v>
      </c>
      <c r="I1249" s="2"/>
      <c r="J1249" s="17"/>
      <c r="K1249" s="17"/>
      <c r="L1249" s="17"/>
    </row>
    <row r="1250" spans="1:12">
      <c r="A1250" s="50"/>
      <c r="B1250" s="51"/>
      <c r="C1250" s="14"/>
      <c r="D1250" s="20"/>
      <c r="F1250" s="20"/>
      <c r="H1250" s="20"/>
      <c r="I1250" s="2"/>
      <c r="J1250" s="17"/>
      <c r="K1250" s="17"/>
      <c r="L1250" s="17"/>
    </row>
    <row r="1251" spans="1:12">
      <c r="A1251" s="50"/>
      <c r="B1251" s="51"/>
      <c r="C1251" s="14" t="s">
        <v>677</v>
      </c>
      <c r="D1251" s="20"/>
      <c r="F1251" s="20"/>
      <c r="H1251" s="20"/>
      <c r="I1251" s="2"/>
      <c r="J1251" s="17"/>
      <c r="K1251" s="17"/>
      <c r="L1251" s="17"/>
    </row>
    <row r="1252" spans="1:12">
      <c r="A1252" s="50"/>
      <c r="B1252" s="49">
        <v>1</v>
      </c>
      <c r="C1252" s="19"/>
      <c r="D1252" s="20">
        <v>0</v>
      </c>
      <c r="E1252" s="21">
        <v>1</v>
      </c>
      <c r="F1252" s="20">
        <f>D1252*E1252</f>
        <v>0</v>
      </c>
      <c r="G1252" s="21">
        <v>101</v>
      </c>
      <c r="H1252" s="20">
        <f>F1252*G1252</f>
        <v>0</v>
      </c>
      <c r="I1252" s="2"/>
      <c r="J1252" s="17"/>
      <c r="K1252" s="17"/>
      <c r="L1252" s="17"/>
    </row>
    <row r="1253" spans="1:12">
      <c r="A1253" s="50"/>
      <c r="B1253" s="49">
        <v>2</v>
      </c>
      <c r="C1253" s="19"/>
      <c r="D1253" s="20">
        <v>0</v>
      </c>
      <c r="E1253" s="21">
        <v>1</v>
      </c>
      <c r="F1253" s="20">
        <f>D1253*E1253</f>
        <v>0</v>
      </c>
      <c r="G1253" s="21">
        <v>102</v>
      </c>
      <c r="H1253" s="20">
        <f>F1253*G1253</f>
        <v>0</v>
      </c>
      <c r="I1253" s="2"/>
      <c r="J1253" s="17"/>
      <c r="K1253" s="17"/>
      <c r="L1253" s="17"/>
    </row>
    <row r="1254" spans="1:12">
      <c r="A1254" s="50"/>
      <c r="B1254" s="49"/>
      <c r="C1254" s="14" t="s">
        <v>678</v>
      </c>
      <c r="D1254" s="20"/>
      <c r="F1254" s="20"/>
      <c r="H1254" s="25">
        <f>SUM(H1252:H1253)</f>
        <v>0</v>
      </c>
      <c r="I1254" s="2"/>
      <c r="J1254" s="17"/>
      <c r="K1254" s="17"/>
      <c r="L1254" s="17"/>
    </row>
    <row r="1255" spans="1:12">
      <c r="A1255" s="50"/>
      <c r="B1255" s="49"/>
      <c r="C1255" s="14"/>
      <c r="D1255" s="20"/>
      <c r="F1255" s="20"/>
      <c r="H1255" s="25"/>
      <c r="I1255" s="2"/>
      <c r="J1255" s="17"/>
      <c r="K1255" s="17"/>
      <c r="L1255" s="17"/>
    </row>
    <row r="1256" spans="1:12">
      <c r="A1256" s="50"/>
      <c r="B1256" s="51"/>
      <c r="C1256" s="14" t="s">
        <v>679</v>
      </c>
      <c r="D1256" s="20"/>
      <c r="F1256" s="20"/>
      <c r="H1256" s="20"/>
      <c r="I1256" s="2"/>
      <c r="J1256" s="17"/>
      <c r="K1256" s="17"/>
      <c r="L1256" s="17"/>
    </row>
    <row r="1257" spans="1:12">
      <c r="A1257" s="50"/>
      <c r="B1257" s="49">
        <v>1</v>
      </c>
      <c r="C1257" s="19" t="s">
        <v>76</v>
      </c>
      <c r="D1257" s="20">
        <v>1</v>
      </c>
      <c r="E1257" s="21">
        <v>1</v>
      </c>
      <c r="F1257" s="20">
        <f>D1257*E1257</f>
        <v>1</v>
      </c>
      <c r="G1257" s="21">
        <v>23079</v>
      </c>
      <c r="H1257" s="20">
        <f>F1257*G1257</f>
        <v>23079</v>
      </c>
      <c r="I1257" s="2"/>
      <c r="J1257" s="17"/>
      <c r="K1257" s="17"/>
      <c r="L1257" s="17"/>
    </row>
    <row r="1258" spans="1:12">
      <c r="A1258" s="50"/>
      <c r="B1258" s="49">
        <v>2</v>
      </c>
      <c r="C1258" s="19" t="s">
        <v>77</v>
      </c>
      <c r="D1258" s="20">
        <v>1</v>
      </c>
      <c r="E1258" s="21">
        <v>1</v>
      </c>
      <c r="F1258" s="20">
        <f>D1258*E1258</f>
        <v>1</v>
      </c>
      <c r="G1258" s="21">
        <v>23079</v>
      </c>
      <c r="H1258" s="20">
        <f>F1258*G1258</f>
        <v>23079</v>
      </c>
      <c r="I1258" s="2"/>
      <c r="J1258" s="17"/>
      <c r="K1258" s="17"/>
      <c r="L1258" s="17"/>
    </row>
    <row r="1259" spans="1:12">
      <c r="A1259" s="50"/>
      <c r="B1259" s="49">
        <v>3</v>
      </c>
      <c r="C1259" s="19"/>
      <c r="D1259" s="20">
        <v>0</v>
      </c>
      <c r="E1259" s="21">
        <v>1</v>
      </c>
      <c r="F1259" s="20">
        <f t="shared" ref="F1259:F1265" si="132">D1259*E1259</f>
        <v>0</v>
      </c>
      <c r="G1259" s="21">
        <v>103</v>
      </c>
      <c r="H1259" s="20">
        <f t="shared" ref="H1259:H1265" si="133">F1259*G1259</f>
        <v>0</v>
      </c>
      <c r="I1259" s="2"/>
      <c r="J1259" s="17"/>
      <c r="K1259" s="17"/>
      <c r="L1259" s="17"/>
    </row>
    <row r="1260" spans="1:12">
      <c r="A1260" s="50"/>
      <c r="B1260" s="49">
        <v>4</v>
      </c>
      <c r="C1260" s="19"/>
      <c r="D1260" s="20">
        <v>0</v>
      </c>
      <c r="E1260" s="21">
        <v>1</v>
      </c>
      <c r="F1260" s="20">
        <f t="shared" si="132"/>
        <v>0</v>
      </c>
      <c r="G1260" s="21">
        <v>104</v>
      </c>
      <c r="H1260" s="20">
        <f t="shared" si="133"/>
        <v>0</v>
      </c>
      <c r="I1260" s="2"/>
      <c r="J1260" s="17"/>
      <c r="K1260" s="17"/>
      <c r="L1260" s="17"/>
    </row>
    <row r="1261" spans="1:12">
      <c r="A1261" s="50"/>
      <c r="B1261" s="49">
        <v>5</v>
      </c>
      <c r="C1261" s="19"/>
      <c r="D1261" s="20">
        <v>0</v>
      </c>
      <c r="E1261" s="21">
        <v>1</v>
      </c>
      <c r="F1261" s="20">
        <f t="shared" si="132"/>
        <v>0</v>
      </c>
      <c r="G1261" s="21">
        <v>105</v>
      </c>
      <c r="H1261" s="20">
        <f t="shared" si="133"/>
        <v>0</v>
      </c>
      <c r="I1261" s="2"/>
      <c r="J1261" s="17"/>
      <c r="K1261" s="17"/>
      <c r="L1261" s="17"/>
    </row>
    <row r="1262" spans="1:12">
      <c r="A1262" s="50"/>
      <c r="B1262" s="49">
        <v>6</v>
      </c>
      <c r="C1262" s="19"/>
      <c r="D1262" s="20">
        <v>0</v>
      </c>
      <c r="E1262" s="21">
        <v>1</v>
      </c>
      <c r="F1262" s="20">
        <f t="shared" si="132"/>
        <v>0</v>
      </c>
      <c r="G1262" s="21">
        <v>106</v>
      </c>
      <c r="H1262" s="20">
        <f t="shared" si="133"/>
        <v>0</v>
      </c>
      <c r="I1262" s="2"/>
      <c r="J1262" s="17"/>
      <c r="K1262" s="17"/>
      <c r="L1262" s="17"/>
    </row>
    <row r="1263" spans="1:12">
      <c r="A1263" s="50"/>
      <c r="B1263" s="49">
        <v>7</v>
      </c>
      <c r="C1263" s="19"/>
      <c r="D1263" s="20">
        <v>0</v>
      </c>
      <c r="E1263" s="21">
        <v>1</v>
      </c>
      <c r="F1263" s="20">
        <f t="shared" si="132"/>
        <v>0</v>
      </c>
      <c r="G1263" s="21">
        <v>107</v>
      </c>
      <c r="H1263" s="20">
        <f t="shared" si="133"/>
        <v>0</v>
      </c>
      <c r="I1263" s="2"/>
      <c r="J1263" s="17"/>
      <c r="K1263" s="17"/>
      <c r="L1263" s="17"/>
    </row>
    <row r="1264" spans="1:12">
      <c r="A1264" s="50"/>
      <c r="B1264" s="49">
        <v>8</v>
      </c>
      <c r="C1264" s="19"/>
      <c r="D1264" s="20">
        <v>0</v>
      </c>
      <c r="E1264" s="21">
        <v>1</v>
      </c>
      <c r="F1264" s="20">
        <f t="shared" si="132"/>
        <v>0</v>
      </c>
      <c r="G1264" s="21">
        <v>108</v>
      </c>
      <c r="H1264" s="20">
        <f t="shared" si="133"/>
        <v>0</v>
      </c>
      <c r="I1264" s="2"/>
      <c r="J1264" s="17"/>
      <c r="K1264" s="17"/>
      <c r="L1264" s="17"/>
    </row>
    <row r="1265" spans="1:12">
      <c r="A1265" s="50"/>
      <c r="B1265" s="49">
        <v>9</v>
      </c>
      <c r="C1265" s="19"/>
      <c r="D1265" s="20">
        <v>0</v>
      </c>
      <c r="E1265" s="21">
        <v>1</v>
      </c>
      <c r="F1265" s="20">
        <f t="shared" si="132"/>
        <v>0</v>
      </c>
      <c r="G1265" s="21">
        <v>109</v>
      </c>
      <c r="H1265" s="20">
        <f t="shared" si="133"/>
        <v>0</v>
      </c>
      <c r="I1265" s="2"/>
      <c r="J1265" s="17"/>
      <c r="K1265" s="17"/>
      <c r="L1265" s="17"/>
    </row>
    <row r="1266" spans="1:12">
      <c r="A1266" s="50"/>
      <c r="B1266" s="49">
        <v>10</v>
      </c>
      <c r="C1266" s="19"/>
      <c r="D1266" s="20">
        <v>0</v>
      </c>
      <c r="E1266" s="21">
        <v>1</v>
      </c>
      <c r="F1266" s="20">
        <f>D1266*E1266</f>
        <v>0</v>
      </c>
      <c r="G1266" s="21">
        <v>102</v>
      </c>
      <c r="H1266" s="20">
        <f>F1266*G1266</f>
        <v>0</v>
      </c>
      <c r="I1266" s="2"/>
      <c r="J1266" s="17"/>
      <c r="K1266" s="17"/>
      <c r="L1266" s="17"/>
    </row>
    <row r="1267" spans="1:12">
      <c r="A1267" s="50"/>
      <c r="B1267" s="49"/>
      <c r="C1267" s="14" t="s">
        <v>680</v>
      </c>
      <c r="D1267" s="20"/>
      <c r="F1267" s="20"/>
      <c r="H1267" s="25">
        <f>SUM(H1257:H1266)</f>
        <v>46158</v>
      </c>
      <c r="I1267" s="2"/>
      <c r="J1267" s="17"/>
      <c r="K1267" s="17"/>
      <c r="L1267" s="17"/>
    </row>
    <row r="1268" spans="1:12">
      <c r="A1268" s="50"/>
      <c r="B1268" s="49"/>
      <c r="C1268" s="14"/>
      <c r="D1268" s="20"/>
      <c r="F1268" s="20"/>
      <c r="H1268" s="25"/>
      <c r="I1268" s="2"/>
      <c r="J1268" s="17"/>
      <c r="K1268" s="17"/>
      <c r="L1268" s="17"/>
    </row>
    <row r="1269" spans="1:12">
      <c r="A1269" s="50"/>
      <c r="B1269" s="51"/>
      <c r="C1269" s="14" t="s">
        <v>681</v>
      </c>
      <c r="D1269" s="20"/>
      <c r="F1269" s="20"/>
      <c r="H1269" s="25">
        <f>H1224+H1229+H1234+H1239+H1244+H1249+H1254+H1267</f>
        <v>46158</v>
      </c>
      <c r="I1269" s="2"/>
      <c r="J1269" s="17"/>
      <c r="K1269" s="17"/>
      <c r="L1269" s="17"/>
    </row>
    <row r="1270" spans="1:12">
      <c r="A1270" s="50"/>
      <c r="B1270" s="51"/>
      <c r="C1270" s="14"/>
      <c r="D1270" s="20"/>
      <c r="F1270" s="20"/>
      <c r="H1270" s="20"/>
      <c r="I1270" s="2"/>
      <c r="J1270" s="17"/>
      <c r="K1270" s="17"/>
      <c r="L1270" s="17"/>
    </row>
    <row r="1271" spans="1:12">
      <c r="A1271" s="50"/>
      <c r="B1271" s="48" t="s">
        <v>682</v>
      </c>
      <c r="C1271" s="14" t="s">
        <v>683</v>
      </c>
      <c r="D1271" s="20"/>
      <c r="F1271" s="20"/>
      <c r="H1271" s="20"/>
      <c r="I1271" s="2"/>
      <c r="J1271" s="17"/>
      <c r="K1271" s="17"/>
      <c r="L1271" s="17"/>
    </row>
    <row r="1272" spans="1:12">
      <c r="A1272" s="50"/>
      <c r="B1272" s="49">
        <v>1</v>
      </c>
      <c r="C1272" s="19"/>
      <c r="D1272" s="20">
        <v>0</v>
      </c>
      <c r="E1272" s="21">
        <v>1</v>
      </c>
      <c r="F1272" s="20">
        <f>D1272*E1272</f>
        <v>0</v>
      </c>
      <c r="G1272" s="21">
        <v>101</v>
      </c>
      <c r="H1272" s="20">
        <f>F1272*G1272</f>
        <v>0</v>
      </c>
      <c r="I1272" s="2"/>
      <c r="J1272" s="17"/>
      <c r="K1272" s="17"/>
      <c r="L1272" s="17"/>
    </row>
    <row r="1273" spans="1:12">
      <c r="A1273" s="50"/>
      <c r="B1273" s="49">
        <v>2</v>
      </c>
      <c r="C1273" s="19"/>
      <c r="D1273" s="20">
        <v>0</v>
      </c>
      <c r="E1273" s="21">
        <v>1</v>
      </c>
      <c r="F1273" s="20">
        <f>D1273*E1273</f>
        <v>0</v>
      </c>
      <c r="G1273" s="21">
        <v>102</v>
      </c>
      <c r="H1273" s="20">
        <f>F1273*G1273</f>
        <v>0</v>
      </c>
      <c r="I1273" s="2"/>
      <c r="J1273" s="17"/>
      <c r="K1273" s="17"/>
      <c r="L1273" s="17"/>
    </row>
    <row r="1274" spans="1:12">
      <c r="A1274" s="50"/>
      <c r="B1274" s="49"/>
      <c r="C1274" s="14" t="s">
        <v>684</v>
      </c>
      <c r="D1274" s="20"/>
      <c r="F1274" s="20"/>
      <c r="H1274" s="25">
        <f>SUM(H1272:H1273)</f>
        <v>0</v>
      </c>
      <c r="I1274" s="2"/>
      <c r="J1274" s="17"/>
      <c r="K1274" s="17"/>
      <c r="L1274" s="17"/>
    </row>
    <row r="1275" spans="1:12">
      <c r="A1275" s="50"/>
      <c r="B1275" s="48"/>
      <c r="C1275" s="14"/>
      <c r="D1275" s="20"/>
      <c r="F1275" s="20"/>
      <c r="H1275" s="20"/>
      <c r="I1275" s="2"/>
      <c r="J1275" s="17"/>
      <c r="K1275" s="17"/>
      <c r="L1275" s="17"/>
    </row>
    <row r="1276" spans="1:12">
      <c r="A1276" s="50"/>
      <c r="B1276" s="51"/>
      <c r="C1276" s="14" t="s">
        <v>685</v>
      </c>
      <c r="D1276" s="20"/>
      <c r="F1276" s="20"/>
      <c r="H1276" s="20"/>
      <c r="I1276" s="2"/>
      <c r="J1276" s="17"/>
      <c r="K1276" s="17"/>
      <c r="L1276" s="17"/>
    </row>
    <row r="1277" spans="1:12">
      <c r="A1277" s="50"/>
      <c r="B1277" s="49">
        <v>1</v>
      </c>
      <c r="C1277" s="19"/>
      <c r="D1277" s="20">
        <v>0</v>
      </c>
      <c r="E1277" s="21">
        <v>1</v>
      </c>
      <c r="F1277" s="20">
        <f>D1277*E1277</f>
        <v>0</v>
      </c>
      <c r="G1277" s="21">
        <v>101</v>
      </c>
      <c r="H1277" s="20">
        <f>F1277*G1277</f>
        <v>0</v>
      </c>
      <c r="I1277" s="2"/>
      <c r="J1277" s="17"/>
      <c r="K1277" s="17"/>
      <c r="L1277" s="17"/>
    </row>
    <row r="1278" spans="1:12">
      <c r="A1278" s="50"/>
      <c r="B1278" s="49">
        <v>2</v>
      </c>
      <c r="C1278" s="19"/>
      <c r="D1278" s="20">
        <v>0</v>
      </c>
      <c r="E1278" s="21">
        <v>1</v>
      </c>
      <c r="F1278" s="20">
        <f>D1278*E1278</f>
        <v>0</v>
      </c>
      <c r="G1278" s="21">
        <v>102</v>
      </c>
      <c r="H1278" s="20">
        <f>F1278*G1278</f>
        <v>0</v>
      </c>
      <c r="I1278" s="2"/>
      <c r="J1278" s="17"/>
      <c r="K1278" s="17"/>
      <c r="L1278" s="17"/>
    </row>
    <row r="1279" spans="1:12">
      <c r="A1279" s="50"/>
      <c r="B1279" s="49"/>
      <c r="C1279" s="14" t="s">
        <v>686</v>
      </c>
      <c r="D1279" s="20"/>
      <c r="F1279" s="20"/>
      <c r="H1279" s="25">
        <f>SUM(H1277:H1278)</f>
        <v>0</v>
      </c>
      <c r="I1279" s="2"/>
      <c r="J1279" s="17"/>
      <c r="K1279" s="17"/>
      <c r="L1279" s="17"/>
    </row>
    <row r="1280" spans="1:12">
      <c r="A1280" s="50"/>
      <c r="B1280" s="51"/>
      <c r="C1280" s="14"/>
      <c r="D1280" s="20"/>
      <c r="F1280" s="20"/>
      <c r="H1280" s="20"/>
      <c r="I1280" s="2"/>
      <c r="J1280" s="17"/>
      <c r="K1280" s="17"/>
      <c r="L1280" s="17"/>
    </row>
    <row r="1281" spans="1:12">
      <c r="A1281" s="50"/>
      <c r="B1281" s="51"/>
      <c r="C1281" s="14" t="s">
        <v>687</v>
      </c>
      <c r="D1281" s="20"/>
      <c r="F1281" s="20"/>
      <c r="H1281" s="20"/>
      <c r="I1281" s="2"/>
      <c r="J1281" s="17"/>
      <c r="K1281" s="17"/>
      <c r="L1281" s="17"/>
    </row>
    <row r="1282" spans="1:12">
      <c r="A1282" s="50"/>
      <c r="B1282" s="49">
        <v>1</v>
      </c>
      <c r="C1282" s="19"/>
      <c r="D1282" s="20">
        <v>0</v>
      </c>
      <c r="E1282" s="21">
        <v>1</v>
      </c>
      <c r="F1282" s="20">
        <f>D1282*E1282</f>
        <v>0</v>
      </c>
      <c r="G1282" s="21">
        <v>101</v>
      </c>
      <c r="H1282" s="20">
        <f>F1282*G1282</f>
        <v>0</v>
      </c>
      <c r="I1282" s="2"/>
      <c r="J1282" s="17"/>
      <c r="K1282" s="17"/>
      <c r="L1282" s="17"/>
    </row>
    <row r="1283" spans="1:12">
      <c r="A1283" s="50"/>
      <c r="B1283" s="49">
        <v>2</v>
      </c>
      <c r="C1283" s="19"/>
      <c r="D1283" s="20">
        <v>0</v>
      </c>
      <c r="E1283" s="21">
        <v>1</v>
      </c>
      <c r="F1283" s="20">
        <f>D1283*E1283</f>
        <v>0</v>
      </c>
      <c r="G1283" s="21">
        <v>102</v>
      </c>
      <c r="H1283" s="20">
        <f>F1283*G1283</f>
        <v>0</v>
      </c>
      <c r="I1283" s="2"/>
      <c r="J1283" s="17"/>
      <c r="K1283" s="17"/>
      <c r="L1283" s="17"/>
    </row>
    <row r="1284" spans="1:12">
      <c r="A1284" s="50"/>
      <c r="B1284" s="49"/>
      <c r="C1284" s="14" t="s">
        <v>688</v>
      </c>
      <c r="D1284" s="20"/>
      <c r="F1284" s="20"/>
      <c r="H1284" s="25">
        <f>SUM(H1282:H1283)</f>
        <v>0</v>
      </c>
      <c r="I1284" s="2"/>
      <c r="J1284" s="17"/>
      <c r="K1284" s="17"/>
      <c r="L1284" s="17"/>
    </row>
    <row r="1285" spans="1:12">
      <c r="A1285" s="50"/>
      <c r="B1285" s="51"/>
      <c r="C1285" s="14"/>
      <c r="D1285" s="20"/>
      <c r="F1285" s="20"/>
      <c r="H1285" s="20"/>
      <c r="I1285" s="2"/>
      <c r="J1285" s="17"/>
      <c r="K1285" s="17"/>
      <c r="L1285" s="17"/>
    </row>
    <row r="1286" spans="1:12">
      <c r="A1286" s="50"/>
      <c r="B1286" s="51"/>
      <c r="C1286" s="14" t="s">
        <v>689</v>
      </c>
      <c r="D1286" s="20"/>
      <c r="F1286" s="20"/>
      <c r="H1286" s="20"/>
      <c r="I1286" s="2"/>
      <c r="J1286" s="17"/>
      <c r="K1286" s="17"/>
      <c r="L1286" s="17"/>
    </row>
    <row r="1287" spans="1:12">
      <c r="A1287" s="50"/>
      <c r="B1287" s="49">
        <v>1</v>
      </c>
      <c r="C1287" s="19"/>
      <c r="D1287" s="20">
        <v>0</v>
      </c>
      <c r="E1287" s="21">
        <v>1</v>
      </c>
      <c r="F1287" s="20">
        <f>D1287*E1287</f>
        <v>0</v>
      </c>
      <c r="G1287" s="21">
        <v>101</v>
      </c>
      <c r="H1287" s="20">
        <f>F1287*G1287</f>
        <v>0</v>
      </c>
      <c r="I1287" s="2"/>
      <c r="J1287" s="17"/>
      <c r="K1287" s="17"/>
      <c r="L1287" s="17"/>
    </row>
    <row r="1288" spans="1:12">
      <c r="A1288" s="50"/>
      <c r="B1288" s="49">
        <v>2</v>
      </c>
      <c r="C1288" s="19"/>
      <c r="D1288" s="20">
        <v>0</v>
      </c>
      <c r="E1288" s="21">
        <v>1</v>
      </c>
      <c r="F1288" s="20">
        <f>D1288*E1288</f>
        <v>0</v>
      </c>
      <c r="G1288" s="21">
        <v>102</v>
      </c>
      <c r="H1288" s="20">
        <f>F1288*G1288</f>
        <v>0</v>
      </c>
      <c r="I1288" s="2"/>
      <c r="J1288" s="17"/>
      <c r="K1288" s="17"/>
      <c r="L1288" s="17"/>
    </row>
    <row r="1289" spans="1:12">
      <c r="A1289" s="50"/>
      <c r="B1289" s="49"/>
      <c r="C1289" s="14" t="s">
        <v>690</v>
      </c>
      <c r="D1289" s="20"/>
      <c r="F1289" s="20"/>
      <c r="H1289" s="25">
        <f>SUM(H1287:H1288)</f>
        <v>0</v>
      </c>
      <c r="I1289" s="2"/>
      <c r="J1289" s="17"/>
      <c r="K1289" s="17"/>
      <c r="L1289" s="17"/>
    </row>
    <row r="1290" spans="1:12">
      <c r="A1290" s="50"/>
      <c r="B1290" s="51"/>
      <c r="C1290" s="14"/>
      <c r="D1290" s="20"/>
      <c r="F1290" s="20"/>
      <c r="H1290" s="20"/>
      <c r="I1290" s="2"/>
      <c r="J1290" s="17"/>
      <c r="K1290" s="17"/>
      <c r="L1290" s="17"/>
    </row>
    <row r="1291" spans="1:12">
      <c r="A1291" s="50"/>
      <c r="B1291" s="51"/>
      <c r="C1291" s="14" t="s">
        <v>691</v>
      </c>
      <c r="D1291" s="20"/>
      <c r="F1291" s="20"/>
      <c r="H1291" s="20"/>
      <c r="I1291" s="2"/>
      <c r="J1291" s="17"/>
      <c r="K1291" s="17"/>
      <c r="L1291" s="17"/>
    </row>
    <row r="1292" spans="1:12">
      <c r="A1292" s="50"/>
      <c r="B1292" s="49">
        <v>1</v>
      </c>
      <c r="C1292" s="19"/>
      <c r="D1292" s="20">
        <v>0</v>
      </c>
      <c r="E1292" s="21">
        <v>1</v>
      </c>
      <c r="F1292" s="20">
        <f>D1292*E1292</f>
        <v>0</v>
      </c>
      <c r="G1292" s="21">
        <v>101</v>
      </c>
      <c r="H1292" s="20">
        <f>F1292*G1292</f>
        <v>0</v>
      </c>
      <c r="I1292" s="2"/>
      <c r="J1292" s="17"/>
      <c r="K1292" s="17"/>
      <c r="L1292" s="17"/>
    </row>
    <row r="1293" spans="1:12">
      <c r="A1293" s="50"/>
      <c r="B1293" s="49">
        <v>2</v>
      </c>
      <c r="C1293" s="19"/>
      <c r="D1293" s="20">
        <v>0</v>
      </c>
      <c r="E1293" s="21">
        <v>1</v>
      </c>
      <c r="F1293" s="20">
        <f>D1293*E1293</f>
        <v>0</v>
      </c>
      <c r="G1293" s="21">
        <v>102</v>
      </c>
      <c r="H1293" s="20">
        <f>F1293*G1293</f>
        <v>0</v>
      </c>
      <c r="I1293" s="2"/>
      <c r="J1293" s="17"/>
      <c r="K1293" s="17"/>
      <c r="L1293" s="17"/>
    </row>
    <row r="1294" spans="1:12">
      <c r="A1294" s="50"/>
      <c r="B1294" s="49"/>
      <c r="C1294" s="14" t="s">
        <v>692</v>
      </c>
      <c r="D1294" s="20"/>
      <c r="F1294" s="20"/>
      <c r="H1294" s="25">
        <f>SUM(H1292:H1293)</f>
        <v>0</v>
      </c>
      <c r="I1294" s="2"/>
      <c r="J1294" s="17"/>
      <c r="K1294" s="17"/>
      <c r="L1294" s="17"/>
    </row>
    <row r="1295" spans="1:12">
      <c r="A1295" s="50"/>
      <c r="B1295" s="51"/>
      <c r="C1295" s="14"/>
      <c r="D1295" s="20"/>
      <c r="F1295" s="20"/>
      <c r="H1295" s="20"/>
      <c r="I1295" s="2"/>
      <c r="J1295" s="17"/>
      <c r="K1295" s="17"/>
      <c r="L1295" s="17"/>
    </row>
    <row r="1296" spans="1:12">
      <c r="A1296" s="50"/>
      <c r="B1296" s="51"/>
      <c r="C1296" s="14" t="s">
        <v>693</v>
      </c>
      <c r="D1296" s="20"/>
      <c r="F1296" s="20"/>
      <c r="H1296" s="20"/>
      <c r="I1296" s="2"/>
      <c r="J1296" s="17"/>
      <c r="K1296" s="17"/>
      <c r="L1296" s="17"/>
    </row>
    <row r="1297" spans="1:12">
      <c r="A1297" s="50"/>
      <c r="B1297" s="49">
        <v>1</v>
      </c>
      <c r="C1297" s="19" t="s">
        <v>281</v>
      </c>
      <c r="D1297" s="20">
        <v>0</v>
      </c>
      <c r="E1297" s="21">
        <v>1</v>
      </c>
      <c r="F1297" s="20">
        <f>D1297*E1297</f>
        <v>0</v>
      </c>
      <c r="G1297" s="21">
        <v>25000</v>
      </c>
      <c r="H1297" s="20">
        <f>F1297*G1297</f>
        <v>0</v>
      </c>
      <c r="I1297" s="2"/>
      <c r="J1297" s="17"/>
      <c r="K1297" s="17"/>
      <c r="L1297" s="17"/>
    </row>
    <row r="1298" spans="1:12">
      <c r="A1298" s="50"/>
      <c r="B1298" s="49">
        <v>2</v>
      </c>
      <c r="C1298" s="19" t="s">
        <v>282</v>
      </c>
      <c r="D1298" s="20">
        <v>0</v>
      </c>
      <c r="E1298" s="21">
        <v>1</v>
      </c>
      <c r="F1298" s="20">
        <f t="shared" ref="F1298:F1306" si="134">D1298*E1298</f>
        <v>0</v>
      </c>
      <c r="G1298" s="21">
        <v>25000</v>
      </c>
      <c r="H1298" s="20">
        <f t="shared" ref="H1298:H1306" si="135">F1298*G1298</f>
        <v>0</v>
      </c>
      <c r="I1298" s="2"/>
      <c r="J1298" s="17"/>
      <c r="K1298" s="17"/>
      <c r="L1298" s="17"/>
    </row>
    <row r="1299" spans="1:12">
      <c r="A1299" s="50"/>
      <c r="B1299" s="49">
        <v>3</v>
      </c>
      <c r="C1299" s="19" t="s">
        <v>283</v>
      </c>
      <c r="D1299" s="20">
        <v>0</v>
      </c>
      <c r="E1299" s="21">
        <v>1</v>
      </c>
      <c r="F1299" s="20">
        <f t="shared" si="134"/>
        <v>0</v>
      </c>
      <c r="G1299" s="21">
        <v>50000</v>
      </c>
      <c r="H1299" s="20">
        <f t="shared" si="135"/>
        <v>0</v>
      </c>
      <c r="I1299" s="2"/>
      <c r="J1299" s="17"/>
      <c r="K1299" s="17"/>
      <c r="L1299" s="17"/>
    </row>
    <row r="1300" spans="1:12">
      <c r="A1300" s="50"/>
      <c r="B1300" s="49">
        <v>4</v>
      </c>
      <c r="C1300" s="19" t="s">
        <v>284</v>
      </c>
      <c r="D1300" s="20">
        <v>0</v>
      </c>
      <c r="E1300" s="21">
        <v>1</v>
      </c>
      <c r="F1300" s="20">
        <f t="shared" si="134"/>
        <v>0</v>
      </c>
      <c r="G1300" s="21">
        <v>40000</v>
      </c>
      <c r="H1300" s="20">
        <f t="shared" si="135"/>
        <v>0</v>
      </c>
      <c r="I1300" s="2"/>
      <c r="J1300" s="17"/>
      <c r="K1300" s="17"/>
      <c r="L1300" s="17"/>
    </row>
    <row r="1301" spans="1:12">
      <c r="A1301" s="50"/>
      <c r="B1301" s="49">
        <v>5</v>
      </c>
      <c r="C1301" s="19" t="s">
        <v>694</v>
      </c>
      <c r="D1301" s="20">
        <v>0</v>
      </c>
      <c r="E1301" s="21">
        <v>1</v>
      </c>
      <c r="F1301" s="20">
        <f t="shared" si="134"/>
        <v>0</v>
      </c>
      <c r="G1301" s="21">
        <v>200000</v>
      </c>
      <c r="H1301" s="20">
        <f t="shared" si="135"/>
        <v>0</v>
      </c>
      <c r="I1301" s="2"/>
      <c r="J1301" s="17"/>
      <c r="K1301" s="17"/>
      <c r="L1301" s="17"/>
    </row>
    <row r="1302" spans="1:12">
      <c r="A1302" s="50"/>
      <c r="B1302" s="49">
        <v>6</v>
      </c>
      <c r="C1302" s="19" t="s">
        <v>569</v>
      </c>
      <c r="D1302" s="20">
        <v>0</v>
      </c>
      <c r="E1302" s="21">
        <v>1</v>
      </c>
      <c r="F1302" s="20">
        <f t="shared" si="134"/>
        <v>0</v>
      </c>
      <c r="G1302" s="21">
        <v>106</v>
      </c>
      <c r="H1302" s="20">
        <f t="shared" si="135"/>
        <v>0</v>
      </c>
      <c r="I1302" s="2"/>
      <c r="J1302" s="17"/>
      <c r="K1302" s="17"/>
      <c r="L1302" s="17"/>
    </row>
    <row r="1303" spans="1:12">
      <c r="A1303" s="50"/>
      <c r="B1303" s="49">
        <v>7</v>
      </c>
      <c r="C1303" s="19" t="s">
        <v>570</v>
      </c>
      <c r="D1303" s="20">
        <v>0</v>
      </c>
      <c r="E1303" s="21">
        <v>1</v>
      </c>
      <c r="F1303" s="20">
        <f t="shared" si="134"/>
        <v>0</v>
      </c>
      <c r="G1303" s="21">
        <v>107</v>
      </c>
      <c r="H1303" s="20">
        <f t="shared" si="135"/>
        <v>0</v>
      </c>
      <c r="I1303" s="2"/>
      <c r="J1303" s="17"/>
      <c r="K1303" s="17"/>
      <c r="L1303" s="17"/>
    </row>
    <row r="1304" spans="1:12">
      <c r="A1304" s="50"/>
      <c r="B1304" s="49">
        <v>8</v>
      </c>
      <c r="C1304" s="19" t="s">
        <v>285</v>
      </c>
      <c r="D1304" s="20">
        <v>0</v>
      </c>
      <c r="E1304" s="21">
        <v>1</v>
      </c>
      <c r="F1304" s="20">
        <f t="shared" si="134"/>
        <v>0</v>
      </c>
      <c r="G1304" s="21">
        <v>290000</v>
      </c>
      <c r="H1304" s="20">
        <f t="shared" si="135"/>
        <v>0</v>
      </c>
      <c r="I1304" s="2"/>
      <c r="J1304" s="17"/>
      <c r="K1304" s="17"/>
      <c r="L1304" s="17"/>
    </row>
    <row r="1305" spans="1:12">
      <c r="A1305" s="50"/>
      <c r="B1305" s="49">
        <v>9</v>
      </c>
      <c r="C1305" s="19"/>
      <c r="D1305" s="20">
        <v>0</v>
      </c>
      <c r="E1305" s="21">
        <v>1</v>
      </c>
      <c r="F1305" s="20">
        <f t="shared" si="134"/>
        <v>0</v>
      </c>
      <c r="G1305" s="21">
        <v>109</v>
      </c>
      <c r="H1305" s="20">
        <f t="shared" si="135"/>
        <v>0</v>
      </c>
      <c r="I1305" s="2"/>
      <c r="J1305" s="17"/>
      <c r="K1305" s="17"/>
      <c r="L1305" s="17"/>
    </row>
    <row r="1306" spans="1:12">
      <c r="A1306" s="50"/>
      <c r="B1306" s="49">
        <v>10</v>
      </c>
      <c r="C1306" s="19"/>
      <c r="D1306" s="20">
        <v>0</v>
      </c>
      <c r="E1306" s="21">
        <v>1</v>
      </c>
      <c r="F1306" s="20">
        <f t="shared" si="134"/>
        <v>0</v>
      </c>
      <c r="G1306" s="21">
        <v>110</v>
      </c>
      <c r="H1306" s="20">
        <f t="shared" si="135"/>
        <v>0</v>
      </c>
      <c r="I1306" s="2"/>
      <c r="J1306" s="17"/>
      <c r="K1306" s="17"/>
      <c r="L1306" s="17"/>
    </row>
    <row r="1307" spans="1:12">
      <c r="A1307" s="50"/>
      <c r="B1307" s="49">
        <v>11</v>
      </c>
      <c r="C1307" s="19"/>
      <c r="D1307" s="20">
        <v>0</v>
      </c>
      <c r="E1307" s="21">
        <v>1</v>
      </c>
      <c r="F1307" s="20">
        <f>D1307*E1307</f>
        <v>0</v>
      </c>
      <c r="G1307" s="21">
        <v>102</v>
      </c>
      <c r="H1307" s="20">
        <f>F1307*G1307</f>
        <v>0</v>
      </c>
      <c r="I1307" s="2"/>
      <c r="J1307" s="17"/>
      <c r="K1307" s="17"/>
      <c r="L1307" s="17"/>
    </row>
    <row r="1308" spans="1:12">
      <c r="A1308" s="50"/>
      <c r="B1308" s="49"/>
      <c r="C1308" s="14" t="s">
        <v>695</v>
      </c>
      <c r="D1308" s="20"/>
      <c r="F1308" s="20"/>
      <c r="H1308" s="25">
        <f>SUM(H1297:H1307)</f>
        <v>0</v>
      </c>
      <c r="I1308" s="2"/>
      <c r="J1308" s="17"/>
      <c r="K1308" s="17"/>
      <c r="L1308" s="17"/>
    </row>
    <row r="1309" spans="1:12">
      <c r="A1309" s="50"/>
      <c r="B1309" s="51"/>
      <c r="C1309" s="14"/>
      <c r="D1309" s="20"/>
      <c r="F1309" s="20"/>
      <c r="H1309" s="20"/>
      <c r="I1309" s="2"/>
      <c r="J1309" s="17"/>
      <c r="K1309" s="17"/>
      <c r="L1309" s="17"/>
    </row>
    <row r="1310" spans="1:12">
      <c r="A1310" s="50"/>
      <c r="B1310" s="51"/>
      <c r="C1310" s="14" t="s">
        <v>696</v>
      </c>
      <c r="D1310" s="20"/>
      <c r="F1310" s="20"/>
      <c r="H1310" s="20"/>
      <c r="I1310" s="2"/>
      <c r="J1310" s="17"/>
      <c r="K1310" s="17"/>
      <c r="L1310" s="17"/>
    </row>
    <row r="1311" spans="1:12">
      <c r="A1311" s="50"/>
      <c r="B1311" s="49">
        <v>1</v>
      </c>
      <c r="C1311" s="19" t="s">
        <v>287</v>
      </c>
      <c r="D1311" s="20">
        <v>0</v>
      </c>
      <c r="E1311" s="21">
        <v>1</v>
      </c>
      <c r="F1311" s="20">
        <f>D1311*E1311</f>
        <v>0</v>
      </c>
      <c r="G1311" s="69">
        <v>22076</v>
      </c>
      <c r="H1311" s="20">
        <f>F1311*G1311</f>
        <v>0</v>
      </c>
      <c r="I1311" s="2"/>
      <c r="J1311" s="17"/>
      <c r="K1311" s="17"/>
      <c r="L1311" s="17"/>
    </row>
    <row r="1312" spans="1:12">
      <c r="A1312" s="50"/>
      <c r="B1312" s="49">
        <v>2</v>
      </c>
      <c r="C1312" s="19" t="s">
        <v>219</v>
      </c>
      <c r="D1312" s="20">
        <v>1</v>
      </c>
      <c r="E1312" s="21">
        <v>1</v>
      </c>
      <c r="F1312" s="20">
        <f t="shared" ref="F1312:F1353" si="136">D1312*E1312</f>
        <v>1</v>
      </c>
      <c r="G1312" s="69">
        <v>12507</v>
      </c>
      <c r="H1312" s="20">
        <f t="shared" ref="H1312:H1353" si="137">F1312*G1312</f>
        <v>12507</v>
      </c>
      <c r="I1312" s="2"/>
      <c r="J1312" s="17"/>
      <c r="K1312" s="17"/>
      <c r="L1312" s="17"/>
    </row>
    <row r="1313" spans="1:12">
      <c r="A1313" s="50"/>
      <c r="B1313" s="49">
        <v>3</v>
      </c>
      <c r="C1313" s="19" t="s">
        <v>223</v>
      </c>
      <c r="D1313" s="20">
        <v>0</v>
      </c>
      <c r="E1313" s="21">
        <v>1</v>
      </c>
      <c r="F1313" s="20">
        <f t="shared" si="136"/>
        <v>0</v>
      </c>
      <c r="G1313" s="69">
        <v>31769</v>
      </c>
      <c r="H1313" s="20">
        <f t="shared" si="137"/>
        <v>0</v>
      </c>
      <c r="I1313" s="2"/>
      <c r="J1313" s="17"/>
      <c r="K1313" s="17"/>
      <c r="L1313" s="17"/>
    </row>
    <row r="1314" spans="1:12">
      <c r="A1314" s="50"/>
      <c r="B1314" s="49">
        <v>4</v>
      </c>
      <c r="C1314" s="19" t="s">
        <v>288</v>
      </c>
      <c r="D1314" s="20">
        <v>1</v>
      </c>
      <c r="E1314" s="21">
        <v>1</v>
      </c>
      <c r="F1314" s="20">
        <f t="shared" si="136"/>
        <v>1</v>
      </c>
      <c r="G1314" s="69">
        <v>11538</v>
      </c>
      <c r="H1314" s="20">
        <f t="shared" si="137"/>
        <v>11538</v>
      </c>
      <c r="I1314" s="2"/>
      <c r="J1314" s="17"/>
      <c r="K1314" s="17"/>
      <c r="L1314" s="17"/>
    </row>
    <row r="1315" spans="1:12">
      <c r="A1315" s="50"/>
      <c r="B1315" s="49">
        <v>5</v>
      </c>
      <c r="C1315" s="19" t="s">
        <v>220</v>
      </c>
      <c r="D1315" s="20">
        <v>1</v>
      </c>
      <c r="E1315" s="21">
        <v>1</v>
      </c>
      <c r="F1315" s="20">
        <f t="shared" si="136"/>
        <v>1</v>
      </c>
      <c r="G1315" s="69">
        <v>12507</v>
      </c>
      <c r="H1315" s="20">
        <f t="shared" si="137"/>
        <v>12507</v>
      </c>
      <c r="I1315" s="2"/>
      <c r="J1315" s="17"/>
      <c r="K1315" s="17"/>
      <c r="L1315" s="17"/>
    </row>
    <row r="1316" spans="1:12">
      <c r="A1316" s="50"/>
      <c r="B1316" s="49">
        <v>6</v>
      </c>
      <c r="C1316" s="19" t="s">
        <v>221</v>
      </c>
      <c r="D1316" s="20">
        <v>0</v>
      </c>
      <c r="E1316" s="21">
        <v>1</v>
      </c>
      <c r="F1316" s="20">
        <f t="shared" si="136"/>
        <v>0</v>
      </c>
      <c r="G1316" s="69">
        <v>12507</v>
      </c>
      <c r="H1316" s="20">
        <f t="shared" si="137"/>
        <v>0</v>
      </c>
      <c r="I1316" s="2"/>
      <c r="J1316" s="17"/>
      <c r="K1316" s="17"/>
      <c r="L1316" s="17"/>
    </row>
    <row r="1317" spans="1:12">
      <c r="A1317" s="50"/>
      <c r="B1317" s="49">
        <v>7</v>
      </c>
      <c r="C1317" s="19" t="s">
        <v>289</v>
      </c>
      <c r="D1317" s="20">
        <v>0</v>
      </c>
      <c r="E1317" s="21">
        <v>1</v>
      </c>
      <c r="F1317" s="20">
        <f t="shared" si="136"/>
        <v>0</v>
      </c>
      <c r="G1317" s="69">
        <v>12507</v>
      </c>
      <c r="H1317" s="20">
        <f t="shared" si="137"/>
        <v>0</v>
      </c>
      <c r="I1317" s="2"/>
      <c r="J1317" s="17"/>
      <c r="K1317" s="17"/>
      <c r="L1317" s="17"/>
    </row>
    <row r="1318" spans="1:12">
      <c r="A1318" s="50"/>
      <c r="B1318" s="49">
        <v>8</v>
      </c>
      <c r="C1318" s="19" t="s">
        <v>290</v>
      </c>
      <c r="D1318" s="20">
        <v>0</v>
      </c>
      <c r="E1318" s="21">
        <v>1</v>
      </c>
      <c r="F1318" s="20">
        <f t="shared" si="136"/>
        <v>0</v>
      </c>
      <c r="G1318" s="69">
        <v>12507</v>
      </c>
      <c r="H1318" s="20">
        <f t="shared" si="137"/>
        <v>0</v>
      </c>
      <c r="I1318" s="2"/>
      <c r="J1318" s="17"/>
      <c r="K1318" s="17"/>
      <c r="L1318" s="17"/>
    </row>
    <row r="1319" spans="1:12">
      <c r="A1319" s="50"/>
      <c r="B1319" s="49">
        <v>9</v>
      </c>
      <c r="C1319" s="19" t="s">
        <v>291</v>
      </c>
      <c r="D1319" s="20">
        <v>0</v>
      </c>
      <c r="E1319" s="21">
        <v>1</v>
      </c>
      <c r="F1319" s="20">
        <f t="shared" si="136"/>
        <v>0</v>
      </c>
      <c r="G1319" s="69">
        <v>12507</v>
      </c>
      <c r="H1319" s="20">
        <f t="shared" si="137"/>
        <v>0</v>
      </c>
      <c r="I1319" s="2"/>
      <c r="J1319" s="17"/>
      <c r="K1319" s="17"/>
      <c r="L1319" s="17"/>
    </row>
    <row r="1320" spans="1:12">
      <c r="A1320" s="50"/>
      <c r="B1320" s="49">
        <v>10</v>
      </c>
      <c r="C1320" s="19" t="s">
        <v>292</v>
      </c>
      <c r="D1320" s="20">
        <v>0</v>
      </c>
      <c r="E1320" s="21">
        <v>1</v>
      </c>
      <c r="F1320" s="20">
        <f t="shared" si="136"/>
        <v>0</v>
      </c>
      <c r="G1320" s="69">
        <v>12507</v>
      </c>
      <c r="H1320" s="20">
        <f t="shared" si="137"/>
        <v>0</v>
      </c>
      <c r="I1320" s="2"/>
      <c r="J1320" s="17"/>
      <c r="K1320" s="17"/>
      <c r="L1320" s="17"/>
    </row>
    <row r="1321" spans="1:12">
      <c r="A1321" s="50"/>
      <c r="B1321" s="49">
        <v>11</v>
      </c>
      <c r="C1321" s="19" t="s">
        <v>293</v>
      </c>
      <c r="D1321" s="20">
        <v>1</v>
      </c>
      <c r="E1321" s="21">
        <v>1</v>
      </c>
      <c r="F1321" s="20">
        <f t="shared" si="136"/>
        <v>1</v>
      </c>
      <c r="G1321" s="69">
        <v>12507</v>
      </c>
      <c r="H1321" s="20">
        <f t="shared" si="137"/>
        <v>12507</v>
      </c>
      <c r="I1321" s="2"/>
      <c r="J1321" s="17"/>
      <c r="K1321" s="17"/>
      <c r="L1321" s="17"/>
    </row>
    <row r="1322" spans="1:12">
      <c r="A1322" s="50"/>
      <c r="B1322" s="49">
        <v>12</v>
      </c>
      <c r="C1322" s="19" t="s">
        <v>294</v>
      </c>
      <c r="D1322" s="20">
        <v>1</v>
      </c>
      <c r="E1322" s="21">
        <v>1</v>
      </c>
      <c r="F1322" s="20">
        <f t="shared" si="136"/>
        <v>1</v>
      </c>
      <c r="G1322" s="69">
        <v>12507</v>
      </c>
      <c r="H1322" s="20">
        <f t="shared" si="137"/>
        <v>12507</v>
      </c>
      <c r="I1322" s="2"/>
      <c r="J1322" s="17"/>
      <c r="K1322" s="17"/>
      <c r="L1322" s="17"/>
    </row>
    <row r="1323" spans="1:12">
      <c r="A1323" s="50"/>
      <c r="B1323" s="49">
        <v>13</v>
      </c>
      <c r="C1323" s="19" t="s">
        <v>295</v>
      </c>
      <c r="D1323" s="20">
        <v>0</v>
      </c>
      <c r="E1323" s="21">
        <v>1</v>
      </c>
      <c r="F1323" s="20">
        <f t="shared" si="136"/>
        <v>0</v>
      </c>
      <c r="G1323" s="69">
        <v>12507</v>
      </c>
      <c r="H1323" s="20">
        <f t="shared" si="137"/>
        <v>0</v>
      </c>
      <c r="I1323" s="2"/>
      <c r="J1323" s="17"/>
      <c r="K1323" s="17"/>
      <c r="L1323" s="17"/>
    </row>
    <row r="1324" spans="1:12">
      <c r="A1324" s="50"/>
      <c r="B1324" s="49">
        <v>14</v>
      </c>
      <c r="C1324" s="19" t="s">
        <v>296</v>
      </c>
      <c r="D1324" s="20">
        <v>0</v>
      </c>
      <c r="E1324" s="21">
        <v>1</v>
      </c>
      <c r="F1324" s="20">
        <f t="shared" si="136"/>
        <v>0</v>
      </c>
      <c r="G1324" s="69">
        <v>12507</v>
      </c>
      <c r="H1324" s="20">
        <f t="shared" si="137"/>
        <v>0</v>
      </c>
      <c r="I1324" s="2"/>
      <c r="J1324" s="17"/>
      <c r="K1324" s="17"/>
      <c r="L1324" s="17"/>
    </row>
    <row r="1325" spans="1:12">
      <c r="A1325" s="50"/>
      <c r="B1325" s="49">
        <v>15</v>
      </c>
      <c r="C1325" s="19" t="s">
        <v>297</v>
      </c>
      <c r="D1325" s="20">
        <v>0</v>
      </c>
      <c r="E1325" s="21">
        <v>1</v>
      </c>
      <c r="F1325" s="20">
        <f t="shared" si="136"/>
        <v>0</v>
      </c>
      <c r="G1325" s="69">
        <v>12507</v>
      </c>
      <c r="H1325" s="20">
        <f t="shared" si="137"/>
        <v>0</v>
      </c>
      <c r="I1325" s="2"/>
      <c r="J1325" s="17"/>
      <c r="K1325" s="17"/>
      <c r="L1325" s="17"/>
    </row>
    <row r="1326" spans="1:12">
      <c r="A1326" s="50"/>
      <c r="B1326" s="49">
        <v>16</v>
      </c>
      <c r="C1326" s="19" t="s">
        <v>298</v>
      </c>
      <c r="D1326" s="20">
        <v>0</v>
      </c>
      <c r="E1326" s="21">
        <v>1</v>
      </c>
      <c r="F1326" s="20">
        <f t="shared" si="136"/>
        <v>0</v>
      </c>
      <c r="G1326" s="69">
        <v>12507</v>
      </c>
      <c r="H1326" s="20">
        <f t="shared" si="137"/>
        <v>0</v>
      </c>
      <c r="I1326" s="2"/>
      <c r="J1326" s="17"/>
      <c r="K1326" s="17"/>
      <c r="L1326" s="17"/>
    </row>
    <row r="1327" spans="1:12">
      <c r="A1327" s="50"/>
      <c r="B1327" s="49">
        <v>17</v>
      </c>
      <c r="C1327" s="19" t="s">
        <v>299</v>
      </c>
      <c r="D1327" s="20">
        <v>0</v>
      </c>
      <c r="E1327" s="21">
        <v>1</v>
      </c>
      <c r="F1327" s="20">
        <f t="shared" si="136"/>
        <v>0</v>
      </c>
      <c r="G1327" s="69">
        <v>12507</v>
      </c>
      <c r="H1327" s="20">
        <f t="shared" si="137"/>
        <v>0</v>
      </c>
      <c r="I1327" s="2"/>
      <c r="J1327" s="17"/>
      <c r="K1327" s="17"/>
      <c r="L1327" s="17"/>
    </row>
    <row r="1328" spans="1:12">
      <c r="A1328" s="50"/>
      <c r="B1328" s="49">
        <v>18</v>
      </c>
      <c r="C1328" s="19" t="s">
        <v>300</v>
      </c>
      <c r="D1328" s="20">
        <v>0</v>
      </c>
      <c r="E1328" s="21">
        <v>1</v>
      </c>
      <c r="F1328" s="20">
        <f t="shared" si="136"/>
        <v>0</v>
      </c>
      <c r="G1328" s="69">
        <v>12507</v>
      </c>
      <c r="H1328" s="20">
        <f t="shared" si="137"/>
        <v>0</v>
      </c>
      <c r="I1328" s="2"/>
      <c r="J1328" s="17"/>
      <c r="K1328" s="17"/>
      <c r="L1328" s="17"/>
    </row>
    <row r="1329" spans="1:12">
      <c r="A1329" s="50"/>
      <c r="B1329" s="49">
        <v>19</v>
      </c>
      <c r="C1329" s="19" t="s">
        <v>301</v>
      </c>
      <c r="D1329" s="20">
        <v>0</v>
      </c>
      <c r="E1329" s="21">
        <v>1</v>
      </c>
      <c r="F1329" s="20">
        <f t="shared" si="136"/>
        <v>0</v>
      </c>
      <c r="G1329" s="69">
        <v>12507</v>
      </c>
      <c r="H1329" s="20">
        <f t="shared" si="137"/>
        <v>0</v>
      </c>
      <c r="I1329" s="2"/>
      <c r="J1329" s="17"/>
      <c r="K1329" s="17"/>
      <c r="L1329" s="17"/>
    </row>
    <row r="1330" spans="1:12">
      <c r="A1330" s="50"/>
      <c r="B1330" s="49">
        <v>20</v>
      </c>
      <c r="C1330" s="19" t="s">
        <v>302</v>
      </c>
      <c r="D1330" s="20">
        <v>0</v>
      </c>
      <c r="E1330" s="21">
        <v>1</v>
      </c>
      <c r="F1330" s="20">
        <f t="shared" si="136"/>
        <v>0</v>
      </c>
      <c r="G1330" s="69">
        <v>12507</v>
      </c>
      <c r="H1330" s="20">
        <f t="shared" si="137"/>
        <v>0</v>
      </c>
      <c r="I1330" s="2"/>
      <c r="J1330" s="17"/>
      <c r="K1330" s="17"/>
      <c r="L1330" s="17"/>
    </row>
    <row r="1331" spans="1:12">
      <c r="A1331" s="50"/>
      <c r="B1331" s="49">
        <v>21</v>
      </c>
      <c r="C1331" s="19" t="s">
        <v>303</v>
      </c>
      <c r="D1331" s="20">
        <v>0</v>
      </c>
      <c r="E1331" s="21">
        <v>1</v>
      </c>
      <c r="F1331" s="20">
        <f t="shared" si="136"/>
        <v>0</v>
      </c>
      <c r="G1331" s="69">
        <v>19231</v>
      </c>
      <c r="H1331" s="20">
        <f t="shared" si="137"/>
        <v>0</v>
      </c>
      <c r="I1331" s="2"/>
      <c r="J1331" s="17"/>
      <c r="K1331" s="17"/>
      <c r="L1331" s="17"/>
    </row>
    <row r="1332" spans="1:12">
      <c r="A1332" s="50"/>
      <c r="B1332" s="49">
        <v>22</v>
      </c>
      <c r="C1332" s="19" t="s">
        <v>304</v>
      </c>
      <c r="D1332" s="20">
        <v>0</v>
      </c>
      <c r="E1332" s="21">
        <v>1</v>
      </c>
      <c r="F1332" s="20">
        <f t="shared" si="136"/>
        <v>0</v>
      </c>
      <c r="G1332" s="69">
        <v>12507</v>
      </c>
      <c r="H1332" s="20">
        <f t="shared" si="137"/>
        <v>0</v>
      </c>
      <c r="I1332" s="2"/>
      <c r="J1332" s="17"/>
      <c r="K1332" s="17"/>
      <c r="L1332" s="17"/>
    </row>
    <row r="1333" spans="1:12">
      <c r="A1333" s="50"/>
      <c r="B1333" s="49">
        <v>23</v>
      </c>
      <c r="C1333" s="19" t="s">
        <v>305</v>
      </c>
      <c r="D1333" s="20">
        <v>0</v>
      </c>
      <c r="E1333" s="21">
        <v>1</v>
      </c>
      <c r="F1333" s="20">
        <f t="shared" si="136"/>
        <v>0</v>
      </c>
      <c r="G1333" s="69">
        <v>12507</v>
      </c>
      <c r="H1333" s="20">
        <f t="shared" si="137"/>
        <v>0</v>
      </c>
      <c r="I1333" s="2"/>
      <c r="J1333" s="17"/>
      <c r="K1333" s="17"/>
      <c r="L1333" s="17"/>
    </row>
    <row r="1334" spans="1:12">
      <c r="A1334" s="50"/>
      <c r="B1334" s="49">
        <v>24</v>
      </c>
      <c r="C1334" s="19" t="s">
        <v>306</v>
      </c>
      <c r="D1334" s="20">
        <v>0</v>
      </c>
      <c r="E1334" s="21">
        <v>1</v>
      </c>
      <c r="F1334" s="20">
        <f t="shared" si="136"/>
        <v>0</v>
      </c>
      <c r="G1334" s="69">
        <v>12507</v>
      </c>
      <c r="H1334" s="20">
        <f t="shared" si="137"/>
        <v>0</v>
      </c>
      <c r="I1334" s="2"/>
      <c r="J1334" s="17"/>
      <c r="K1334" s="17"/>
      <c r="L1334" s="17"/>
    </row>
    <row r="1335" spans="1:12">
      <c r="A1335" s="50"/>
      <c r="B1335" s="49">
        <v>25</v>
      </c>
      <c r="C1335" s="19" t="s">
        <v>307</v>
      </c>
      <c r="D1335" s="20">
        <v>0</v>
      </c>
      <c r="E1335" s="21">
        <v>1</v>
      </c>
      <c r="F1335" s="20">
        <f t="shared" si="136"/>
        <v>0</v>
      </c>
      <c r="G1335" s="69">
        <v>12507</v>
      </c>
      <c r="H1335" s="20">
        <f t="shared" si="137"/>
        <v>0</v>
      </c>
      <c r="I1335" s="2"/>
      <c r="J1335" s="17"/>
      <c r="K1335" s="17"/>
      <c r="L1335" s="17"/>
    </row>
    <row r="1336" spans="1:12">
      <c r="A1336" s="50"/>
      <c r="B1336" s="49">
        <v>26</v>
      </c>
      <c r="C1336" s="19" t="s">
        <v>308</v>
      </c>
      <c r="D1336" s="20">
        <v>0</v>
      </c>
      <c r="E1336" s="21">
        <v>1</v>
      </c>
      <c r="F1336" s="20">
        <f t="shared" si="136"/>
        <v>0</v>
      </c>
      <c r="G1336" s="69">
        <v>12507</v>
      </c>
      <c r="H1336" s="20">
        <f t="shared" si="137"/>
        <v>0</v>
      </c>
      <c r="I1336" s="2"/>
      <c r="J1336" s="17"/>
      <c r="K1336" s="17"/>
      <c r="L1336" s="17"/>
    </row>
    <row r="1337" spans="1:12">
      <c r="A1337" s="50"/>
      <c r="B1337" s="49">
        <v>27</v>
      </c>
      <c r="C1337" s="19" t="s">
        <v>309</v>
      </c>
      <c r="D1337" s="20">
        <v>0</v>
      </c>
      <c r="E1337" s="21">
        <v>1</v>
      </c>
      <c r="F1337" s="20">
        <f t="shared" si="136"/>
        <v>0</v>
      </c>
      <c r="G1337" s="69">
        <v>53846</v>
      </c>
      <c r="H1337" s="20">
        <f t="shared" si="137"/>
        <v>0</v>
      </c>
      <c r="I1337" s="2"/>
      <c r="J1337" s="17"/>
      <c r="K1337" s="17"/>
      <c r="L1337" s="17"/>
    </row>
    <row r="1338" spans="1:12">
      <c r="A1338" s="50"/>
      <c r="B1338" s="49">
        <v>28</v>
      </c>
      <c r="C1338" s="19" t="s">
        <v>310</v>
      </c>
      <c r="D1338" s="20">
        <v>0</v>
      </c>
      <c r="E1338" s="21">
        <v>1</v>
      </c>
      <c r="F1338" s="20">
        <f t="shared" si="136"/>
        <v>0</v>
      </c>
      <c r="G1338" s="69">
        <v>22076</v>
      </c>
      <c r="H1338" s="20">
        <f t="shared" si="137"/>
        <v>0</v>
      </c>
      <c r="I1338" s="2"/>
      <c r="J1338" s="17"/>
      <c r="K1338" s="17"/>
      <c r="L1338" s="17"/>
    </row>
    <row r="1339" spans="1:12">
      <c r="A1339" s="50"/>
      <c r="B1339" s="49">
        <v>29</v>
      </c>
      <c r="C1339" s="19" t="s">
        <v>72</v>
      </c>
      <c r="D1339" s="20">
        <v>0</v>
      </c>
      <c r="E1339" s="21">
        <v>1</v>
      </c>
      <c r="F1339" s="20">
        <f t="shared" si="136"/>
        <v>0</v>
      </c>
      <c r="G1339" s="69">
        <v>22076</v>
      </c>
      <c r="H1339" s="20">
        <f t="shared" si="137"/>
        <v>0</v>
      </c>
      <c r="I1339" s="2"/>
      <c r="J1339" s="17"/>
      <c r="K1339" s="17"/>
      <c r="L1339" s="17"/>
    </row>
    <row r="1340" spans="1:12">
      <c r="A1340" s="50"/>
      <c r="B1340" s="49">
        <v>30</v>
      </c>
      <c r="C1340" s="19" t="s">
        <v>311</v>
      </c>
      <c r="D1340" s="20">
        <v>0</v>
      </c>
      <c r="E1340" s="21">
        <v>1</v>
      </c>
      <c r="F1340" s="20">
        <f t="shared" si="136"/>
        <v>0</v>
      </c>
      <c r="G1340" s="69">
        <v>12507</v>
      </c>
      <c r="H1340" s="20">
        <f t="shared" si="137"/>
        <v>0</v>
      </c>
      <c r="I1340" s="2"/>
      <c r="J1340" s="17"/>
      <c r="K1340" s="17"/>
      <c r="L1340" s="17"/>
    </row>
    <row r="1341" spans="1:12">
      <c r="A1341" s="50"/>
      <c r="B1341" s="49">
        <v>31</v>
      </c>
      <c r="C1341" s="19" t="s">
        <v>312</v>
      </c>
      <c r="D1341" s="20">
        <v>0</v>
      </c>
      <c r="E1341" s="21">
        <v>1</v>
      </c>
      <c r="F1341" s="20">
        <f t="shared" si="136"/>
        <v>0</v>
      </c>
      <c r="G1341" s="69">
        <v>18461</v>
      </c>
      <c r="H1341" s="20">
        <f t="shared" si="137"/>
        <v>0</v>
      </c>
      <c r="I1341" s="2"/>
      <c r="J1341" s="17"/>
      <c r="K1341" s="17"/>
      <c r="L1341" s="17"/>
    </row>
    <row r="1342" spans="1:12">
      <c r="A1342" s="50"/>
      <c r="B1342" s="49">
        <v>32</v>
      </c>
      <c r="C1342" s="19" t="s">
        <v>73</v>
      </c>
      <c r="D1342" s="20">
        <v>0</v>
      </c>
      <c r="E1342" s="21">
        <v>1</v>
      </c>
      <c r="F1342" s="20">
        <f t="shared" si="136"/>
        <v>0</v>
      </c>
      <c r="G1342" s="69">
        <v>12507</v>
      </c>
      <c r="H1342" s="20">
        <f t="shared" si="137"/>
        <v>0</v>
      </c>
      <c r="I1342" s="2"/>
      <c r="J1342" s="17"/>
      <c r="K1342" s="17"/>
      <c r="L1342" s="17"/>
    </row>
    <row r="1343" spans="1:12">
      <c r="A1343" s="50"/>
      <c r="B1343" s="49">
        <v>33</v>
      </c>
      <c r="C1343" s="19" t="s">
        <v>71</v>
      </c>
      <c r="D1343" s="20">
        <v>0</v>
      </c>
      <c r="E1343" s="21">
        <v>1</v>
      </c>
      <c r="F1343" s="20">
        <f t="shared" si="136"/>
        <v>0</v>
      </c>
      <c r="G1343" s="69">
        <v>22076</v>
      </c>
      <c r="H1343" s="20">
        <f t="shared" si="137"/>
        <v>0</v>
      </c>
      <c r="I1343" s="2"/>
      <c r="J1343" s="17"/>
      <c r="K1343" s="17"/>
      <c r="L1343" s="17"/>
    </row>
    <row r="1344" spans="1:12">
      <c r="A1344" s="50"/>
      <c r="B1344" s="49">
        <v>34</v>
      </c>
      <c r="C1344" s="19" t="s">
        <v>313</v>
      </c>
      <c r="D1344" s="20">
        <v>0</v>
      </c>
      <c r="E1344" s="21">
        <v>1</v>
      </c>
      <c r="F1344" s="20">
        <f t="shared" si="136"/>
        <v>0</v>
      </c>
      <c r="G1344" s="69">
        <v>22076</v>
      </c>
      <c r="H1344" s="20">
        <f t="shared" si="137"/>
        <v>0</v>
      </c>
      <c r="I1344" s="2"/>
      <c r="J1344" s="17"/>
      <c r="K1344" s="17"/>
      <c r="L1344" s="17"/>
    </row>
    <row r="1345" spans="1:12">
      <c r="A1345" s="50"/>
      <c r="B1345" s="49">
        <v>35</v>
      </c>
      <c r="C1345" s="19" t="s">
        <v>314</v>
      </c>
      <c r="D1345" s="20">
        <v>0</v>
      </c>
      <c r="E1345" s="21">
        <v>1</v>
      </c>
      <c r="F1345" s="20">
        <f t="shared" si="136"/>
        <v>0</v>
      </c>
      <c r="G1345" s="69">
        <v>61538</v>
      </c>
      <c r="H1345" s="20">
        <f t="shared" si="137"/>
        <v>0</v>
      </c>
      <c r="I1345" s="2"/>
      <c r="J1345" s="17"/>
      <c r="K1345" s="17"/>
      <c r="L1345" s="17"/>
    </row>
    <row r="1346" spans="1:12">
      <c r="A1346" s="50"/>
      <c r="B1346" s="49">
        <v>36</v>
      </c>
      <c r="C1346" s="19" t="s">
        <v>315</v>
      </c>
      <c r="D1346" s="20">
        <v>0</v>
      </c>
      <c r="E1346" s="21">
        <v>1</v>
      </c>
      <c r="F1346" s="20">
        <f t="shared" si="136"/>
        <v>0</v>
      </c>
      <c r="G1346" s="69">
        <v>3846</v>
      </c>
      <c r="H1346" s="20">
        <f t="shared" si="137"/>
        <v>0</v>
      </c>
      <c r="I1346" s="2"/>
      <c r="J1346" s="17"/>
      <c r="K1346" s="17"/>
      <c r="L1346" s="17"/>
    </row>
    <row r="1347" spans="1:12">
      <c r="A1347" s="50"/>
      <c r="B1347" s="49">
        <v>37</v>
      </c>
      <c r="C1347" s="19" t="s">
        <v>316</v>
      </c>
      <c r="D1347" s="20">
        <v>0</v>
      </c>
      <c r="E1347" s="21">
        <v>1</v>
      </c>
      <c r="F1347" s="20">
        <f t="shared" si="136"/>
        <v>0</v>
      </c>
      <c r="G1347" s="69">
        <v>7692</v>
      </c>
      <c r="H1347" s="20">
        <f t="shared" si="137"/>
        <v>0</v>
      </c>
      <c r="I1347" s="2"/>
      <c r="J1347" s="17"/>
      <c r="K1347" s="17"/>
      <c r="L1347" s="17"/>
    </row>
    <row r="1348" spans="1:12">
      <c r="A1348" s="50"/>
      <c r="B1348" s="49">
        <v>38</v>
      </c>
      <c r="C1348" s="19" t="s">
        <v>317</v>
      </c>
      <c r="D1348" s="20">
        <v>0</v>
      </c>
      <c r="E1348" s="21">
        <v>1</v>
      </c>
      <c r="F1348" s="20">
        <f t="shared" si="136"/>
        <v>0</v>
      </c>
      <c r="G1348" s="69">
        <v>46153</v>
      </c>
      <c r="H1348" s="20">
        <f t="shared" si="137"/>
        <v>0</v>
      </c>
      <c r="I1348" s="2"/>
      <c r="J1348" s="17"/>
      <c r="K1348" s="17"/>
      <c r="L1348" s="17"/>
    </row>
    <row r="1349" spans="1:12">
      <c r="A1349" s="50"/>
      <c r="B1349" s="49">
        <v>39</v>
      </c>
      <c r="C1349" s="19" t="s">
        <v>318</v>
      </c>
      <c r="D1349" s="20">
        <v>0</v>
      </c>
      <c r="E1349" s="21">
        <v>1</v>
      </c>
      <c r="F1349" s="20">
        <f t="shared" si="136"/>
        <v>0</v>
      </c>
      <c r="G1349" s="69">
        <v>600000</v>
      </c>
      <c r="H1349" s="20">
        <f t="shared" si="137"/>
        <v>0</v>
      </c>
      <c r="I1349" s="2"/>
      <c r="J1349" s="17"/>
      <c r="K1349" s="17"/>
      <c r="L1349" s="17"/>
    </row>
    <row r="1350" spans="1:12">
      <c r="A1350" s="50"/>
      <c r="B1350" s="49">
        <v>40</v>
      </c>
      <c r="C1350" s="19" t="s">
        <v>319</v>
      </c>
      <c r="D1350" s="20">
        <v>0</v>
      </c>
      <c r="E1350" s="21">
        <v>1</v>
      </c>
      <c r="F1350" s="20">
        <f t="shared" si="136"/>
        <v>0</v>
      </c>
      <c r="G1350" s="69">
        <v>157692</v>
      </c>
      <c r="H1350" s="20">
        <f t="shared" si="137"/>
        <v>0</v>
      </c>
      <c r="I1350" s="2"/>
      <c r="J1350" s="17"/>
      <c r="K1350" s="17"/>
      <c r="L1350" s="17"/>
    </row>
    <row r="1351" spans="1:12">
      <c r="A1351" s="50"/>
      <c r="B1351" s="49">
        <v>41</v>
      </c>
      <c r="C1351" s="19" t="s">
        <v>320</v>
      </c>
      <c r="D1351" s="20">
        <v>0</v>
      </c>
      <c r="E1351" s="21">
        <v>1</v>
      </c>
      <c r="F1351" s="20">
        <f t="shared" si="136"/>
        <v>0</v>
      </c>
      <c r="G1351" s="69">
        <v>269230</v>
      </c>
      <c r="H1351" s="20">
        <f t="shared" si="137"/>
        <v>0</v>
      </c>
      <c r="I1351" s="2"/>
      <c r="J1351" s="17"/>
      <c r="K1351" s="17"/>
      <c r="L1351" s="17"/>
    </row>
    <row r="1352" spans="1:12">
      <c r="A1352" s="50"/>
      <c r="B1352" s="49">
        <v>42</v>
      </c>
      <c r="C1352" s="19" t="s">
        <v>321</v>
      </c>
      <c r="D1352" s="20">
        <v>0</v>
      </c>
      <c r="E1352" s="21">
        <v>1</v>
      </c>
      <c r="F1352" s="20">
        <f t="shared" si="136"/>
        <v>0</v>
      </c>
      <c r="G1352" s="69">
        <v>192307</v>
      </c>
      <c r="H1352" s="20">
        <f t="shared" si="137"/>
        <v>0</v>
      </c>
      <c r="I1352" s="2"/>
      <c r="J1352" s="17"/>
      <c r="K1352" s="17"/>
      <c r="L1352" s="17"/>
    </row>
    <row r="1353" spans="1:12">
      <c r="A1353" s="50"/>
      <c r="B1353" s="49">
        <v>43</v>
      </c>
      <c r="C1353" s="19" t="s">
        <v>322</v>
      </c>
      <c r="D1353" s="20">
        <v>0</v>
      </c>
      <c r="E1353" s="21">
        <v>1</v>
      </c>
      <c r="F1353" s="20">
        <f t="shared" si="136"/>
        <v>0</v>
      </c>
      <c r="G1353" s="69">
        <v>31769</v>
      </c>
      <c r="H1353" s="20">
        <f t="shared" si="137"/>
        <v>0</v>
      </c>
      <c r="I1353" s="2"/>
      <c r="J1353" s="17"/>
      <c r="K1353" s="17"/>
      <c r="L1353" s="17"/>
    </row>
    <row r="1354" spans="1:12">
      <c r="A1354" s="50"/>
      <c r="B1354" s="49">
        <v>44</v>
      </c>
      <c r="C1354" s="19"/>
      <c r="D1354" s="20">
        <v>0</v>
      </c>
      <c r="E1354" s="21">
        <v>1</v>
      </c>
      <c r="F1354" s="20">
        <f>D1354*E1354</f>
        <v>0</v>
      </c>
      <c r="G1354" s="21">
        <v>102</v>
      </c>
      <c r="H1354" s="20">
        <f>F1354*G1354</f>
        <v>0</v>
      </c>
      <c r="I1354" s="2"/>
      <c r="J1354" s="17"/>
      <c r="K1354" s="17"/>
      <c r="L1354" s="17"/>
    </row>
    <row r="1355" spans="1:12">
      <c r="A1355" s="50"/>
      <c r="B1355" s="49"/>
      <c r="C1355" s="14" t="s">
        <v>697</v>
      </c>
      <c r="D1355" s="20"/>
      <c r="F1355" s="20"/>
      <c r="H1355" s="25">
        <f>SUM(H1311:H1354)</f>
        <v>61566</v>
      </c>
      <c r="I1355" s="2"/>
      <c r="J1355" s="17"/>
      <c r="K1355" s="17"/>
      <c r="L1355" s="17"/>
    </row>
    <row r="1356" spans="1:12">
      <c r="A1356" s="50"/>
      <c r="B1356" s="49"/>
      <c r="C1356" s="14"/>
      <c r="D1356" s="20"/>
      <c r="F1356" s="20"/>
      <c r="H1356" s="25"/>
      <c r="I1356" s="2"/>
      <c r="J1356" s="17"/>
      <c r="K1356" s="17"/>
      <c r="L1356" s="17"/>
    </row>
    <row r="1357" spans="1:12">
      <c r="A1357" s="50"/>
      <c r="B1357" s="51"/>
      <c r="C1357" s="14" t="s">
        <v>698</v>
      </c>
      <c r="D1357" s="20"/>
      <c r="F1357" s="20"/>
      <c r="H1357" s="20"/>
      <c r="I1357" s="2"/>
      <c r="J1357" s="17"/>
      <c r="K1357" s="17"/>
      <c r="L1357" s="17"/>
    </row>
    <row r="1358" spans="1:12">
      <c r="A1358" s="50"/>
      <c r="B1358" s="49">
        <v>1</v>
      </c>
      <c r="C1358" s="19"/>
      <c r="D1358" s="20">
        <v>0</v>
      </c>
      <c r="E1358" s="21">
        <v>1</v>
      </c>
      <c r="F1358" s="20">
        <f>D1358*E1358</f>
        <v>0</v>
      </c>
      <c r="G1358" s="21">
        <v>101</v>
      </c>
      <c r="H1358" s="20">
        <f>F1358*G1358</f>
        <v>0</v>
      </c>
      <c r="I1358" s="2"/>
      <c r="J1358" s="17"/>
      <c r="K1358" s="17"/>
      <c r="L1358" s="17"/>
    </row>
    <row r="1359" spans="1:12">
      <c r="A1359" s="50"/>
      <c r="B1359" s="49">
        <v>2</v>
      </c>
      <c r="C1359" s="19"/>
      <c r="D1359" s="20">
        <v>0</v>
      </c>
      <c r="E1359" s="21">
        <v>1</v>
      </c>
      <c r="F1359" s="20">
        <f>D1359*E1359</f>
        <v>0</v>
      </c>
      <c r="G1359" s="21">
        <v>102</v>
      </c>
      <c r="H1359" s="20">
        <f>F1359*G1359</f>
        <v>0</v>
      </c>
      <c r="I1359" s="2"/>
      <c r="J1359" s="17"/>
      <c r="K1359" s="17"/>
      <c r="L1359" s="17"/>
    </row>
    <row r="1360" spans="1:12">
      <c r="A1360" s="50"/>
      <c r="B1360" s="49"/>
      <c r="C1360" s="14" t="s">
        <v>699</v>
      </c>
      <c r="D1360" s="20"/>
      <c r="F1360" s="20"/>
      <c r="H1360" s="25">
        <f>SUM(H1358:H1359)</f>
        <v>0</v>
      </c>
      <c r="I1360" s="2"/>
      <c r="J1360" s="17"/>
      <c r="K1360" s="17"/>
      <c r="L1360" s="17"/>
    </row>
    <row r="1361" spans="1:12">
      <c r="A1361" s="50"/>
      <c r="B1361" s="49"/>
      <c r="C1361" s="14"/>
      <c r="D1361" s="20"/>
      <c r="F1361" s="20"/>
      <c r="H1361" s="25"/>
      <c r="I1361" s="2"/>
      <c r="J1361" s="17"/>
      <c r="K1361" s="17"/>
      <c r="L1361" s="17"/>
    </row>
    <row r="1362" spans="1:12">
      <c r="A1362" s="50"/>
      <c r="B1362" s="51"/>
      <c r="C1362" s="14" t="s">
        <v>700</v>
      </c>
      <c r="D1362" s="20"/>
      <c r="F1362" s="20"/>
      <c r="H1362" s="25">
        <f>H1274+H1279+H1284+H1289+H1294+H1308+H1355+H1360</f>
        <v>61566</v>
      </c>
      <c r="I1362" s="2"/>
      <c r="J1362" s="17"/>
      <c r="K1362" s="17"/>
      <c r="L1362" s="17"/>
    </row>
    <row r="1363" spans="1:12">
      <c r="A1363" s="50"/>
      <c r="B1363" s="51"/>
      <c r="C1363" s="14"/>
      <c r="D1363" s="20"/>
      <c r="F1363" s="20"/>
      <c r="H1363" s="20"/>
      <c r="I1363" s="2"/>
      <c r="J1363" s="17"/>
      <c r="K1363" s="17"/>
      <c r="L1363" s="17"/>
    </row>
    <row r="1364" spans="1:12">
      <c r="A1364" s="50"/>
      <c r="B1364" s="48" t="s">
        <v>701</v>
      </c>
      <c r="C1364" s="14" t="s">
        <v>702</v>
      </c>
      <c r="D1364" s="20"/>
      <c r="F1364" s="20"/>
      <c r="H1364" s="20"/>
      <c r="I1364" s="2"/>
      <c r="J1364" s="17"/>
      <c r="K1364" s="17"/>
      <c r="L1364" s="17"/>
    </row>
    <row r="1365" spans="1:12">
      <c r="A1365" s="50"/>
      <c r="B1365" s="49">
        <v>1</v>
      </c>
      <c r="C1365" s="19"/>
      <c r="D1365" s="20">
        <v>0</v>
      </c>
      <c r="E1365" s="21">
        <v>1</v>
      </c>
      <c r="F1365" s="20">
        <f>D1365*E1365</f>
        <v>0</v>
      </c>
      <c r="G1365" s="21">
        <v>101</v>
      </c>
      <c r="H1365" s="20">
        <f>F1365*G1365</f>
        <v>0</v>
      </c>
      <c r="I1365" s="2"/>
      <c r="J1365" s="17"/>
      <c r="K1365" s="17"/>
      <c r="L1365" s="17"/>
    </row>
    <row r="1366" spans="1:12">
      <c r="A1366" s="50"/>
      <c r="B1366" s="49">
        <v>2</v>
      </c>
      <c r="C1366" s="19"/>
      <c r="D1366" s="20">
        <v>0</v>
      </c>
      <c r="E1366" s="21">
        <v>1</v>
      </c>
      <c r="F1366" s="20">
        <f>D1366*E1366</f>
        <v>0</v>
      </c>
      <c r="G1366" s="21">
        <v>102</v>
      </c>
      <c r="H1366" s="20">
        <f>F1366*G1366</f>
        <v>0</v>
      </c>
      <c r="I1366" s="2"/>
      <c r="J1366" s="17"/>
      <c r="K1366" s="17"/>
      <c r="L1366" s="17"/>
    </row>
    <row r="1367" spans="1:12">
      <c r="A1367" s="50"/>
      <c r="B1367" s="49"/>
      <c r="C1367" s="14" t="s">
        <v>703</v>
      </c>
      <c r="D1367" s="20"/>
      <c r="F1367" s="20"/>
      <c r="H1367" s="25">
        <f>SUM(H1365:H1366)</f>
        <v>0</v>
      </c>
      <c r="I1367" s="2"/>
      <c r="J1367" s="17"/>
      <c r="K1367" s="17"/>
      <c r="L1367" s="17"/>
    </row>
    <row r="1368" spans="1:12">
      <c r="A1368" s="50"/>
      <c r="B1368" s="48"/>
      <c r="C1368" s="14"/>
      <c r="D1368" s="20"/>
      <c r="F1368" s="20"/>
      <c r="H1368" s="20"/>
      <c r="I1368" s="2"/>
      <c r="J1368" s="17"/>
      <c r="K1368" s="17"/>
      <c r="L1368" s="17"/>
    </row>
    <row r="1369" spans="1:12">
      <c r="A1369" s="50"/>
      <c r="B1369" s="51"/>
      <c r="C1369" s="14" t="s">
        <v>704</v>
      </c>
      <c r="D1369" s="20"/>
      <c r="F1369" s="20"/>
      <c r="H1369" s="20"/>
      <c r="I1369" s="2"/>
      <c r="J1369" s="17"/>
      <c r="K1369" s="17"/>
      <c r="L1369" s="17"/>
    </row>
    <row r="1370" spans="1:12">
      <c r="A1370" s="50"/>
      <c r="B1370" s="49">
        <v>1</v>
      </c>
      <c r="C1370" s="19"/>
      <c r="D1370" s="20">
        <v>0</v>
      </c>
      <c r="E1370" s="21">
        <v>1</v>
      </c>
      <c r="F1370" s="20">
        <f>D1370*E1370</f>
        <v>0</v>
      </c>
      <c r="G1370" s="21">
        <v>101</v>
      </c>
      <c r="H1370" s="20">
        <f>F1370*G1370</f>
        <v>0</v>
      </c>
      <c r="I1370" s="2"/>
      <c r="J1370" s="17"/>
      <c r="K1370" s="17"/>
      <c r="L1370" s="17"/>
    </row>
    <row r="1371" spans="1:12">
      <c r="A1371" s="50"/>
      <c r="B1371" s="49">
        <v>2</v>
      </c>
      <c r="C1371" s="19"/>
      <c r="D1371" s="20">
        <v>0</v>
      </c>
      <c r="E1371" s="21">
        <v>1</v>
      </c>
      <c r="F1371" s="20">
        <f>D1371*E1371</f>
        <v>0</v>
      </c>
      <c r="G1371" s="21">
        <v>102</v>
      </c>
      <c r="H1371" s="20">
        <f>F1371*G1371</f>
        <v>0</v>
      </c>
      <c r="I1371" s="2"/>
      <c r="J1371" s="17"/>
      <c r="K1371" s="17"/>
      <c r="L1371" s="17"/>
    </row>
    <row r="1372" spans="1:12">
      <c r="A1372" s="50"/>
      <c r="B1372" s="49"/>
      <c r="C1372" s="14" t="s">
        <v>705</v>
      </c>
      <c r="D1372" s="20"/>
      <c r="F1372" s="20"/>
      <c r="H1372" s="25">
        <f>SUM(H1370:H1371)</f>
        <v>0</v>
      </c>
      <c r="I1372" s="2"/>
      <c r="J1372" s="17"/>
      <c r="K1372" s="17"/>
      <c r="L1372" s="17"/>
    </row>
    <row r="1373" spans="1:12">
      <c r="A1373" s="50"/>
      <c r="B1373" s="51"/>
      <c r="C1373" s="14"/>
      <c r="D1373" s="20"/>
      <c r="F1373" s="20"/>
      <c r="H1373" s="20"/>
      <c r="I1373" s="2"/>
      <c r="J1373" s="17"/>
      <c r="K1373" s="17"/>
      <c r="L1373" s="17"/>
    </row>
    <row r="1374" spans="1:12">
      <c r="A1374" s="50"/>
      <c r="B1374" s="51"/>
      <c r="C1374" s="14" t="s">
        <v>706</v>
      </c>
      <c r="D1374" s="20"/>
      <c r="F1374" s="20"/>
      <c r="H1374" s="20"/>
      <c r="I1374" s="2"/>
      <c r="J1374" s="17"/>
      <c r="K1374" s="17"/>
      <c r="L1374" s="17"/>
    </row>
    <row r="1375" spans="1:12">
      <c r="A1375" s="50"/>
      <c r="B1375" s="49">
        <v>1</v>
      </c>
      <c r="C1375" s="19"/>
      <c r="D1375" s="20">
        <v>0</v>
      </c>
      <c r="E1375" s="21">
        <v>1</v>
      </c>
      <c r="F1375" s="20">
        <f>D1375*E1375</f>
        <v>0</v>
      </c>
      <c r="G1375" s="21">
        <v>101</v>
      </c>
      <c r="H1375" s="20">
        <f>F1375*G1375</f>
        <v>0</v>
      </c>
      <c r="I1375" s="2"/>
      <c r="J1375" s="17"/>
      <c r="K1375" s="17"/>
      <c r="L1375" s="17"/>
    </row>
    <row r="1376" spans="1:12">
      <c r="A1376" s="50"/>
      <c r="B1376" s="49">
        <v>2</v>
      </c>
      <c r="C1376" s="19"/>
      <c r="D1376" s="20">
        <v>0</v>
      </c>
      <c r="E1376" s="21">
        <v>1</v>
      </c>
      <c r="F1376" s="20">
        <f>D1376*E1376</f>
        <v>0</v>
      </c>
      <c r="G1376" s="21">
        <v>102</v>
      </c>
      <c r="H1376" s="20">
        <f>F1376*G1376</f>
        <v>0</v>
      </c>
      <c r="I1376" s="2"/>
      <c r="J1376" s="17"/>
      <c r="K1376" s="17"/>
      <c r="L1376" s="17"/>
    </row>
    <row r="1377" spans="1:12">
      <c r="A1377" s="50"/>
      <c r="B1377" s="49"/>
      <c r="C1377" s="14" t="s">
        <v>707</v>
      </c>
      <c r="D1377" s="20"/>
      <c r="F1377" s="20"/>
      <c r="H1377" s="25">
        <f>SUM(H1375:H1376)</f>
        <v>0</v>
      </c>
      <c r="I1377" s="2"/>
      <c r="J1377" s="17"/>
      <c r="K1377" s="17"/>
      <c r="L1377" s="17"/>
    </row>
    <row r="1378" spans="1:12">
      <c r="A1378" s="50"/>
      <c r="B1378" s="51"/>
      <c r="C1378" s="14"/>
      <c r="D1378" s="20"/>
      <c r="F1378" s="20"/>
      <c r="H1378" s="20"/>
      <c r="I1378" s="2"/>
      <c r="J1378" s="17"/>
      <c r="K1378" s="17"/>
      <c r="L1378" s="17"/>
    </row>
    <row r="1379" spans="1:12">
      <c r="A1379" s="50"/>
      <c r="B1379" s="51"/>
      <c r="C1379" s="14" t="s">
        <v>708</v>
      </c>
      <c r="D1379" s="20"/>
      <c r="F1379" s="20"/>
      <c r="H1379" s="20"/>
      <c r="I1379" s="2"/>
      <c r="J1379" s="17"/>
      <c r="K1379" s="17"/>
      <c r="L1379" s="17"/>
    </row>
    <row r="1380" spans="1:12">
      <c r="A1380" s="50"/>
      <c r="B1380" s="49">
        <v>1</v>
      </c>
      <c r="C1380" s="19"/>
      <c r="D1380" s="20">
        <v>0</v>
      </c>
      <c r="E1380" s="21">
        <v>1</v>
      </c>
      <c r="F1380" s="20">
        <f>D1380*E1380</f>
        <v>0</v>
      </c>
      <c r="G1380" s="21">
        <v>101</v>
      </c>
      <c r="H1380" s="20">
        <f>F1380*G1380</f>
        <v>0</v>
      </c>
      <c r="I1380" s="2"/>
      <c r="J1380" s="17"/>
      <c r="K1380" s="17"/>
      <c r="L1380" s="17"/>
    </row>
    <row r="1381" spans="1:12">
      <c r="A1381" s="50"/>
      <c r="B1381" s="49">
        <v>2</v>
      </c>
      <c r="C1381" s="19"/>
      <c r="D1381" s="20">
        <v>0</v>
      </c>
      <c r="E1381" s="21">
        <v>1</v>
      </c>
      <c r="F1381" s="20">
        <f>D1381*E1381</f>
        <v>0</v>
      </c>
      <c r="G1381" s="21">
        <v>102</v>
      </c>
      <c r="H1381" s="20">
        <f>F1381*G1381</f>
        <v>0</v>
      </c>
      <c r="I1381" s="2"/>
      <c r="J1381" s="17"/>
      <c r="K1381" s="17"/>
      <c r="L1381" s="17"/>
    </row>
    <row r="1382" spans="1:12">
      <c r="A1382" s="50"/>
      <c r="B1382" s="49"/>
      <c r="C1382" s="14" t="s">
        <v>709</v>
      </c>
      <c r="D1382" s="20"/>
      <c r="F1382" s="20"/>
      <c r="H1382" s="25">
        <f>SUM(H1380:H1381)</f>
        <v>0</v>
      </c>
      <c r="I1382" s="2"/>
      <c r="J1382" s="17"/>
      <c r="K1382" s="17"/>
      <c r="L1382" s="17"/>
    </row>
    <row r="1383" spans="1:12">
      <c r="A1383" s="50"/>
      <c r="B1383" s="51"/>
      <c r="C1383" s="14"/>
      <c r="D1383" s="20"/>
      <c r="F1383" s="20"/>
      <c r="H1383" s="20"/>
      <c r="I1383" s="2"/>
      <c r="J1383" s="17"/>
      <c r="K1383" s="17"/>
      <c r="L1383" s="17"/>
    </row>
    <row r="1384" spans="1:12">
      <c r="A1384" s="50"/>
      <c r="B1384" s="51"/>
      <c r="C1384" s="14" t="s">
        <v>710</v>
      </c>
      <c r="D1384" s="20"/>
      <c r="F1384" s="20"/>
      <c r="H1384" s="20"/>
      <c r="I1384" s="2"/>
      <c r="J1384" s="17"/>
      <c r="K1384" s="17"/>
      <c r="L1384" s="17"/>
    </row>
    <row r="1385" spans="1:12">
      <c r="A1385" s="50"/>
      <c r="B1385" s="49">
        <v>1</v>
      </c>
      <c r="C1385" s="19" t="s">
        <v>496</v>
      </c>
      <c r="D1385" s="20">
        <v>0</v>
      </c>
      <c r="E1385" s="21">
        <v>1</v>
      </c>
      <c r="F1385" s="20">
        <f>D1385*E1385</f>
        <v>0</v>
      </c>
      <c r="G1385" s="69">
        <v>5384.6153846153848</v>
      </c>
      <c r="H1385" s="20">
        <f>F1385*G1385</f>
        <v>0</v>
      </c>
      <c r="I1385" s="2"/>
      <c r="J1385" s="17"/>
      <c r="K1385" s="17"/>
      <c r="L1385" s="17"/>
    </row>
    <row r="1386" spans="1:12">
      <c r="A1386" s="50"/>
      <c r="B1386" s="49">
        <v>2</v>
      </c>
      <c r="C1386" s="19" t="s">
        <v>497</v>
      </c>
      <c r="D1386" s="20">
        <v>0</v>
      </c>
      <c r="E1386" s="21">
        <v>1</v>
      </c>
      <c r="F1386" s="20">
        <f>D1386*E1386</f>
        <v>0</v>
      </c>
      <c r="G1386" s="69">
        <v>8307.6923076923067</v>
      </c>
      <c r="H1386" s="20">
        <f>F1386*G1386</f>
        <v>0</v>
      </c>
      <c r="I1386" s="2"/>
      <c r="J1386" s="17"/>
      <c r="K1386" s="17"/>
      <c r="L1386" s="17"/>
    </row>
    <row r="1387" spans="1:12">
      <c r="A1387" s="50"/>
      <c r="B1387" s="49">
        <v>3</v>
      </c>
      <c r="C1387" s="19" t="s">
        <v>587</v>
      </c>
      <c r="D1387" s="20">
        <v>0</v>
      </c>
      <c r="E1387" s="21">
        <v>1</v>
      </c>
      <c r="F1387" s="20">
        <f t="shared" ref="F1387:F1397" si="138">D1387*E1387</f>
        <v>0</v>
      </c>
      <c r="G1387" s="69">
        <v>60.769230769230766</v>
      </c>
      <c r="H1387" s="20">
        <f t="shared" ref="H1387:H1397" si="139">F1387*G1387</f>
        <v>0</v>
      </c>
      <c r="I1387" s="2"/>
      <c r="J1387" s="17"/>
      <c r="K1387" s="17"/>
      <c r="L1387" s="17"/>
    </row>
    <row r="1388" spans="1:12">
      <c r="A1388" s="50"/>
      <c r="B1388" s="49">
        <v>4</v>
      </c>
      <c r="C1388" s="19" t="s">
        <v>503</v>
      </c>
      <c r="D1388" s="20">
        <v>0</v>
      </c>
      <c r="E1388" s="21">
        <v>0</v>
      </c>
      <c r="F1388" s="20">
        <f t="shared" si="138"/>
        <v>0</v>
      </c>
      <c r="G1388" s="69">
        <v>40</v>
      </c>
      <c r="H1388" s="20">
        <f t="shared" si="139"/>
        <v>0</v>
      </c>
      <c r="I1388" s="2"/>
      <c r="J1388" s="17"/>
      <c r="K1388" s="17"/>
      <c r="L1388" s="17"/>
    </row>
    <row r="1389" spans="1:12">
      <c r="A1389" s="50"/>
      <c r="B1389" s="49">
        <v>5</v>
      </c>
      <c r="C1389" s="19" t="s">
        <v>504</v>
      </c>
      <c r="D1389" s="20">
        <v>0</v>
      </c>
      <c r="E1389" s="21">
        <v>0</v>
      </c>
      <c r="F1389" s="20">
        <f t="shared" si="138"/>
        <v>0</v>
      </c>
      <c r="G1389" s="69">
        <v>49000</v>
      </c>
      <c r="H1389" s="20">
        <f t="shared" si="139"/>
        <v>0</v>
      </c>
      <c r="I1389" s="2"/>
      <c r="J1389" s="17"/>
      <c r="K1389" s="17"/>
      <c r="L1389" s="17"/>
    </row>
    <row r="1390" spans="1:12">
      <c r="A1390" s="50"/>
      <c r="B1390" s="49">
        <v>6</v>
      </c>
      <c r="C1390" s="19" t="s">
        <v>354</v>
      </c>
      <c r="D1390" s="20">
        <v>0</v>
      </c>
      <c r="E1390" s="21">
        <v>0</v>
      </c>
      <c r="F1390" s="20">
        <f t="shared" si="138"/>
        <v>0</v>
      </c>
      <c r="G1390" s="69">
        <v>230.76923076923077</v>
      </c>
      <c r="H1390" s="20">
        <f t="shared" si="139"/>
        <v>0</v>
      </c>
      <c r="I1390" s="2"/>
      <c r="J1390" s="17"/>
      <c r="K1390" s="17"/>
      <c r="L1390" s="17"/>
    </row>
    <row r="1391" spans="1:12">
      <c r="A1391" s="50"/>
      <c r="B1391" s="49">
        <v>7</v>
      </c>
      <c r="C1391" s="19" t="s">
        <v>43</v>
      </c>
      <c r="D1391" s="20">
        <v>0</v>
      </c>
      <c r="E1391" s="21">
        <v>0.58199999999999996</v>
      </c>
      <c r="F1391" s="20">
        <f t="shared" si="138"/>
        <v>0</v>
      </c>
      <c r="G1391" s="69">
        <v>177.69230769230768</v>
      </c>
      <c r="H1391" s="20">
        <f t="shared" si="139"/>
        <v>0</v>
      </c>
      <c r="I1391" s="2"/>
      <c r="J1391" s="17"/>
      <c r="K1391" s="17"/>
      <c r="L1391" s="17"/>
    </row>
    <row r="1392" spans="1:12">
      <c r="A1392" s="50"/>
      <c r="B1392" s="49">
        <v>8</v>
      </c>
      <c r="C1392" s="19" t="s">
        <v>45</v>
      </c>
      <c r="D1392" s="20">
        <v>0</v>
      </c>
      <c r="E1392" s="21">
        <v>0.58199999999999996</v>
      </c>
      <c r="F1392" s="20">
        <f t="shared" si="138"/>
        <v>0</v>
      </c>
      <c r="G1392" s="69">
        <v>77.692307692307693</v>
      </c>
      <c r="H1392" s="20">
        <f t="shared" si="139"/>
        <v>0</v>
      </c>
      <c r="I1392" s="2"/>
      <c r="J1392" s="17"/>
      <c r="K1392" s="17"/>
      <c r="L1392" s="17"/>
    </row>
    <row r="1393" spans="1:12">
      <c r="A1393" s="50"/>
      <c r="B1393" s="49">
        <v>9</v>
      </c>
      <c r="C1393" s="19" t="s">
        <v>47</v>
      </c>
      <c r="D1393" s="20">
        <v>0</v>
      </c>
      <c r="E1393" s="21">
        <v>0.58199999999999996</v>
      </c>
      <c r="F1393" s="20">
        <f t="shared" si="138"/>
        <v>0</v>
      </c>
      <c r="G1393" s="69">
        <v>264.61538461538458</v>
      </c>
      <c r="H1393" s="20">
        <f t="shared" si="139"/>
        <v>0</v>
      </c>
      <c r="I1393" s="2"/>
      <c r="J1393" s="17"/>
      <c r="K1393" s="17"/>
      <c r="L1393" s="17"/>
    </row>
    <row r="1394" spans="1:12">
      <c r="A1394" s="50"/>
      <c r="B1394" s="49">
        <v>10</v>
      </c>
      <c r="C1394" s="19" t="s">
        <v>51</v>
      </c>
      <c r="D1394" s="20">
        <v>0</v>
      </c>
      <c r="E1394" s="21">
        <v>0.216</v>
      </c>
      <c r="F1394" s="20">
        <f t="shared" si="138"/>
        <v>0</v>
      </c>
      <c r="G1394" s="69">
        <v>288.46153846153845</v>
      </c>
      <c r="H1394" s="20">
        <f t="shared" si="139"/>
        <v>0</v>
      </c>
      <c r="I1394" s="2"/>
      <c r="J1394" s="17"/>
      <c r="K1394" s="17"/>
      <c r="L1394" s="17"/>
    </row>
    <row r="1395" spans="1:12">
      <c r="A1395" s="50"/>
      <c r="B1395" s="49">
        <v>11</v>
      </c>
      <c r="C1395" s="19" t="s">
        <v>52</v>
      </c>
      <c r="D1395" s="20">
        <v>0</v>
      </c>
      <c r="E1395" s="21">
        <v>0.14399999999999999</v>
      </c>
      <c r="F1395" s="20">
        <f t="shared" si="138"/>
        <v>0</v>
      </c>
      <c r="G1395" s="69">
        <v>9000</v>
      </c>
      <c r="H1395" s="20">
        <f t="shared" si="139"/>
        <v>0</v>
      </c>
      <c r="I1395" s="2"/>
      <c r="J1395" s="17"/>
      <c r="K1395" s="17"/>
      <c r="L1395" s="17"/>
    </row>
    <row r="1396" spans="1:12">
      <c r="A1396" s="50"/>
      <c r="B1396" s="49">
        <v>12</v>
      </c>
      <c r="C1396" s="19"/>
      <c r="D1396" s="20">
        <v>0</v>
      </c>
      <c r="E1396" s="21">
        <v>1</v>
      </c>
      <c r="F1396" s="20">
        <f t="shared" si="138"/>
        <v>0</v>
      </c>
      <c r="G1396" s="21">
        <v>112</v>
      </c>
      <c r="H1396" s="20">
        <f t="shared" si="139"/>
        <v>0</v>
      </c>
      <c r="I1396" s="2"/>
      <c r="J1396" s="17"/>
      <c r="K1396" s="17"/>
      <c r="L1396" s="17"/>
    </row>
    <row r="1397" spans="1:12">
      <c r="A1397" s="50"/>
      <c r="B1397" s="49">
        <v>13</v>
      </c>
      <c r="C1397" s="19"/>
      <c r="D1397" s="20">
        <v>0</v>
      </c>
      <c r="E1397" s="21">
        <v>1</v>
      </c>
      <c r="F1397" s="20">
        <f t="shared" si="138"/>
        <v>0</v>
      </c>
      <c r="G1397" s="21">
        <v>113</v>
      </c>
      <c r="H1397" s="20">
        <f t="shared" si="139"/>
        <v>0</v>
      </c>
      <c r="I1397" s="2"/>
      <c r="J1397" s="17"/>
      <c r="K1397" s="17"/>
      <c r="L1397" s="17"/>
    </row>
    <row r="1398" spans="1:12">
      <c r="A1398" s="50"/>
      <c r="B1398" s="49">
        <v>14</v>
      </c>
      <c r="C1398" s="19"/>
      <c r="D1398" s="20">
        <v>0</v>
      </c>
      <c r="E1398" s="21">
        <v>1</v>
      </c>
      <c r="F1398" s="20">
        <f>D1398*E1398</f>
        <v>0</v>
      </c>
      <c r="G1398" s="21">
        <v>102</v>
      </c>
      <c r="H1398" s="20">
        <f>F1398*G1398</f>
        <v>0</v>
      </c>
      <c r="I1398" s="2"/>
      <c r="J1398" s="17"/>
      <c r="K1398" s="17"/>
      <c r="L1398" s="17"/>
    </row>
    <row r="1399" spans="1:12">
      <c r="A1399" s="50"/>
      <c r="B1399" s="49"/>
      <c r="C1399" s="14" t="s">
        <v>711</v>
      </c>
      <c r="D1399" s="20"/>
      <c r="F1399" s="20"/>
      <c r="H1399" s="25">
        <f>SUM(H1385:H1398)</f>
        <v>0</v>
      </c>
      <c r="I1399" s="2"/>
      <c r="J1399" s="17"/>
      <c r="K1399" s="17"/>
      <c r="L1399" s="17"/>
    </row>
    <row r="1400" spans="1:12">
      <c r="A1400" s="50"/>
      <c r="B1400" s="51"/>
      <c r="C1400" s="14"/>
      <c r="D1400" s="20"/>
      <c r="F1400" s="20"/>
      <c r="H1400" s="20"/>
      <c r="I1400" s="2"/>
      <c r="J1400" s="17"/>
      <c r="K1400" s="17"/>
      <c r="L1400" s="17"/>
    </row>
    <row r="1401" spans="1:12">
      <c r="A1401" s="50"/>
      <c r="B1401" s="51"/>
      <c r="C1401" s="14" t="s">
        <v>712</v>
      </c>
      <c r="D1401" s="20"/>
      <c r="F1401" s="20"/>
      <c r="H1401" s="20"/>
      <c r="I1401" s="2"/>
      <c r="J1401" s="17"/>
      <c r="K1401" s="17"/>
      <c r="L1401" s="17"/>
    </row>
    <row r="1402" spans="1:12">
      <c r="A1402" s="50"/>
      <c r="B1402" s="49">
        <v>1</v>
      </c>
      <c r="C1402" s="19"/>
      <c r="D1402" s="20">
        <v>0</v>
      </c>
      <c r="E1402" s="21">
        <v>1</v>
      </c>
      <c r="F1402" s="20">
        <f>D1402*E1402</f>
        <v>0</v>
      </c>
      <c r="G1402" s="21">
        <v>101</v>
      </c>
      <c r="H1402" s="20">
        <f>F1402*G1402</f>
        <v>0</v>
      </c>
      <c r="I1402" s="2"/>
      <c r="J1402" s="17"/>
      <c r="K1402" s="17"/>
      <c r="L1402" s="17"/>
    </row>
    <row r="1403" spans="1:12">
      <c r="A1403" s="50"/>
      <c r="B1403" s="49">
        <v>2</v>
      </c>
      <c r="C1403" s="19"/>
      <c r="D1403" s="20">
        <v>0</v>
      </c>
      <c r="E1403" s="21">
        <v>1</v>
      </c>
      <c r="F1403" s="20">
        <f>D1403*E1403</f>
        <v>0</v>
      </c>
      <c r="G1403" s="21">
        <v>102</v>
      </c>
      <c r="H1403" s="20">
        <f>F1403*G1403</f>
        <v>0</v>
      </c>
      <c r="I1403" s="2"/>
      <c r="J1403" s="17"/>
      <c r="K1403" s="17"/>
      <c r="L1403" s="17"/>
    </row>
    <row r="1404" spans="1:12">
      <c r="A1404" s="50"/>
      <c r="B1404" s="49"/>
      <c r="C1404" s="14" t="s">
        <v>713</v>
      </c>
      <c r="D1404" s="20"/>
      <c r="F1404" s="20"/>
      <c r="H1404" s="25">
        <f>SUM(H1402:H1403)</f>
        <v>0</v>
      </c>
      <c r="I1404" s="2"/>
      <c r="J1404" s="17"/>
      <c r="K1404" s="17"/>
      <c r="L1404" s="17"/>
    </row>
    <row r="1405" spans="1:12">
      <c r="A1405" s="50"/>
      <c r="B1405" s="51"/>
      <c r="C1405" s="14"/>
      <c r="D1405" s="20"/>
      <c r="F1405" s="20"/>
      <c r="H1405" s="20"/>
      <c r="I1405" s="2"/>
      <c r="J1405" s="17"/>
      <c r="K1405" s="17"/>
      <c r="L1405" s="17"/>
    </row>
    <row r="1406" spans="1:12">
      <c r="A1406" s="50"/>
      <c r="B1406" s="51"/>
      <c r="C1406" s="14" t="s">
        <v>714</v>
      </c>
      <c r="D1406" s="20"/>
      <c r="F1406" s="20"/>
      <c r="H1406" s="20"/>
      <c r="I1406" s="2"/>
      <c r="J1406" s="17"/>
      <c r="K1406" s="17"/>
      <c r="L1406" s="17"/>
    </row>
    <row r="1407" spans="1:12">
      <c r="A1407" s="50"/>
      <c r="B1407" s="49">
        <v>1</v>
      </c>
      <c r="C1407" s="19"/>
      <c r="D1407" s="20">
        <v>0</v>
      </c>
      <c r="E1407" s="21">
        <v>1</v>
      </c>
      <c r="F1407" s="20">
        <f>D1407*E1407</f>
        <v>0</v>
      </c>
      <c r="G1407" s="21">
        <v>101</v>
      </c>
      <c r="H1407" s="20">
        <f>F1407*G1407</f>
        <v>0</v>
      </c>
      <c r="I1407" s="2"/>
      <c r="J1407" s="17"/>
      <c r="K1407" s="17"/>
      <c r="L1407" s="17"/>
    </row>
    <row r="1408" spans="1:12">
      <c r="A1408" s="50"/>
      <c r="B1408" s="49">
        <v>2</v>
      </c>
      <c r="C1408" s="19"/>
      <c r="D1408" s="20">
        <v>0</v>
      </c>
      <c r="E1408" s="21">
        <v>1</v>
      </c>
      <c r="F1408" s="20">
        <f>D1408*E1408</f>
        <v>0</v>
      </c>
      <c r="G1408" s="21">
        <v>102</v>
      </c>
      <c r="H1408" s="20">
        <f>F1408*G1408</f>
        <v>0</v>
      </c>
      <c r="I1408" s="2"/>
      <c r="J1408" s="17"/>
      <c r="K1408" s="17"/>
      <c r="L1408" s="17"/>
    </row>
    <row r="1409" spans="1:12">
      <c r="A1409" s="50"/>
      <c r="B1409" s="49"/>
      <c r="C1409" s="14" t="s">
        <v>715</v>
      </c>
      <c r="D1409" s="20"/>
      <c r="F1409" s="20"/>
      <c r="H1409" s="25">
        <f>SUM(H1407:H1408)</f>
        <v>0</v>
      </c>
      <c r="I1409" s="2"/>
      <c r="J1409" s="17"/>
      <c r="K1409" s="17"/>
      <c r="L1409" s="17"/>
    </row>
    <row r="1410" spans="1:12">
      <c r="A1410" s="50"/>
      <c r="B1410" s="49"/>
      <c r="C1410" s="14"/>
      <c r="D1410" s="20"/>
      <c r="F1410" s="20"/>
      <c r="H1410" s="25"/>
      <c r="I1410" s="2"/>
      <c r="J1410" s="17"/>
      <c r="K1410" s="17"/>
      <c r="L1410" s="17"/>
    </row>
    <row r="1411" spans="1:12">
      <c r="A1411" s="50"/>
      <c r="B1411" s="51"/>
      <c r="C1411" s="14" t="s">
        <v>716</v>
      </c>
      <c r="D1411" s="20"/>
      <c r="F1411" s="20"/>
      <c r="H1411" s="20"/>
      <c r="I1411" s="2"/>
      <c r="J1411" s="17"/>
      <c r="K1411" s="17"/>
      <c r="L1411" s="17"/>
    </row>
    <row r="1412" spans="1:12">
      <c r="A1412" s="50"/>
      <c r="B1412" s="49">
        <v>1</v>
      </c>
      <c r="C1412" s="19"/>
      <c r="D1412" s="20">
        <v>0</v>
      </c>
      <c r="E1412" s="21">
        <v>1</v>
      </c>
      <c r="F1412" s="20">
        <f>D1412*E1412</f>
        <v>0</v>
      </c>
      <c r="G1412" s="21">
        <v>101</v>
      </c>
      <c r="H1412" s="20">
        <f>F1412*G1412</f>
        <v>0</v>
      </c>
      <c r="I1412" s="2"/>
      <c r="J1412" s="17"/>
      <c r="K1412" s="17"/>
      <c r="L1412" s="17"/>
    </row>
    <row r="1413" spans="1:12">
      <c r="A1413" s="50"/>
      <c r="B1413" s="49">
        <v>2</v>
      </c>
      <c r="C1413" s="19"/>
      <c r="D1413" s="20">
        <v>0</v>
      </c>
      <c r="E1413" s="21">
        <v>1</v>
      </c>
      <c r="F1413" s="20">
        <f>D1413*E1413</f>
        <v>0</v>
      </c>
      <c r="G1413" s="21">
        <v>102</v>
      </c>
      <c r="H1413" s="20">
        <f>F1413*G1413</f>
        <v>0</v>
      </c>
      <c r="I1413" s="2"/>
      <c r="J1413" s="17"/>
      <c r="K1413" s="17"/>
      <c r="L1413" s="17"/>
    </row>
    <row r="1414" spans="1:12">
      <c r="A1414" s="50"/>
      <c r="B1414" s="49"/>
      <c r="C1414" s="14" t="s">
        <v>717</v>
      </c>
      <c r="D1414" s="20"/>
      <c r="F1414" s="20"/>
      <c r="H1414" s="25">
        <f>SUM(H1412:H1413)</f>
        <v>0</v>
      </c>
      <c r="I1414" s="2"/>
      <c r="J1414" s="17"/>
      <c r="K1414" s="17"/>
      <c r="L1414" s="17"/>
    </row>
    <row r="1415" spans="1:12">
      <c r="A1415" s="50"/>
      <c r="B1415" s="49"/>
      <c r="C1415" s="14"/>
      <c r="D1415" s="20"/>
      <c r="F1415" s="20"/>
      <c r="H1415" s="25"/>
      <c r="I1415" s="2"/>
      <c r="J1415" s="17"/>
      <c r="K1415" s="17"/>
      <c r="L1415" s="17"/>
    </row>
    <row r="1416" spans="1:12">
      <c r="A1416" s="50"/>
      <c r="B1416" s="51"/>
      <c r="C1416" s="14" t="s">
        <v>718</v>
      </c>
      <c r="D1416" s="20"/>
      <c r="F1416" s="20"/>
      <c r="H1416" s="25">
        <f>H1367+H1372+H1377+H1382+H1399+H1404+H1409+H1414</f>
        <v>0</v>
      </c>
      <c r="I1416" s="2"/>
      <c r="J1416" s="17"/>
      <c r="K1416" s="17"/>
      <c r="L1416" s="17"/>
    </row>
    <row r="1417" spans="1:12">
      <c r="A1417" s="50"/>
      <c r="B1417" s="51"/>
      <c r="C1417" s="14"/>
      <c r="D1417" s="20"/>
      <c r="F1417" s="20"/>
      <c r="H1417" s="20"/>
      <c r="I1417" s="2"/>
      <c r="J1417" s="17"/>
      <c r="K1417" s="17"/>
      <c r="L1417" s="17"/>
    </row>
    <row r="1418" spans="1:12" ht="26">
      <c r="A1418" s="50"/>
      <c r="B1418" s="48" t="s">
        <v>719</v>
      </c>
      <c r="C1418" s="14" t="s">
        <v>720</v>
      </c>
      <c r="D1418" s="20"/>
      <c r="F1418" s="20"/>
      <c r="H1418" s="20"/>
      <c r="I1418" s="2"/>
      <c r="J1418" s="17"/>
      <c r="K1418" s="17"/>
      <c r="L1418" s="17"/>
    </row>
    <row r="1419" spans="1:12">
      <c r="A1419" s="50"/>
      <c r="B1419" s="49">
        <v>1</v>
      </c>
      <c r="C1419" s="19"/>
      <c r="D1419" s="20">
        <v>0</v>
      </c>
      <c r="E1419" s="21">
        <v>1</v>
      </c>
      <c r="F1419" s="20">
        <f>D1419*E1419</f>
        <v>0</v>
      </c>
      <c r="G1419" s="21">
        <v>101</v>
      </c>
      <c r="H1419" s="20">
        <f>F1419*G1419</f>
        <v>0</v>
      </c>
      <c r="I1419" s="2"/>
      <c r="J1419" s="17"/>
      <c r="K1419" s="17"/>
      <c r="L1419" s="17"/>
    </row>
    <row r="1420" spans="1:12">
      <c r="A1420" s="50"/>
      <c r="B1420" s="49">
        <v>2</v>
      </c>
      <c r="C1420" s="19"/>
      <c r="D1420" s="20">
        <v>0</v>
      </c>
      <c r="E1420" s="21">
        <v>1</v>
      </c>
      <c r="F1420" s="20">
        <f t="shared" ref="F1420:F1422" si="140">D1420*E1420</f>
        <v>0</v>
      </c>
      <c r="G1420" s="21">
        <v>102</v>
      </c>
      <c r="H1420" s="20">
        <f t="shared" ref="H1420:H1422" si="141">F1420*G1420</f>
        <v>0</v>
      </c>
      <c r="I1420" s="2"/>
      <c r="J1420" s="17"/>
      <c r="K1420" s="17"/>
      <c r="L1420" s="17"/>
    </row>
    <row r="1421" spans="1:12">
      <c r="A1421" s="50"/>
      <c r="B1421" s="49">
        <v>3</v>
      </c>
      <c r="C1421" s="19"/>
      <c r="D1421" s="20">
        <v>0</v>
      </c>
      <c r="E1421" s="21">
        <v>1</v>
      </c>
      <c r="F1421" s="20">
        <f t="shared" si="140"/>
        <v>0</v>
      </c>
      <c r="G1421" s="21">
        <v>103</v>
      </c>
      <c r="H1421" s="20">
        <f t="shared" si="141"/>
        <v>0</v>
      </c>
      <c r="I1421" s="2"/>
      <c r="J1421" s="17"/>
      <c r="K1421" s="17"/>
      <c r="L1421" s="17"/>
    </row>
    <row r="1422" spans="1:12">
      <c r="A1422" s="50"/>
      <c r="B1422" s="49">
        <v>4</v>
      </c>
      <c r="C1422" s="19"/>
      <c r="D1422" s="20">
        <v>0</v>
      </c>
      <c r="E1422" s="21">
        <v>1</v>
      </c>
      <c r="F1422" s="20">
        <f t="shared" si="140"/>
        <v>0</v>
      </c>
      <c r="G1422" s="21">
        <v>104</v>
      </c>
      <c r="H1422" s="20">
        <f t="shared" si="141"/>
        <v>0</v>
      </c>
      <c r="I1422" s="2"/>
      <c r="J1422" s="17"/>
      <c r="K1422" s="17"/>
      <c r="L1422" s="17"/>
    </row>
    <row r="1423" spans="1:12">
      <c r="A1423" s="50"/>
      <c r="B1423" s="49">
        <v>5</v>
      </c>
      <c r="C1423" s="19"/>
      <c r="D1423" s="20">
        <v>0</v>
      </c>
      <c r="E1423" s="21">
        <v>1</v>
      </c>
      <c r="F1423" s="20">
        <f>D1423*E1423</f>
        <v>0</v>
      </c>
      <c r="G1423" s="21">
        <v>102</v>
      </c>
      <c r="H1423" s="20">
        <f>F1423*G1423</f>
        <v>0</v>
      </c>
      <c r="I1423" s="2"/>
      <c r="J1423" s="17"/>
      <c r="K1423" s="17"/>
      <c r="L1423" s="17"/>
    </row>
    <row r="1424" spans="1:12">
      <c r="A1424" s="50"/>
      <c r="B1424" s="49"/>
      <c r="C1424" s="14" t="s">
        <v>721</v>
      </c>
      <c r="D1424" s="20"/>
      <c r="F1424" s="20"/>
      <c r="H1424" s="25">
        <f>SUM(H1419:H1423)</f>
        <v>0</v>
      </c>
      <c r="I1424" s="2"/>
      <c r="J1424" s="17"/>
      <c r="K1424" s="17"/>
      <c r="L1424" s="17"/>
    </row>
    <row r="1425" spans="1:12">
      <c r="A1425" s="50"/>
      <c r="B1425" s="48"/>
      <c r="C1425" s="14"/>
      <c r="D1425" s="20"/>
      <c r="F1425" s="20"/>
      <c r="H1425" s="20"/>
      <c r="I1425" s="2"/>
      <c r="J1425" s="17"/>
      <c r="K1425" s="17"/>
      <c r="L1425" s="17"/>
    </row>
    <row r="1426" spans="1:12">
      <c r="A1426" s="50"/>
      <c r="B1426" s="51"/>
      <c r="C1426" s="14" t="s">
        <v>722</v>
      </c>
      <c r="D1426" s="20"/>
      <c r="F1426" s="20"/>
      <c r="H1426" s="20"/>
      <c r="I1426" s="2"/>
      <c r="J1426" s="17"/>
      <c r="K1426" s="17"/>
      <c r="L1426" s="17"/>
    </row>
    <row r="1427" spans="1:12">
      <c r="A1427" s="50"/>
      <c r="B1427" s="49">
        <v>1</v>
      </c>
      <c r="C1427" s="19"/>
      <c r="D1427" s="20">
        <v>0</v>
      </c>
      <c r="E1427" s="21">
        <v>1</v>
      </c>
      <c r="F1427" s="20">
        <f>D1427*E1427</f>
        <v>0</v>
      </c>
      <c r="G1427" s="21">
        <v>101</v>
      </c>
      <c r="H1427" s="20">
        <f>F1427*G1427</f>
        <v>0</v>
      </c>
      <c r="I1427" s="2"/>
      <c r="J1427" s="17"/>
      <c r="K1427" s="17"/>
      <c r="L1427" s="17"/>
    </row>
    <row r="1428" spans="1:12">
      <c r="A1428" s="50"/>
      <c r="B1428" s="49">
        <v>2</v>
      </c>
      <c r="C1428" s="19"/>
      <c r="D1428" s="20">
        <v>0</v>
      </c>
      <c r="E1428" s="21">
        <v>1</v>
      </c>
      <c r="F1428" s="20">
        <f t="shared" ref="F1428:F1430" si="142">D1428*E1428</f>
        <v>0</v>
      </c>
      <c r="G1428" s="21">
        <v>102</v>
      </c>
      <c r="H1428" s="20">
        <f t="shared" ref="H1428:H1430" si="143">F1428*G1428</f>
        <v>0</v>
      </c>
      <c r="I1428" s="2"/>
      <c r="J1428" s="17"/>
      <c r="K1428" s="17"/>
      <c r="L1428" s="17"/>
    </row>
    <row r="1429" spans="1:12">
      <c r="A1429" s="50"/>
      <c r="B1429" s="49">
        <v>3</v>
      </c>
      <c r="C1429" s="19"/>
      <c r="D1429" s="20">
        <v>0</v>
      </c>
      <c r="E1429" s="21">
        <v>1</v>
      </c>
      <c r="F1429" s="20">
        <f t="shared" si="142"/>
        <v>0</v>
      </c>
      <c r="G1429" s="21">
        <v>103</v>
      </c>
      <c r="H1429" s="20">
        <f t="shared" si="143"/>
        <v>0</v>
      </c>
      <c r="I1429" s="2"/>
      <c r="J1429" s="17"/>
      <c r="K1429" s="17"/>
      <c r="L1429" s="17"/>
    </row>
    <row r="1430" spans="1:12">
      <c r="A1430" s="50"/>
      <c r="B1430" s="49">
        <v>4</v>
      </c>
      <c r="C1430" s="19"/>
      <c r="D1430" s="20">
        <v>0</v>
      </c>
      <c r="E1430" s="21">
        <v>1</v>
      </c>
      <c r="F1430" s="20">
        <f t="shared" si="142"/>
        <v>0</v>
      </c>
      <c r="G1430" s="21">
        <v>104</v>
      </c>
      <c r="H1430" s="20">
        <f t="shared" si="143"/>
        <v>0</v>
      </c>
      <c r="I1430" s="2"/>
      <c r="J1430" s="17"/>
      <c r="K1430" s="17"/>
      <c r="L1430" s="17"/>
    </row>
    <row r="1431" spans="1:12">
      <c r="A1431" s="50"/>
      <c r="B1431" s="49">
        <v>5</v>
      </c>
      <c r="C1431" s="19"/>
      <c r="D1431" s="20">
        <v>0</v>
      </c>
      <c r="E1431" s="21">
        <v>1</v>
      </c>
      <c r="F1431" s="20">
        <f>D1431*E1431</f>
        <v>0</v>
      </c>
      <c r="G1431" s="21">
        <v>102</v>
      </c>
      <c r="H1431" s="20">
        <f>F1431*G1431</f>
        <v>0</v>
      </c>
      <c r="I1431" s="2"/>
      <c r="J1431" s="17"/>
      <c r="K1431" s="17"/>
      <c r="L1431" s="17"/>
    </row>
    <row r="1432" spans="1:12">
      <c r="A1432" s="50"/>
      <c r="B1432" s="49"/>
      <c r="C1432" s="14" t="s">
        <v>723</v>
      </c>
      <c r="D1432" s="20"/>
      <c r="F1432" s="20"/>
      <c r="H1432" s="25">
        <f>SUM(H1427:H1431)</f>
        <v>0</v>
      </c>
      <c r="I1432" s="2"/>
      <c r="J1432" s="17"/>
      <c r="K1432" s="17"/>
      <c r="L1432" s="17"/>
    </row>
    <row r="1433" spans="1:12">
      <c r="A1433" s="50"/>
      <c r="B1433" s="51"/>
      <c r="C1433" s="14"/>
      <c r="D1433" s="20"/>
      <c r="F1433" s="20"/>
      <c r="H1433" s="20"/>
      <c r="I1433" s="2"/>
      <c r="J1433" s="17"/>
      <c r="K1433" s="17"/>
      <c r="L1433" s="17"/>
    </row>
    <row r="1434" spans="1:12">
      <c r="A1434" s="50"/>
      <c r="B1434" s="51"/>
      <c r="C1434" s="14" t="s">
        <v>724</v>
      </c>
      <c r="D1434" s="20"/>
      <c r="F1434" s="20"/>
      <c r="H1434" s="20"/>
      <c r="I1434" s="2"/>
      <c r="J1434" s="17"/>
      <c r="K1434" s="17"/>
      <c r="L1434" s="17"/>
    </row>
    <row r="1435" spans="1:12">
      <c r="A1435" s="50"/>
      <c r="B1435" s="49">
        <v>1</v>
      </c>
      <c r="C1435" s="19"/>
      <c r="D1435" s="20">
        <v>0</v>
      </c>
      <c r="E1435" s="21">
        <v>1</v>
      </c>
      <c r="F1435" s="20">
        <f>D1435*E1435</f>
        <v>0</v>
      </c>
      <c r="G1435" s="21">
        <v>101</v>
      </c>
      <c r="H1435" s="20">
        <f>F1435*G1435</f>
        <v>0</v>
      </c>
      <c r="I1435" s="2"/>
      <c r="J1435" s="17"/>
      <c r="K1435" s="17"/>
      <c r="L1435" s="17"/>
    </row>
    <row r="1436" spans="1:12">
      <c r="A1436" s="50"/>
      <c r="B1436" s="49">
        <v>2</v>
      </c>
      <c r="C1436" s="19"/>
      <c r="D1436" s="20">
        <v>0</v>
      </c>
      <c r="E1436" s="21">
        <v>1</v>
      </c>
      <c r="F1436" s="20">
        <f t="shared" ref="F1436:F1438" si="144">D1436*E1436</f>
        <v>0</v>
      </c>
      <c r="G1436" s="21">
        <v>102</v>
      </c>
      <c r="H1436" s="20">
        <f t="shared" ref="H1436:H1438" si="145">F1436*G1436</f>
        <v>0</v>
      </c>
      <c r="I1436" s="2"/>
      <c r="J1436" s="17"/>
      <c r="K1436" s="17"/>
      <c r="L1436" s="17"/>
    </row>
    <row r="1437" spans="1:12">
      <c r="A1437" s="50"/>
      <c r="B1437" s="49">
        <v>3</v>
      </c>
      <c r="C1437" s="19"/>
      <c r="D1437" s="20">
        <v>0</v>
      </c>
      <c r="E1437" s="21">
        <v>1</v>
      </c>
      <c r="F1437" s="20">
        <f t="shared" si="144"/>
        <v>0</v>
      </c>
      <c r="G1437" s="21">
        <v>103</v>
      </c>
      <c r="H1437" s="20">
        <f t="shared" si="145"/>
        <v>0</v>
      </c>
      <c r="I1437" s="2"/>
      <c r="J1437" s="17"/>
      <c r="K1437" s="17"/>
      <c r="L1437" s="17"/>
    </row>
    <row r="1438" spans="1:12">
      <c r="A1438" s="50"/>
      <c r="B1438" s="49">
        <v>4</v>
      </c>
      <c r="C1438" s="19"/>
      <c r="D1438" s="20">
        <v>0</v>
      </c>
      <c r="E1438" s="21">
        <v>1</v>
      </c>
      <c r="F1438" s="20">
        <f t="shared" si="144"/>
        <v>0</v>
      </c>
      <c r="G1438" s="21">
        <v>104</v>
      </c>
      <c r="H1438" s="20">
        <f t="shared" si="145"/>
        <v>0</v>
      </c>
      <c r="I1438" s="2"/>
      <c r="J1438" s="17"/>
      <c r="K1438" s="17"/>
      <c r="L1438" s="17"/>
    </row>
    <row r="1439" spans="1:12">
      <c r="A1439" s="50"/>
      <c r="B1439" s="49">
        <v>5</v>
      </c>
      <c r="C1439" s="19"/>
      <c r="D1439" s="20">
        <v>0</v>
      </c>
      <c r="E1439" s="21">
        <v>1</v>
      </c>
      <c r="F1439" s="20">
        <f>D1439*E1439</f>
        <v>0</v>
      </c>
      <c r="G1439" s="21">
        <v>102</v>
      </c>
      <c r="H1439" s="20">
        <f>F1439*G1439</f>
        <v>0</v>
      </c>
      <c r="I1439" s="2"/>
      <c r="J1439" s="17"/>
      <c r="K1439" s="17"/>
      <c r="L1439" s="17"/>
    </row>
    <row r="1440" spans="1:12">
      <c r="A1440" s="50"/>
      <c r="B1440" s="49"/>
      <c r="C1440" s="14" t="s">
        <v>725</v>
      </c>
      <c r="D1440" s="20"/>
      <c r="F1440" s="20"/>
      <c r="H1440" s="25">
        <f>SUM(H1435:H1439)</f>
        <v>0</v>
      </c>
      <c r="I1440" s="2"/>
      <c r="J1440" s="17"/>
      <c r="K1440" s="17"/>
      <c r="L1440" s="17"/>
    </row>
    <row r="1441" spans="1:12">
      <c r="A1441" s="50"/>
      <c r="B1441" s="51"/>
      <c r="C1441" s="14"/>
      <c r="D1441" s="20"/>
      <c r="F1441" s="20"/>
      <c r="H1441" s="20"/>
      <c r="I1441" s="2"/>
      <c r="J1441" s="17"/>
      <c r="K1441" s="17"/>
      <c r="L1441" s="17"/>
    </row>
    <row r="1442" spans="1:12">
      <c r="A1442" s="50"/>
      <c r="B1442" s="51"/>
      <c r="C1442" s="14" t="s">
        <v>726</v>
      </c>
      <c r="D1442" s="20"/>
      <c r="F1442" s="20"/>
      <c r="H1442" s="20"/>
      <c r="I1442" s="2"/>
      <c r="J1442" s="17"/>
      <c r="K1442" s="17"/>
      <c r="L1442" s="17"/>
    </row>
    <row r="1443" spans="1:12">
      <c r="A1443" s="50"/>
      <c r="B1443" s="49">
        <v>1</v>
      </c>
      <c r="C1443" s="19"/>
      <c r="D1443" s="20">
        <v>0</v>
      </c>
      <c r="E1443" s="21">
        <v>1</v>
      </c>
      <c r="F1443" s="20">
        <f>D1443*E1443</f>
        <v>0</v>
      </c>
      <c r="G1443" s="21">
        <v>101</v>
      </c>
      <c r="H1443" s="20">
        <f>F1443*G1443</f>
        <v>0</v>
      </c>
      <c r="I1443" s="2"/>
      <c r="J1443" s="17"/>
      <c r="K1443" s="17"/>
      <c r="L1443" s="17"/>
    </row>
    <row r="1444" spans="1:12">
      <c r="A1444" s="50"/>
      <c r="B1444" s="49">
        <v>2</v>
      </c>
      <c r="C1444" s="19"/>
      <c r="D1444" s="20">
        <v>0</v>
      </c>
      <c r="E1444" s="21">
        <v>1</v>
      </c>
      <c r="F1444" s="20">
        <f t="shared" ref="F1444:F1446" si="146">D1444*E1444</f>
        <v>0</v>
      </c>
      <c r="G1444" s="21">
        <v>102</v>
      </c>
      <c r="H1444" s="20">
        <f t="shared" ref="H1444:H1446" si="147">F1444*G1444</f>
        <v>0</v>
      </c>
      <c r="I1444" s="2"/>
      <c r="J1444" s="17"/>
      <c r="K1444" s="17"/>
      <c r="L1444" s="17"/>
    </row>
    <row r="1445" spans="1:12">
      <c r="A1445" s="50"/>
      <c r="B1445" s="49">
        <v>3</v>
      </c>
      <c r="C1445" s="19"/>
      <c r="D1445" s="20">
        <v>0</v>
      </c>
      <c r="E1445" s="21">
        <v>1</v>
      </c>
      <c r="F1445" s="20">
        <f t="shared" si="146"/>
        <v>0</v>
      </c>
      <c r="G1445" s="21">
        <v>103</v>
      </c>
      <c r="H1445" s="20">
        <f t="shared" si="147"/>
        <v>0</v>
      </c>
      <c r="I1445" s="2"/>
      <c r="J1445" s="17"/>
      <c r="K1445" s="17"/>
      <c r="L1445" s="17"/>
    </row>
    <row r="1446" spans="1:12">
      <c r="A1446" s="50"/>
      <c r="B1446" s="49">
        <v>4</v>
      </c>
      <c r="C1446" s="19"/>
      <c r="D1446" s="20">
        <v>0</v>
      </c>
      <c r="E1446" s="21">
        <v>1</v>
      </c>
      <c r="F1446" s="20">
        <f t="shared" si="146"/>
        <v>0</v>
      </c>
      <c r="G1446" s="21">
        <v>104</v>
      </c>
      <c r="H1446" s="20">
        <f t="shared" si="147"/>
        <v>0</v>
      </c>
      <c r="I1446" s="2"/>
      <c r="J1446" s="17"/>
      <c r="K1446" s="17"/>
      <c r="L1446" s="17"/>
    </row>
    <row r="1447" spans="1:12">
      <c r="A1447" s="50"/>
      <c r="B1447" s="49">
        <v>5</v>
      </c>
      <c r="C1447" s="19"/>
      <c r="D1447" s="20">
        <v>0</v>
      </c>
      <c r="E1447" s="21">
        <v>1</v>
      </c>
      <c r="F1447" s="20">
        <f>D1447*E1447</f>
        <v>0</v>
      </c>
      <c r="G1447" s="21">
        <v>102</v>
      </c>
      <c r="H1447" s="20">
        <f>F1447*G1447</f>
        <v>0</v>
      </c>
      <c r="I1447" s="2"/>
      <c r="J1447" s="17"/>
      <c r="K1447" s="17"/>
      <c r="L1447" s="17"/>
    </row>
    <row r="1448" spans="1:12">
      <c r="A1448" s="50"/>
      <c r="B1448" s="49"/>
      <c r="C1448" s="14" t="s">
        <v>727</v>
      </c>
      <c r="D1448" s="20"/>
      <c r="F1448" s="20"/>
      <c r="H1448" s="25">
        <f>SUM(H1443:H1447)</f>
        <v>0</v>
      </c>
      <c r="I1448" s="2"/>
      <c r="J1448" s="17"/>
      <c r="K1448" s="17"/>
      <c r="L1448" s="17"/>
    </row>
    <row r="1449" spans="1:12">
      <c r="A1449" s="50"/>
      <c r="B1449" s="51"/>
      <c r="C1449" s="14"/>
      <c r="D1449" s="20"/>
      <c r="F1449" s="20"/>
      <c r="H1449" s="20"/>
      <c r="I1449" s="2"/>
      <c r="J1449" s="17"/>
      <c r="K1449" s="17"/>
      <c r="L1449" s="17"/>
    </row>
    <row r="1450" spans="1:12">
      <c r="A1450" s="50"/>
      <c r="B1450" s="51"/>
      <c r="C1450" s="14" t="s">
        <v>728</v>
      </c>
      <c r="D1450" s="20"/>
      <c r="F1450" s="20"/>
      <c r="H1450" s="20"/>
      <c r="I1450" s="2"/>
      <c r="J1450" s="17"/>
      <c r="K1450" s="17"/>
      <c r="L1450" s="17"/>
    </row>
    <row r="1451" spans="1:12">
      <c r="A1451" s="50"/>
      <c r="B1451" s="49">
        <v>1</v>
      </c>
      <c r="C1451" s="19" t="s">
        <v>496</v>
      </c>
      <c r="D1451" s="20">
        <v>0</v>
      </c>
      <c r="E1451" s="21">
        <v>1</v>
      </c>
      <c r="F1451" s="20">
        <f>D1451*E1451</f>
        <v>0</v>
      </c>
      <c r="G1451" s="21">
        <v>5384.6153846153848</v>
      </c>
      <c r="H1451" s="20">
        <f>F1451*G1451</f>
        <v>0</v>
      </c>
      <c r="I1451" s="2"/>
      <c r="J1451" s="17"/>
      <c r="K1451" s="17"/>
      <c r="L1451" s="17"/>
    </row>
    <row r="1452" spans="1:12">
      <c r="A1452" s="50"/>
      <c r="B1452" s="49">
        <v>2</v>
      </c>
      <c r="C1452" s="19" t="s">
        <v>497</v>
      </c>
      <c r="D1452" s="20">
        <v>0</v>
      </c>
      <c r="E1452" s="21">
        <v>1</v>
      </c>
      <c r="F1452" s="20">
        <f t="shared" ref="F1452:F1463" si="148">D1452*E1452</f>
        <v>0</v>
      </c>
      <c r="G1452" s="21">
        <v>8307.6923076923067</v>
      </c>
      <c r="H1452" s="20">
        <f t="shared" ref="H1452:H1463" si="149">F1452*G1452</f>
        <v>0</v>
      </c>
      <c r="I1452" s="2"/>
      <c r="J1452" s="17"/>
      <c r="K1452" s="17"/>
      <c r="L1452" s="17"/>
    </row>
    <row r="1453" spans="1:12">
      <c r="A1453" s="50"/>
      <c r="B1453" s="49">
        <v>3</v>
      </c>
      <c r="C1453" s="19" t="s">
        <v>606</v>
      </c>
      <c r="D1453" s="20">
        <v>0</v>
      </c>
      <c r="E1453" s="21">
        <v>1</v>
      </c>
      <c r="F1453" s="20">
        <f t="shared" si="148"/>
        <v>0</v>
      </c>
      <c r="G1453" s="21">
        <v>60.769230769230766</v>
      </c>
      <c r="H1453" s="20">
        <f t="shared" si="149"/>
        <v>0</v>
      </c>
      <c r="I1453" s="2"/>
      <c r="J1453" s="17"/>
      <c r="K1453" s="17"/>
      <c r="L1453" s="17"/>
    </row>
    <row r="1454" spans="1:12">
      <c r="A1454" s="50"/>
      <c r="B1454" s="49">
        <v>4</v>
      </c>
      <c r="C1454" s="19" t="s">
        <v>503</v>
      </c>
      <c r="D1454" s="20">
        <v>0</v>
      </c>
      <c r="E1454" s="21">
        <v>0</v>
      </c>
      <c r="F1454" s="20">
        <f t="shared" si="148"/>
        <v>0</v>
      </c>
      <c r="G1454" s="21">
        <v>40</v>
      </c>
      <c r="H1454" s="20">
        <f t="shared" si="149"/>
        <v>0</v>
      </c>
      <c r="I1454" s="2"/>
      <c r="J1454" s="17"/>
      <c r="K1454" s="17"/>
      <c r="L1454" s="17"/>
    </row>
    <row r="1455" spans="1:12">
      <c r="A1455" s="50"/>
      <c r="B1455" s="49">
        <v>5</v>
      </c>
      <c r="C1455" s="19" t="s">
        <v>504</v>
      </c>
      <c r="D1455" s="20">
        <v>0</v>
      </c>
      <c r="E1455" s="21">
        <v>0</v>
      </c>
      <c r="F1455" s="20">
        <f t="shared" si="148"/>
        <v>0</v>
      </c>
      <c r="G1455" s="21">
        <v>49000</v>
      </c>
      <c r="H1455" s="20">
        <f t="shared" si="149"/>
        <v>0</v>
      </c>
      <c r="I1455" s="2"/>
      <c r="J1455" s="17"/>
      <c r="K1455" s="17"/>
      <c r="L1455" s="17"/>
    </row>
    <row r="1456" spans="1:12">
      <c r="A1456" s="50"/>
      <c r="B1456" s="49">
        <v>6</v>
      </c>
      <c r="C1456" s="19" t="s">
        <v>507</v>
      </c>
      <c r="D1456" s="20">
        <v>0</v>
      </c>
      <c r="E1456" s="21">
        <v>0</v>
      </c>
      <c r="F1456" s="20">
        <f t="shared" si="148"/>
        <v>0</v>
      </c>
      <c r="G1456" s="21">
        <v>230.76923076923077</v>
      </c>
      <c r="H1456" s="20">
        <f t="shared" si="149"/>
        <v>0</v>
      </c>
      <c r="I1456" s="2"/>
      <c r="J1456" s="17"/>
      <c r="K1456" s="17"/>
      <c r="L1456" s="17"/>
    </row>
    <row r="1457" spans="1:12">
      <c r="A1457" s="50"/>
      <c r="B1457" s="49">
        <v>7</v>
      </c>
      <c r="C1457" s="19" t="s">
        <v>508</v>
      </c>
      <c r="D1457" s="20">
        <v>0</v>
      </c>
      <c r="E1457" s="21">
        <v>0.14399999999999999</v>
      </c>
      <c r="F1457" s="20">
        <f t="shared" si="148"/>
        <v>0</v>
      </c>
      <c r="G1457" s="21">
        <v>9000</v>
      </c>
      <c r="H1457" s="20">
        <f t="shared" si="149"/>
        <v>0</v>
      </c>
      <c r="I1457" s="2"/>
      <c r="J1457" s="17"/>
      <c r="K1457" s="17"/>
      <c r="L1457" s="17"/>
    </row>
    <row r="1458" spans="1:12">
      <c r="A1458" s="50"/>
      <c r="B1458" s="49">
        <v>8</v>
      </c>
      <c r="C1458" s="19" t="s">
        <v>352</v>
      </c>
      <c r="D1458" s="20">
        <v>0</v>
      </c>
      <c r="E1458" s="21">
        <v>0.58199999999999996</v>
      </c>
      <c r="F1458" s="20">
        <f t="shared" si="148"/>
        <v>0</v>
      </c>
      <c r="G1458" s="21">
        <v>177.69230769230768</v>
      </c>
      <c r="H1458" s="20">
        <f t="shared" si="149"/>
        <v>0</v>
      </c>
      <c r="I1458" s="2"/>
      <c r="J1458" s="17"/>
      <c r="K1458" s="17"/>
      <c r="L1458" s="17"/>
    </row>
    <row r="1459" spans="1:12">
      <c r="A1459" s="50"/>
      <c r="B1459" s="49">
        <v>9</v>
      </c>
      <c r="C1459" s="19" t="s">
        <v>45</v>
      </c>
      <c r="D1459" s="20">
        <v>0</v>
      </c>
      <c r="E1459" s="21">
        <v>0.58199999999999996</v>
      </c>
      <c r="F1459" s="20">
        <f t="shared" si="148"/>
        <v>0</v>
      </c>
      <c r="G1459" s="21">
        <v>77.692307692307693</v>
      </c>
      <c r="H1459" s="20">
        <f t="shared" si="149"/>
        <v>0</v>
      </c>
      <c r="I1459" s="2"/>
      <c r="J1459" s="17"/>
      <c r="K1459" s="17"/>
      <c r="L1459" s="17"/>
    </row>
    <row r="1460" spans="1:12">
      <c r="A1460" s="50"/>
      <c r="B1460" s="49">
        <v>10</v>
      </c>
      <c r="C1460" s="19" t="s">
        <v>351</v>
      </c>
      <c r="D1460" s="20">
        <v>0</v>
      </c>
      <c r="E1460" s="21">
        <v>0.58199999999999996</v>
      </c>
      <c r="F1460" s="20">
        <f t="shared" si="148"/>
        <v>0</v>
      </c>
      <c r="G1460" s="21">
        <v>264.61538461538458</v>
      </c>
      <c r="H1460" s="20">
        <f t="shared" si="149"/>
        <v>0</v>
      </c>
      <c r="I1460" s="2"/>
      <c r="J1460" s="17"/>
      <c r="K1460" s="17"/>
      <c r="L1460" s="17"/>
    </row>
    <row r="1461" spans="1:12">
      <c r="A1461" s="50"/>
      <c r="B1461" s="49">
        <v>11</v>
      </c>
      <c r="C1461" s="19" t="s">
        <v>629</v>
      </c>
      <c r="D1461" s="20">
        <v>0</v>
      </c>
      <c r="E1461" s="21">
        <v>1</v>
      </c>
      <c r="F1461" s="20">
        <f t="shared" si="148"/>
        <v>0</v>
      </c>
      <c r="G1461" s="69">
        <v>12000</v>
      </c>
      <c r="H1461" s="20">
        <f t="shared" si="149"/>
        <v>0</v>
      </c>
      <c r="I1461" s="2"/>
      <c r="J1461" s="17"/>
      <c r="K1461" s="17"/>
      <c r="L1461" s="17"/>
    </row>
    <row r="1462" spans="1:12">
      <c r="A1462" s="50"/>
      <c r="B1462" s="49">
        <v>12</v>
      </c>
      <c r="C1462" s="19" t="s">
        <v>630</v>
      </c>
      <c r="D1462" s="20">
        <v>0</v>
      </c>
      <c r="E1462" s="21">
        <v>0.01</v>
      </c>
      <c r="F1462" s="20">
        <f t="shared" si="148"/>
        <v>0</v>
      </c>
      <c r="G1462" s="69">
        <v>91000</v>
      </c>
      <c r="H1462" s="20">
        <f t="shared" si="149"/>
        <v>0</v>
      </c>
      <c r="I1462" s="2"/>
      <c r="J1462" s="17"/>
      <c r="K1462" s="17"/>
      <c r="L1462" s="17"/>
    </row>
    <row r="1463" spans="1:12">
      <c r="A1463" s="50"/>
      <c r="B1463" s="49">
        <v>13</v>
      </c>
      <c r="C1463" s="19"/>
      <c r="D1463" s="20">
        <v>0</v>
      </c>
      <c r="E1463" s="21">
        <v>1</v>
      </c>
      <c r="F1463" s="20">
        <f t="shared" si="148"/>
        <v>0</v>
      </c>
      <c r="G1463" s="21">
        <v>113</v>
      </c>
      <c r="H1463" s="20">
        <f t="shared" si="149"/>
        <v>0</v>
      </c>
      <c r="I1463" s="2"/>
      <c r="J1463" s="17"/>
      <c r="K1463" s="17"/>
      <c r="L1463" s="17"/>
    </row>
    <row r="1464" spans="1:12">
      <c r="A1464" s="50"/>
      <c r="B1464" s="49">
        <v>14</v>
      </c>
      <c r="C1464" s="19"/>
      <c r="D1464" s="20">
        <v>0</v>
      </c>
      <c r="E1464" s="21">
        <v>1</v>
      </c>
      <c r="F1464" s="20">
        <f>D1464*E1464</f>
        <v>0</v>
      </c>
      <c r="G1464" s="21">
        <v>102</v>
      </c>
      <c r="H1464" s="20">
        <f>F1464*G1464</f>
        <v>0</v>
      </c>
      <c r="I1464" s="2"/>
      <c r="J1464" s="17"/>
      <c r="K1464" s="17"/>
      <c r="L1464" s="17"/>
    </row>
    <row r="1465" spans="1:12">
      <c r="A1465" s="50"/>
      <c r="B1465" s="49"/>
      <c r="C1465" s="14" t="s">
        <v>729</v>
      </c>
      <c r="D1465" s="20"/>
      <c r="F1465" s="20"/>
      <c r="H1465" s="25">
        <f>SUM(H1451:H1464)</f>
        <v>0</v>
      </c>
      <c r="I1465" s="2"/>
      <c r="J1465" s="17"/>
      <c r="K1465" s="17"/>
      <c r="L1465" s="17"/>
    </row>
    <row r="1466" spans="1:12">
      <c r="A1466" s="50"/>
      <c r="B1466" s="51"/>
      <c r="C1466" s="14"/>
      <c r="D1466" s="20"/>
      <c r="F1466" s="20"/>
      <c r="H1466" s="20"/>
      <c r="I1466" s="2"/>
      <c r="J1466" s="17"/>
      <c r="K1466" s="17"/>
      <c r="L1466" s="17"/>
    </row>
    <row r="1467" spans="1:12">
      <c r="A1467" s="50"/>
      <c r="B1467" s="51"/>
      <c r="C1467" s="14" t="s">
        <v>730</v>
      </c>
      <c r="D1467" s="20"/>
      <c r="F1467" s="20"/>
      <c r="H1467" s="20"/>
      <c r="I1467" s="2"/>
      <c r="J1467" s="17"/>
      <c r="K1467" s="17"/>
      <c r="L1467" s="17"/>
    </row>
    <row r="1468" spans="1:12">
      <c r="A1468" s="50"/>
      <c r="B1468" s="49">
        <v>1</v>
      </c>
      <c r="C1468" s="19" t="s">
        <v>514</v>
      </c>
      <c r="D1468" s="20">
        <v>0</v>
      </c>
      <c r="E1468" s="21">
        <v>1</v>
      </c>
      <c r="F1468" s="20">
        <f>D1468*E1468</f>
        <v>0</v>
      </c>
      <c r="G1468" s="21">
        <v>40000</v>
      </c>
      <c r="H1468" s="20">
        <f>F1468*G1468</f>
        <v>0</v>
      </c>
      <c r="I1468" s="2"/>
      <c r="J1468" s="17"/>
      <c r="K1468" s="17"/>
      <c r="L1468" s="17"/>
    </row>
    <row r="1469" spans="1:12">
      <c r="A1469" s="50"/>
      <c r="B1469" s="49">
        <v>2</v>
      </c>
      <c r="C1469" s="19"/>
      <c r="D1469" s="20">
        <v>0</v>
      </c>
      <c r="E1469" s="21">
        <v>1</v>
      </c>
      <c r="F1469" s="20">
        <f t="shared" ref="F1469:F1471" si="150">D1469*E1469</f>
        <v>0</v>
      </c>
      <c r="G1469" s="21">
        <v>102</v>
      </c>
      <c r="H1469" s="20">
        <f t="shared" ref="H1469:H1471" si="151">F1469*G1469</f>
        <v>0</v>
      </c>
      <c r="I1469" s="2"/>
      <c r="J1469" s="17"/>
      <c r="K1469" s="17"/>
      <c r="L1469" s="17"/>
    </row>
    <row r="1470" spans="1:12">
      <c r="A1470" s="50"/>
      <c r="B1470" s="49">
        <v>3</v>
      </c>
      <c r="C1470" s="19"/>
      <c r="D1470" s="20">
        <v>0</v>
      </c>
      <c r="E1470" s="21">
        <v>1</v>
      </c>
      <c r="F1470" s="20">
        <f t="shared" si="150"/>
        <v>0</v>
      </c>
      <c r="G1470" s="21">
        <v>103</v>
      </c>
      <c r="H1470" s="20">
        <f t="shared" si="151"/>
        <v>0</v>
      </c>
      <c r="I1470" s="2"/>
      <c r="J1470" s="17"/>
      <c r="K1470" s="17"/>
      <c r="L1470" s="17"/>
    </row>
    <row r="1471" spans="1:12">
      <c r="A1471" s="50"/>
      <c r="B1471" s="49">
        <v>4</v>
      </c>
      <c r="C1471" s="19"/>
      <c r="D1471" s="20">
        <v>0</v>
      </c>
      <c r="E1471" s="21">
        <v>1</v>
      </c>
      <c r="F1471" s="20">
        <f t="shared" si="150"/>
        <v>0</v>
      </c>
      <c r="G1471" s="21">
        <v>104</v>
      </c>
      <c r="H1471" s="20">
        <f t="shared" si="151"/>
        <v>0</v>
      </c>
      <c r="I1471" s="2"/>
      <c r="J1471" s="17"/>
      <c r="K1471" s="17"/>
      <c r="L1471" s="17"/>
    </row>
    <row r="1472" spans="1:12">
      <c r="A1472" s="50"/>
      <c r="B1472" s="49">
        <v>5</v>
      </c>
      <c r="C1472" s="19"/>
      <c r="D1472" s="20">
        <v>0</v>
      </c>
      <c r="E1472" s="21">
        <v>1</v>
      </c>
      <c r="F1472" s="20">
        <f>D1472*E1472</f>
        <v>0</v>
      </c>
      <c r="G1472" s="21">
        <v>102</v>
      </c>
      <c r="H1472" s="20">
        <f>F1472*G1472</f>
        <v>0</v>
      </c>
      <c r="I1472" s="2"/>
      <c r="J1472" s="17"/>
      <c r="K1472" s="17"/>
      <c r="L1472" s="17"/>
    </row>
    <row r="1473" spans="1:12">
      <c r="A1473" s="50"/>
      <c r="B1473" s="49"/>
      <c r="C1473" s="14" t="s">
        <v>731</v>
      </c>
      <c r="D1473" s="20"/>
      <c r="F1473" s="20"/>
      <c r="H1473" s="25">
        <f>SUM(H1468:H1472)</f>
        <v>0</v>
      </c>
      <c r="I1473" s="2"/>
      <c r="J1473" s="17"/>
      <c r="K1473" s="17"/>
      <c r="L1473" s="17"/>
    </row>
    <row r="1474" spans="1:12">
      <c r="A1474" s="50"/>
      <c r="B1474" s="51"/>
      <c r="C1474" s="14"/>
      <c r="D1474" s="20"/>
      <c r="F1474" s="20"/>
      <c r="H1474" s="20"/>
      <c r="I1474" s="2"/>
      <c r="J1474" s="17"/>
      <c r="K1474" s="17"/>
      <c r="L1474" s="17"/>
    </row>
    <row r="1475" spans="1:12">
      <c r="A1475" s="50"/>
      <c r="B1475" s="51"/>
      <c r="C1475" s="14" t="s">
        <v>732</v>
      </c>
      <c r="D1475" s="20"/>
      <c r="F1475" s="20"/>
      <c r="H1475" s="20"/>
      <c r="I1475" s="2"/>
      <c r="J1475" s="17"/>
      <c r="K1475" s="17"/>
      <c r="L1475" s="17"/>
    </row>
    <row r="1476" spans="1:12">
      <c r="A1476" s="50"/>
      <c r="B1476" s="49">
        <v>1</v>
      </c>
      <c r="C1476" s="19" t="s">
        <v>219</v>
      </c>
      <c r="D1476" s="20">
        <v>0</v>
      </c>
      <c r="E1476" s="21">
        <v>1</v>
      </c>
      <c r="F1476" s="20">
        <f>D1476*E1476</f>
        <v>0</v>
      </c>
      <c r="G1476" s="69">
        <v>12507</v>
      </c>
      <c r="H1476" s="20">
        <f>F1476*G1476</f>
        <v>0</v>
      </c>
      <c r="I1476" s="2"/>
      <c r="J1476" s="17"/>
      <c r="K1476" s="17"/>
      <c r="L1476" s="17"/>
    </row>
    <row r="1477" spans="1:12">
      <c r="A1477" s="50"/>
      <c r="B1477" s="49">
        <v>2</v>
      </c>
      <c r="C1477" s="19" t="s">
        <v>64</v>
      </c>
      <c r="D1477" s="20">
        <v>0</v>
      </c>
      <c r="E1477" s="21">
        <v>1</v>
      </c>
      <c r="F1477" s="20">
        <f t="shared" ref="F1477:F1481" si="152">D1477*E1477</f>
        <v>0</v>
      </c>
      <c r="G1477" s="69">
        <v>12507</v>
      </c>
      <c r="H1477" s="20">
        <f t="shared" ref="H1477:H1481" si="153">F1477*G1477</f>
        <v>0</v>
      </c>
      <c r="I1477" s="2"/>
      <c r="J1477" s="17"/>
      <c r="K1477" s="17"/>
      <c r="L1477" s="17"/>
    </row>
    <row r="1478" spans="1:12">
      <c r="A1478" s="50"/>
      <c r="B1478" s="49">
        <v>3</v>
      </c>
      <c r="C1478" s="19" t="s">
        <v>65</v>
      </c>
      <c r="D1478" s="20">
        <v>0</v>
      </c>
      <c r="E1478" s="21">
        <v>1</v>
      </c>
      <c r="F1478" s="20">
        <f t="shared" si="152"/>
        <v>0</v>
      </c>
      <c r="G1478" s="69">
        <v>12507</v>
      </c>
      <c r="H1478" s="20">
        <f t="shared" si="153"/>
        <v>0</v>
      </c>
      <c r="I1478" s="2"/>
      <c r="J1478" s="17"/>
      <c r="K1478" s="17"/>
      <c r="L1478" s="17"/>
    </row>
    <row r="1479" spans="1:12">
      <c r="A1479" s="50"/>
      <c r="B1479" s="49">
        <v>4</v>
      </c>
      <c r="C1479" s="19" t="s">
        <v>358</v>
      </c>
      <c r="D1479" s="20">
        <v>0</v>
      </c>
      <c r="E1479" s="21">
        <v>1</v>
      </c>
      <c r="F1479" s="20">
        <f t="shared" si="152"/>
        <v>0</v>
      </c>
      <c r="G1479" s="69">
        <v>12507</v>
      </c>
      <c r="H1479" s="20">
        <f t="shared" si="153"/>
        <v>0</v>
      </c>
      <c r="I1479" s="2"/>
      <c r="J1479" s="17"/>
      <c r="K1479" s="17"/>
      <c r="L1479" s="17"/>
    </row>
    <row r="1480" spans="1:12">
      <c r="A1480" s="50"/>
      <c r="B1480" s="49">
        <v>5</v>
      </c>
      <c r="C1480" s="19" t="s">
        <v>222</v>
      </c>
      <c r="D1480" s="20">
        <v>0</v>
      </c>
      <c r="E1480" s="21">
        <v>1</v>
      </c>
      <c r="F1480" s="20">
        <f t="shared" si="152"/>
        <v>0</v>
      </c>
      <c r="G1480" s="69">
        <v>12507</v>
      </c>
      <c r="H1480" s="20">
        <f t="shared" si="153"/>
        <v>0</v>
      </c>
      <c r="I1480" s="2"/>
      <c r="J1480" s="17"/>
      <c r="K1480" s="17"/>
      <c r="L1480" s="17"/>
    </row>
    <row r="1481" spans="1:12">
      <c r="A1481" s="50"/>
      <c r="B1481" s="49">
        <v>6</v>
      </c>
      <c r="C1481" s="19" t="s">
        <v>360</v>
      </c>
      <c r="D1481" s="20">
        <v>0</v>
      </c>
      <c r="E1481" s="21">
        <v>1</v>
      </c>
      <c r="F1481" s="20">
        <f t="shared" si="152"/>
        <v>0</v>
      </c>
      <c r="G1481" s="69">
        <v>31769</v>
      </c>
      <c r="H1481" s="20">
        <f t="shared" si="153"/>
        <v>0</v>
      </c>
      <c r="I1481" s="2"/>
      <c r="J1481" s="17"/>
      <c r="K1481" s="17"/>
      <c r="L1481" s="17"/>
    </row>
    <row r="1482" spans="1:12">
      <c r="A1482" s="50"/>
      <c r="B1482" s="49">
        <v>7</v>
      </c>
      <c r="C1482" s="19"/>
      <c r="D1482" s="20">
        <v>0</v>
      </c>
      <c r="E1482" s="21">
        <v>1</v>
      </c>
      <c r="F1482" s="20">
        <f>D1482*E1482</f>
        <v>0</v>
      </c>
      <c r="G1482" s="31">
        <v>102</v>
      </c>
      <c r="H1482" s="20">
        <f>F1482*G1482</f>
        <v>0</v>
      </c>
      <c r="I1482" s="2"/>
      <c r="J1482" s="17"/>
      <c r="K1482" s="17"/>
      <c r="L1482" s="17"/>
    </row>
    <row r="1483" spans="1:12">
      <c r="A1483" s="50"/>
      <c r="B1483" s="49"/>
      <c r="C1483" s="14" t="s">
        <v>733</v>
      </c>
      <c r="D1483" s="20"/>
      <c r="F1483" s="20"/>
      <c r="H1483" s="25">
        <f>SUM(H1476:H1482)</f>
        <v>0</v>
      </c>
      <c r="I1483" s="2"/>
      <c r="J1483" s="17"/>
      <c r="K1483" s="17"/>
      <c r="L1483" s="17"/>
    </row>
    <row r="1484" spans="1:12">
      <c r="A1484" s="50"/>
      <c r="B1484" s="49"/>
      <c r="C1484" s="14"/>
      <c r="D1484" s="20"/>
      <c r="F1484" s="20"/>
      <c r="H1484" s="25"/>
      <c r="I1484" s="2"/>
      <c r="J1484" s="17"/>
      <c r="K1484" s="17"/>
      <c r="L1484" s="17"/>
    </row>
    <row r="1485" spans="1:12">
      <c r="A1485" s="50"/>
      <c r="B1485" s="51"/>
      <c r="C1485" s="14" t="s">
        <v>734</v>
      </c>
      <c r="D1485" s="20"/>
      <c r="F1485" s="20"/>
      <c r="H1485" s="20"/>
      <c r="I1485" s="2"/>
      <c r="J1485" s="17"/>
      <c r="K1485" s="17"/>
      <c r="L1485" s="17"/>
    </row>
    <row r="1486" spans="1:12">
      <c r="A1486" s="50"/>
      <c r="B1486" s="49">
        <v>1</v>
      </c>
      <c r="C1486" s="19" t="s">
        <v>638</v>
      </c>
      <c r="D1486" s="20">
        <v>0</v>
      </c>
      <c r="E1486" s="21">
        <v>1</v>
      </c>
      <c r="F1486" s="20">
        <f>D1486*E1486</f>
        <v>0</v>
      </c>
      <c r="G1486" s="21">
        <v>140000</v>
      </c>
      <c r="H1486" s="20">
        <f>F1486*G1486</f>
        <v>0</v>
      </c>
      <c r="I1486" s="2"/>
      <c r="J1486" s="17"/>
      <c r="K1486" s="17"/>
      <c r="L1486" s="17"/>
    </row>
    <row r="1487" spans="1:12">
      <c r="A1487" s="50"/>
      <c r="B1487" s="49">
        <v>2</v>
      </c>
      <c r="C1487" s="19" t="s">
        <v>76</v>
      </c>
      <c r="D1487" s="20">
        <v>0</v>
      </c>
      <c r="E1487" s="21">
        <v>1</v>
      </c>
      <c r="F1487" s="20">
        <f t="shared" ref="F1487:F1493" si="154">D1487*E1487</f>
        <v>0</v>
      </c>
      <c r="G1487" s="21">
        <v>30770</v>
      </c>
      <c r="H1487" s="20">
        <f t="shared" ref="H1487:H1493" si="155">F1487*G1487</f>
        <v>0</v>
      </c>
      <c r="I1487" s="2"/>
      <c r="J1487" s="17"/>
      <c r="K1487" s="17"/>
      <c r="L1487" s="17"/>
    </row>
    <row r="1488" spans="1:12">
      <c r="A1488" s="50"/>
      <c r="B1488" s="49">
        <v>3</v>
      </c>
      <c r="C1488" s="19" t="s">
        <v>639</v>
      </c>
      <c r="D1488" s="20">
        <v>0</v>
      </c>
      <c r="E1488" s="21">
        <v>1</v>
      </c>
      <c r="F1488" s="20">
        <f t="shared" si="154"/>
        <v>0</v>
      </c>
      <c r="G1488" s="21">
        <v>30770</v>
      </c>
      <c r="H1488" s="20">
        <f t="shared" si="155"/>
        <v>0</v>
      </c>
      <c r="I1488" s="2"/>
      <c r="J1488" s="17"/>
      <c r="K1488" s="17"/>
      <c r="L1488" s="17"/>
    </row>
    <row r="1489" spans="1:12">
      <c r="A1489" s="50"/>
      <c r="B1489" s="49">
        <v>4</v>
      </c>
      <c r="C1489" s="19"/>
      <c r="D1489" s="20">
        <v>0</v>
      </c>
      <c r="E1489" s="21">
        <v>4</v>
      </c>
      <c r="F1489" s="20">
        <f t="shared" si="154"/>
        <v>0</v>
      </c>
      <c r="G1489" s="21">
        <v>104</v>
      </c>
      <c r="H1489" s="20">
        <f t="shared" si="155"/>
        <v>0</v>
      </c>
      <c r="I1489" s="2"/>
      <c r="J1489" s="17"/>
      <c r="K1489" s="17"/>
      <c r="L1489" s="17"/>
    </row>
    <row r="1490" spans="1:12">
      <c r="A1490" s="50"/>
      <c r="B1490" s="49">
        <v>5</v>
      </c>
      <c r="C1490" s="19"/>
      <c r="D1490" s="20">
        <v>0</v>
      </c>
      <c r="E1490" s="21">
        <v>5</v>
      </c>
      <c r="F1490" s="20">
        <f t="shared" si="154"/>
        <v>0</v>
      </c>
      <c r="G1490" s="21">
        <v>105</v>
      </c>
      <c r="H1490" s="20">
        <f t="shared" si="155"/>
        <v>0</v>
      </c>
      <c r="I1490" s="2"/>
      <c r="J1490" s="17"/>
      <c r="K1490" s="17"/>
      <c r="L1490" s="17"/>
    </row>
    <row r="1491" spans="1:12">
      <c r="A1491" s="50"/>
      <c r="B1491" s="49">
        <v>6</v>
      </c>
      <c r="C1491" s="19"/>
      <c r="D1491" s="20">
        <v>0</v>
      </c>
      <c r="E1491" s="21">
        <v>6</v>
      </c>
      <c r="F1491" s="20">
        <f t="shared" si="154"/>
        <v>0</v>
      </c>
      <c r="G1491" s="21">
        <v>106</v>
      </c>
      <c r="H1491" s="20">
        <f t="shared" si="155"/>
        <v>0</v>
      </c>
      <c r="I1491" s="2"/>
      <c r="J1491" s="17"/>
      <c r="K1491" s="17"/>
      <c r="L1491" s="17"/>
    </row>
    <row r="1492" spans="1:12">
      <c r="A1492" s="50"/>
      <c r="B1492" s="49">
        <v>7</v>
      </c>
      <c r="C1492" s="19"/>
      <c r="D1492" s="20">
        <v>0</v>
      </c>
      <c r="E1492" s="21">
        <v>7</v>
      </c>
      <c r="F1492" s="20">
        <f t="shared" si="154"/>
        <v>0</v>
      </c>
      <c r="G1492" s="21">
        <v>107</v>
      </c>
      <c r="H1492" s="20">
        <f t="shared" si="155"/>
        <v>0</v>
      </c>
      <c r="I1492" s="2"/>
      <c r="J1492" s="17"/>
      <c r="K1492" s="17"/>
      <c r="L1492" s="17"/>
    </row>
    <row r="1493" spans="1:12">
      <c r="A1493" s="50"/>
      <c r="B1493" s="49">
        <v>8</v>
      </c>
      <c r="C1493" s="19"/>
      <c r="D1493" s="20">
        <v>0</v>
      </c>
      <c r="E1493" s="21">
        <v>8</v>
      </c>
      <c r="F1493" s="20">
        <f t="shared" si="154"/>
        <v>0</v>
      </c>
      <c r="G1493" s="21">
        <v>108</v>
      </c>
      <c r="H1493" s="20">
        <f t="shared" si="155"/>
        <v>0</v>
      </c>
      <c r="I1493" s="2"/>
      <c r="J1493" s="17"/>
      <c r="K1493" s="17"/>
      <c r="L1493" s="17"/>
    </row>
    <row r="1494" spans="1:12">
      <c r="A1494" s="50"/>
      <c r="B1494" s="49">
        <v>9</v>
      </c>
      <c r="C1494" s="19"/>
      <c r="D1494" s="20">
        <v>0</v>
      </c>
      <c r="E1494" s="21">
        <v>1</v>
      </c>
      <c r="F1494" s="20">
        <f>D1494*E1494</f>
        <v>0</v>
      </c>
      <c r="G1494" s="21">
        <v>102</v>
      </c>
      <c r="H1494" s="20">
        <f>F1494*G1494</f>
        <v>0</v>
      </c>
      <c r="I1494" s="2"/>
      <c r="J1494" s="17"/>
      <c r="K1494" s="17"/>
      <c r="L1494" s="17"/>
    </row>
    <row r="1495" spans="1:12">
      <c r="A1495" s="50"/>
      <c r="B1495" s="49"/>
      <c r="C1495" s="14" t="s">
        <v>735</v>
      </c>
      <c r="D1495" s="20"/>
      <c r="F1495" s="20"/>
      <c r="H1495" s="25">
        <f>SUM(H1486:H1494)</f>
        <v>0</v>
      </c>
      <c r="I1495" s="2"/>
      <c r="J1495" s="17"/>
      <c r="K1495" s="17"/>
      <c r="L1495" s="17"/>
    </row>
    <row r="1496" spans="1:12">
      <c r="A1496" s="50"/>
      <c r="B1496" s="49"/>
      <c r="C1496" s="14"/>
      <c r="D1496" s="20"/>
      <c r="F1496" s="20"/>
      <c r="H1496" s="25"/>
      <c r="I1496" s="2"/>
      <c r="J1496" s="17"/>
      <c r="K1496" s="17"/>
      <c r="L1496" s="17"/>
    </row>
    <row r="1497" spans="1:12">
      <c r="A1497" s="50"/>
      <c r="B1497" s="51"/>
      <c r="C1497" s="14" t="s">
        <v>736</v>
      </c>
      <c r="D1497" s="20"/>
      <c r="F1497" s="20"/>
      <c r="H1497" s="25">
        <f>H1424+H1432+H1440+H1448+H1465+H1473+H1483+H1495</f>
        <v>0</v>
      </c>
      <c r="I1497" s="2"/>
      <c r="J1497" s="17"/>
      <c r="K1497" s="17"/>
      <c r="L1497" s="17"/>
    </row>
    <row r="1498" spans="1:12">
      <c r="A1498" s="50"/>
      <c r="B1498" s="51"/>
      <c r="C1498" s="14"/>
      <c r="D1498" s="20"/>
      <c r="F1498" s="20"/>
      <c r="H1498" s="20"/>
      <c r="I1498" s="2"/>
      <c r="J1498" s="17"/>
      <c r="K1498" s="17"/>
      <c r="L1498" s="17"/>
    </row>
    <row r="1499" spans="1:12">
      <c r="A1499" s="50"/>
      <c r="B1499" s="51"/>
      <c r="C1499" s="14"/>
      <c r="D1499" s="20"/>
      <c r="F1499" s="20"/>
      <c r="H1499" s="20"/>
      <c r="I1499" s="2"/>
      <c r="J1499" s="17"/>
      <c r="K1499" s="17"/>
      <c r="L1499" s="17"/>
    </row>
    <row r="1500" spans="1:12" ht="26">
      <c r="A1500" s="50"/>
      <c r="B1500" s="48" t="s">
        <v>737</v>
      </c>
      <c r="C1500" s="14" t="s">
        <v>738</v>
      </c>
      <c r="D1500" s="20"/>
      <c r="F1500" s="20"/>
      <c r="H1500" s="20"/>
      <c r="I1500" s="2"/>
      <c r="J1500" s="17"/>
      <c r="K1500" s="17"/>
      <c r="L1500" s="17"/>
    </row>
    <row r="1501" spans="1:12">
      <c r="A1501" s="50"/>
      <c r="B1501" s="49">
        <v>1</v>
      </c>
      <c r="C1501" s="19"/>
      <c r="D1501" s="20">
        <v>0</v>
      </c>
      <c r="E1501" s="21">
        <v>1</v>
      </c>
      <c r="F1501" s="20">
        <f>D1501*E1501</f>
        <v>0</v>
      </c>
      <c r="G1501" s="21">
        <v>101</v>
      </c>
      <c r="H1501" s="20">
        <f>F1501*G1501</f>
        <v>0</v>
      </c>
      <c r="I1501" s="2"/>
      <c r="J1501" s="17"/>
      <c r="K1501" s="17"/>
      <c r="L1501" s="17"/>
    </row>
    <row r="1502" spans="1:12">
      <c r="A1502" s="50"/>
      <c r="B1502" s="49">
        <v>2</v>
      </c>
      <c r="C1502" s="19"/>
      <c r="D1502" s="20">
        <v>0</v>
      </c>
      <c r="E1502" s="21">
        <v>1</v>
      </c>
      <c r="F1502" s="20">
        <f t="shared" ref="F1502:F1504" si="156">D1502*E1502</f>
        <v>0</v>
      </c>
      <c r="G1502" s="21">
        <v>102</v>
      </c>
      <c r="H1502" s="20">
        <f t="shared" ref="H1502:H1504" si="157">F1502*G1502</f>
        <v>0</v>
      </c>
      <c r="I1502" s="2"/>
      <c r="J1502" s="17"/>
      <c r="K1502" s="17"/>
      <c r="L1502" s="17"/>
    </row>
    <row r="1503" spans="1:12">
      <c r="A1503" s="50"/>
      <c r="B1503" s="49">
        <v>3</v>
      </c>
      <c r="C1503" s="19"/>
      <c r="D1503" s="20">
        <v>0</v>
      </c>
      <c r="E1503" s="21">
        <v>1</v>
      </c>
      <c r="F1503" s="20">
        <f t="shared" si="156"/>
        <v>0</v>
      </c>
      <c r="G1503" s="21">
        <v>103</v>
      </c>
      <c r="H1503" s="20">
        <f t="shared" si="157"/>
        <v>0</v>
      </c>
      <c r="I1503" s="2"/>
      <c r="J1503" s="17"/>
      <c r="K1503" s="17"/>
      <c r="L1503" s="17"/>
    </row>
    <row r="1504" spans="1:12">
      <c r="A1504" s="50"/>
      <c r="B1504" s="49">
        <v>4</v>
      </c>
      <c r="C1504" s="19"/>
      <c r="D1504" s="20">
        <v>0</v>
      </c>
      <c r="E1504" s="21">
        <v>1</v>
      </c>
      <c r="F1504" s="20">
        <f t="shared" si="156"/>
        <v>0</v>
      </c>
      <c r="G1504" s="21">
        <v>104</v>
      </c>
      <c r="H1504" s="20">
        <f t="shared" si="157"/>
        <v>0</v>
      </c>
      <c r="I1504" s="2"/>
      <c r="J1504" s="17"/>
      <c r="K1504" s="17"/>
      <c r="L1504" s="17"/>
    </row>
    <row r="1505" spans="1:12">
      <c r="A1505" s="50"/>
      <c r="B1505" s="49">
        <v>5</v>
      </c>
      <c r="C1505" s="19"/>
      <c r="D1505" s="20">
        <v>0</v>
      </c>
      <c r="E1505" s="21">
        <v>1</v>
      </c>
      <c r="F1505" s="20">
        <f>D1505*E1505</f>
        <v>0</v>
      </c>
      <c r="G1505" s="21">
        <v>102</v>
      </c>
      <c r="H1505" s="20">
        <f>F1505*G1505</f>
        <v>0</v>
      </c>
      <c r="I1505" s="2"/>
      <c r="J1505" s="17"/>
      <c r="K1505" s="17"/>
      <c r="L1505" s="17"/>
    </row>
    <row r="1506" spans="1:12">
      <c r="A1506" s="50"/>
      <c r="B1506" s="49"/>
      <c r="C1506" s="14" t="s">
        <v>739</v>
      </c>
      <c r="D1506" s="20"/>
      <c r="F1506" s="20"/>
      <c r="H1506" s="25">
        <f>SUM(H1501:H1505)</f>
        <v>0</v>
      </c>
      <c r="I1506" s="2"/>
      <c r="J1506" s="17"/>
      <c r="K1506" s="17"/>
      <c r="L1506" s="17"/>
    </row>
    <row r="1507" spans="1:12">
      <c r="A1507" s="50"/>
      <c r="B1507" s="48"/>
      <c r="C1507" s="14"/>
      <c r="D1507" s="20"/>
      <c r="F1507" s="20"/>
      <c r="H1507" s="20"/>
      <c r="I1507" s="2"/>
      <c r="J1507" s="17"/>
      <c r="K1507" s="17"/>
      <c r="L1507" s="17"/>
    </row>
    <row r="1508" spans="1:12">
      <c r="A1508" s="50"/>
      <c r="B1508" s="51"/>
      <c r="C1508" s="14" t="s">
        <v>740</v>
      </c>
      <c r="D1508" s="20"/>
      <c r="F1508" s="20"/>
      <c r="H1508" s="20"/>
      <c r="I1508" s="2"/>
      <c r="J1508" s="17"/>
      <c r="K1508" s="17"/>
      <c r="L1508" s="17"/>
    </row>
    <row r="1509" spans="1:12">
      <c r="A1509" s="50"/>
      <c r="B1509" s="49">
        <v>1</v>
      </c>
      <c r="C1509" s="19"/>
      <c r="D1509" s="20">
        <v>0</v>
      </c>
      <c r="E1509" s="21">
        <v>1</v>
      </c>
      <c r="F1509" s="20">
        <f>D1509*E1509</f>
        <v>0</v>
      </c>
      <c r="G1509" s="21">
        <v>101</v>
      </c>
      <c r="H1509" s="20">
        <f>F1509*G1509</f>
        <v>0</v>
      </c>
      <c r="I1509" s="2"/>
      <c r="J1509" s="17"/>
      <c r="K1509" s="17"/>
      <c r="L1509" s="17"/>
    </row>
    <row r="1510" spans="1:12">
      <c r="A1510" s="50"/>
      <c r="B1510" s="49">
        <v>2</v>
      </c>
      <c r="C1510" s="19"/>
      <c r="D1510" s="20">
        <v>0</v>
      </c>
      <c r="E1510" s="21">
        <v>1</v>
      </c>
      <c r="F1510" s="20">
        <f t="shared" ref="F1510:F1512" si="158">D1510*E1510</f>
        <v>0</v>
      </c>
      <c r="G1510" s="21">
        <v>102</v>
      </c>
      <c r="H1510" s="20">
        <f t="shared" ref="H1510:H1512" si="159">F1510*G1510</f>
        <v>0</v>
      </c>
      <c r="I1510" s="2"/>
      <c r="J1510" s="17"/>
      <c r="K1510" s="17"/>
      <c r="L1510" s="17"/>
    </row>
    <row r="1511" spans="1:12">
      <c r="A1511" s="50"/>
      <c r="B1511" s="49">
        <v>3</v>
      </c>
      <c r="C1511" s="19"/>
      <c r="D1511" s="20">
        <v>0</v>
      </c>
      <c r="E1511" s="21">
        <v>1</v>
      </c>
      <c r="F1511" s="20">
        <f t="shared" si="158"/>
        <v>0</v>
      </c>
      <c r="G1511" s="21">
        <v>103</v>
      </c>
      <c r="H1511" s="20">
        <f t="shared" si="159"/>
        <v>0</v>
      </c>
      <c r="I1511" s="2"/>
      <c r="J1511" s="17"/>
      <c r="K1511" s="17"/>
      <c r="L1511" s="17"/>
    </row>
    <row r="1512" spans="1:12">
      <c r="A1512" s="50"/>
      <c r="B1512" s="49">
        <v>4</v>
      </c>
      <c r="C1512" s="19"/>
      <c r="D1512" s="20">
        <v>0</v>
      </c>
      <c r="E1512" s="21">
        <v>1</v>
      </c>
      <c r="F1512" s="20">
        <f t="shared" si="158"/>
        <v>0</v>
      </c>
      <c r="G1512" s="21">
        <v>104</v>
      </c>
      <c r="H1512" s="20">
        <f t="shared" si="159"/>
        <v>0</v>
      </c>
      <c r="I1512" s="2"/>
      <c r="J1512" s="17"/>
      <c r="K1512" s="17"/>
      <c r="L1512" s="17"/>
    </row>
    <row r="1513" spans="1:12">
      <c r="A1513" s="50"/>
      <c r="B1513" s="49">
        <v>5</v>
      </c>
      <c r="C1513" s="19"/>
      <c r="D1513" s="20">
        <v>0</v>
      </c>
      <c r="E1513" s="21">
        <v>1</v>
      </c>
      <c r="F1513" s="20">
        <f>D1513*E1513</f>
        <v>0</v>
      </c>
      <c r="G1513" s="21">
        <v>102</v>
      </c>
      <c r="H1513" s="20">
        <f>F1513*G1513</f>
        <v>0</v>
      </c>
      <c r="I1513" s="2"/>
      <c r="J1513" s="17"/>
      <c r="K1513" s="17"/>
      <c r="L1513" s="17"/>
    </row>
    <row r="1514" spans="1:12">
      <c r="A1514" s="50"/>
      <c r="B1514" s="49"/>
      <c r="C1514" s="14" t="s">
        <v>741</v>
      </c>
      <c r="D1514" s="20"/>
      <c r="F1514" s="20"/>
      <c r="H1514" s="25">
        <f>SUM(H1509:H1513)</f>
        <v>0</v>
      </c>
      <c r="I1514" s="2"/>
      <c r="J1514" s="17"/>
      <c r="K1514" s="17"/>
      <c r="L1514" s="17"/>
    </row>
    <row r="1515" spans="1:12">
      <c r="A1515" s="50"/>
      <c r="B1515" s="51"/>
      <c r="C1515" s="14"/>
      <c r="D1515" s="20"/>
      <c r="F1515" s="20"/>
      <c r="H1515" s="20"/>
      <c r="I1515" s="2"/>
      <c r="J1515" s="17"/>
      <c r="K1515" s="17"/>
      <c r="L1515" s="17"/>
    </row>
    <row r="1516" spans="1:12">
      <c r="A1516" s="50"/>
      <c r="B1516" s="51"/>
      <c r="C1516" s="14" t="s">
        <v>742</v>
      </c>
      <c r="D1516" s="20"/>
      <c r="F1516" s="20"/>
      <c r="H1516" s="20"/>
      <c r="I1516" s="2"/>
      <c r="J1516" s="17"/>
      <c r="K1516" s="17"/>
      <c r="L1516" s="17"/>
    </row>
    <row r="1517" spans="1:12">
      <c r="A1517" s="50"/>
      <c r="B1517" s="49">
        <v>1</v>
      </c>
      <c r="C1517" s="19"/>
      <c r="D1517" s="20">
        <v>0</v>
      </c>
      <c r="E1517" s="21">
        <v>1</v>
      </c>
      <c r="F1517" s="20">
        <f>D1517*E1517</f>
        <v>0</v>
      </c>
      <c r="G1517" s="21">
        <v>101</v>
      </c>
      <c r="H1517" s="20">
        <f>F1517*G1517</f>
        <v>0</v>
      </c>
      <c r="I1517" s="2"/>
      <c r="J1517" s="17"/>
      <c r="K1517" s="17"/>
      <c r="L1517" s="17"/>
    </row>
    <row r="1518" spans="1:12">
      <c r="A1518" s="50"/>
      <c r="B1518" s="49">
        <v>2</v>
      </c>
      <c r="C1518" s="19"/>
      <c r="D1518" s="20">
        <v>0</v>
      </c>
      <c r="E1518" s="21">
        <v>1</v>
      </c>
      <c r="F1518" s="20">
        <f t="shared" ref="F1518:F1520" si="160">D1518*E1518</f>
        <v>0</v>
      </c>
      <c r="G1518" s="21">
        <v>102</v>
      </c>
      <c r="H1518" s="20">
        <f t="shared" ref="H1518:H1520" si="161">F1518*G1518</f>
        <v>0</v>
      </c>
      <c r="I1518" s="2"/>
      <c r="J1518" s="17"/>
      <c r="K1518" s="17"/>
      <c r="L1518" s="17"/>
    </row>
    <row r="1519" spans="1:12">
      <c r="A1519" s="50"/>
      <c r="B1519" s="49">
        <v>3</v>
      </c>
      <c r="C1519" s="19"/>
      <c r="D1519" s="20">
        <v>0</v>
      </c>
      <c r="E1519" s="21">
        <v>1</v>
      </c>
      <c r="F1519" s="20">
        <f t="shared" si="160"/>
        <v>0</v>
      </c>
      <c r="G1519" s="21">
        <v>103</v>
      </c>
      <c r="H1519" s="20">
        <f t="shared" si="161"/>
        <v>0</v>
      </c>
      <c r="I1519" s="2"/>
      <c r="J1519" s="17"/>
      <c r="K1519" s="17"/>
      <c r="L1519" s="17"/>
    </row>
    <row r="1520" spans="1:12">
      <c r="A1520" s="50"/>
      <c r="B1520" s="49">
        <v>4</v>
      </c>
      <c r="C1520" s="19"/>
      <c r="D1520" s="20">
        <v>0</v>
      </c>
      <c r="E1520" s="21">
        <v>1</v>
      </c>
      <c r="F1520" s="20">
        <f t="shared" si="160"/>
        <v>0</v>
      </c>
      <c r="G1520" s="21">
        <v>104</v>
      </c>
      <c r="H1520" s="20">
        <f t="shared" si="161"/>
        <v>0</v>
      </c>
      <c r="I1520" s="2"/>
      <c r="J1520" s="17"/>
      <c r="K1520" s="17"/>
      <c r="L1520" s="17"/>
    </row>
    <row r="1521" spans="1:12">
      <c r="A1521" s="50"/>
      <c r="B1521" s="49">
        <v>5</v>
      </c>
      <c r="C1521" s="19"/>
      <c r="D1521" s="20">
        <v>0</v>
      </c>
      <c r="E1521" s="21">
        <v>1</v>
      </c>
      <c r="F1521" s="20">
        <f>D1521*E1521</f>
        <v>0</v>
      </c>
      <c r="G1521" s="21">
        <v>102</v>
      </c>
      <c r="H1521" s="20">
        <f>F1521*G1521</f>
        <v>0</v>
      </c>
      <c r="I1521" s="2"/>
      <c r="J1521" s="17"/>
      <c r="K1521" s="17"/>
      <c r="L1521" s="17"/>
    </row>
    <row r="1522" spans="1:12">
      <c r="A1522" s="50"/>
      <c r="B1522" s="49"/>
      <c r="C1522" s="14" t="s">
        <v>743</v>
      </c>
      <c r="D1522" s="20"/>
      <c r="F1522" s="20"/>
      <c r="H1522" s="25">
        <f>SUM(H1517:H1521)</f>
        <v>0</v>
      </c>
      <c r="I1522" s="2"/>
      <c r="J1522" s="17"/>
      <c r="K1522" s="17"/>
      <c r="L1522" s="17"/>
    </row>
    <row r="1523" spans="1:12">
      <c r="A1523" s="50"/>
      <c r="B1523" s="51"/>
      <c r="C1523" s="14"/>
      <c r="D1523" s="20"/>
      <c r="F1523" s="20"/>
      <c r="H1523" s="20"/>
      <c r="I1523" s="2"/>
      <c r="J1523" s="17"/>
      <c r="K1523" s="17"/>
      <c r="L1523" s="17"/>
    </row>
    <row r="1524" spans="1:12">
      <c r="A1524" s="50"/>
      <c r="B1524" s="51"/>
      <c r="C1524" s="14" t="s">
        <v>744</v>
      </c>
      <c r="D1524" s="20"/>
      <c r="F1524" s="20"/>
      <c r="H1524" s="20"/>
      <c r="I1524" s="2"/>
      <c r="J1524" s="17"/>
      <c r="K1524" s="17"/>
      <c r="L1524" s="17"/>
    </row>
    <row r="1525" spans="1:12">
      <c r="A1525" s="50"/>
      <c r="B1525" s="49">
        <v>1</v>
      </c>
      <c r="C1525" s="19"/>
      <c r="D1525" s="20">
        <v>0</v>
      </c>
      <c r="E1525" s="21">
        <v>1</v>
      </c>
      <c r="F1525" s="20">
        <f>D1525*E1525</f>
        <v>0</v>
      </c>
      <c r="G1525" s="21">
        <v>101</v>
      </c>
      <c r="H1525" s="20">
        <f>F1525*G1525</f>
        <v>0</v>
      </c>
      <c r="I1525" s="2"/>
      <c r="J1525" s="17"/>
      <c r="K1525" s="17"/>
      <c r="L1525" s="17"/>
    </row>
    <row r="1526" spans="1:12">
      <c r="A1526" s="50"/>
      <c r="B1526" s="49">
        <v>2</v>
      </c>
      <c r="C1526" s="19"/>
      <c r="D1526" s="20">
        <v>0</v>
      </c>
      <c r="E1526" s="21">
        <v>1</v>
      </c>
      <c r="F1526" s="20">
        <f t="shared" ref="F1526:F1528" si="162">D1526*E1526</f>
        <v>0</v>
      </c>
      <c r="G1526" s="21">
        <v>102</v>
      </c>
      <c r="H1526" s="20">
        <f t="shared" ref="H1526:H1528" si="163">F1526*G1526</f>
        <v>0</v>
      </c>
      <c r="I1526" s="2"/>
      <c r="J1526" s="17"/>
      <c r="K1526" s="17"/>
      <c r="L1526" s="17"/>
    </row>
    <row r="1527" spans="1:12">
      <c r="A1527" s="50"/>
      <c r="B1527" s="49">
        <v>3</v>
      </c>
      <c r="C1527" s="19"/>
      <c r="D1527" s="20">
        <v>0</v>
      </c>
      <c r="E1527" s="21">
        <v>1</v>
      </c>
      <c r="F1527" s="20">
        <f t="shared" si="162"/>
        <v>0</v>
      </c>
      <c r="G1527" s="21">
        <v>103</v>
      </c>
      <c r="H1527" s="20">
        <f t="shared" si="163"/>
        <v>0</v>
      </c>
      <c r="I1527" s="2"/>
      <c r="J1527" s="17"/>
      <c r="K1527" s="17"/>
      <c r="L1527" s="17"/>
    </row>
    <row r="1528" spans="1:12">
      <c r="A1528" s="50"/>
      <c r="B1528" s="49">
        <v>4</v>
      </c>
      <c r="C1528" s="19"/>
      <c r="D1528" s="20">
        <v>0</v>
      </c>
      <c r="E1528" s="21">
        <v>1</v>
      </c>
      <c r="F1528" s="20">
        <f t="shared" si="162"/>
        <v>0</v>
      </c>
      <c r="G1528" s="21">
        <v>104</v>
      </c>
      <c r="H1528" s="20">
        <f t="shared" si="163"/>
        <v>0</v>
      </c>
      <c r="I1528" s="2"/>
      <c r="J1528" s="17"/>
      <c r="K1528" s="17"/>
      <c r="L1528" s="17"/>
    </row>
    <row r="1529" spans="1:12">
      <c r="A1529" s="50"/>
      <c r="B1529" s="49">
        <v>5</v>
      </c>
      <c r="C1529" s="19"/>
      <c r="D1529" s="20">
        <v>0</v>
      </c>
      <c r="E1529" s="21">
        <v>1</v>
      </c>
      <c r="F1529" s="20">
        <f>D1529*E1529</f>
        <v>0</v>
      </c>
      <c r="G1529" s="21">
        <v>102</v>
      </c>
      <c r="H1529" s="20">
        <f>F1529*G1529</f>
        <v>0</v>
      </c>
      <c r="I1529" s="2"/>
      <c r="J1529" s="17"/>
      <c r="K1529" s="17"/>
      <c r="L1529" s="17"/>
    </row>
    <row r="1530" spans="1:12">
      <c r="A1530" s="50"/>
      <c r="B1530" s="49"/>
      <c r="C1530" s="14" t="s">
        <v>745</v>
      </c>
      <c r="D1530" s="20"/>
      <c r="F1530" s="20"/>
      <c r="H1530" s="25">
        <f>SUM(H1525:H1529)</f>
        <v>0</v>
      </c>
      <c r="I1530" s="2"/>
      <c r="J1530" s="17"/>
      <c r="K1530" s="17"/>
      <c r="L1530" s="17"/>
    </row>
    <row r="1531" spans="1:12">
      <c r="A1531" s="50"/>
      <c r="B1531" s="51"/>
      <c r="C1531" s="14"/>
      <c r="D1531" s="20"/>
      <c r="F1531" s="20"/>
      <c r="H1531" s="20"/>
      <c r="I1531" s="2"/>
      <c r="J1531" s="17"/>
      <c r="K1531" s="17"/>
      <c r="L1531" s="17"/>
    </row>
    <row r="1532" spans="1:12">
      <c r="A1532" s="50"/>
      <c r="B1532" s="51"/>
      <c r="C1532" s="14" t="s">
        <v>746</v>
      </c>
      <c r="D1532" s="20"/>
      <c r="F1532" s="20"/>
      <c r="H1532" s="20"/>
      <c r="I1532" s="2"/>
      <c r="J1532" s="17"/>
      <c r="K1532" s="17"/>
      <c r="L1532" s="17"/>
    </row>
    <row r="1533" spans="1:12">
      <c r="A1533" s="50"/>
      <c r="B1533" s="49">
        <v>1</v>
      </c>
      <c r="C1533" s="19" t="s">
        <v>652</v>
      </c>
      <c r="D1533" s="20">
        <v>0</v>
      </c>
      <c r="E1533" s="21">
        <v>1</v>
      </c>
      <c r="F1533" s="20">
        <f>D1533*E1533</f>
        <v>0</v>
      </c>
      <c r="G1533" s="69">
        <v>43076.923076923078</v>
      </c>
      <c r="H1533" s="20">
        <f>F1533*G1533</f>
        <v>0</v>
      </c>
      <c r="I1533" s="2"/>
      <c r="J1533" s="17"/>
      <c r="K1533" s="17"/>
      <c r="L1533" s="17"/>
    </row>
    <row r="1534" spans="1:12">
      <c r="A1534" s="50"/>
      <c r="B1534" s="49">
        <v>2</v>
      </c>
      <c r="C1534" s="19" t="s">
        <v>653</v>
      </c>
      <c r="D1534" s="20">
        <v>0</v>
      </c>
      <c r="E1534" s="21">
        <v>0.2</v>
      </c>
      <c r="F1534" s="20">
        <f t="shared" ref="F1534:F1545" si="164">D1534*E1534</f>
        <v>0</v>
      </c>
      <c r="G1534" s="69">
        <v>1200000</v>
      </c>
      <c r="H1534" s="20">
        <f t="shared" ref="H1534:H1545" si="165">F1534*G1534</f>
        <v>0</v>
      </c>
      <c r="I1534" s="2"/>
      <c r="J1534" s="17"/>
      <c r="K1534" s="17"/>
      <c r="L1534" s="17"/>
    </row>
    <row r="1535" spans="1:12">
      <c r="A1535" s="50"/>
      <c r="B1535" s="49">
        <v>3</v>
      </c>
      <c r="C1535" s="19" t="s">
        <v>496</v>
      </c>
      <c r="D1535" s="20">
        <v>0</v>
      </c>
      <c r="E1535" s="21">
        <v>1</v>
      </c>
      <c r="F1535" s="20">
        <f t="shared" si="164"/>
        <v>0</v>
      </c>
      <c r="G1535" s="21">
        <v>5384.6153846153848</v>
      </c>
      <c r="H1535" s="20">
        <f t="shared" si="165"/>
        <v>0</v>
      </c>
      <c r="I1535" s="2"/>
      <c r="J1535" s="17"/>
      <c r="K1535" s="17"/>
      <c r="L1535" s="17"/>
    </row>
    <row r="1536" spans="1:12">
      <c r="A1536" s="50"/>
      <c r="B1536" s="49">
        <v>4</v>
      </c>
      <c r="C1536" s="19" t="s">
        <v>497</v>
      </c>
      <c r="D1536" s="20">
        <v>0</v>
      </c>
      <c r="E1536" s="21">
        <v>1</v>
      </c>
      <c r="F1536" s="20">
        <f t="shared" si="164"/>
        <v>0</v>
      </c>
      <c r="G1536" s="21">
        <v>8307.6923076923067</v>
      </c>
      <c r="H1536" s="20">
        <f t="shared" si="165"/>
        <v>0</v>
      </c>
      <c r="I1536" s="2"/>
      <c r="J1536" s="17"/>
      <c r="K1536" s="17"/>
      <c r="L1536" s="17"/>
    </row>
    <row r="1537" spans="1:12">
      <c r="A1537" s="50"/>
      <c r="B1537" s="49">
        <v>5</v>
      </c>
      <c r="C1537" s="19" t="s">
        <v>606</v>
      </c>
      <c r="D1537" s="20">
        <v>0</v>
      </c>
      <c r="E1537" s="21">
        <v>1</v>
      </c>
      <c r="F1537" s="20">
        <f t="shared" si="164"/>
        <v>0</v>
      </c>
      <c r="G1537" s="21">
        <v>60.769230769230766</v>
      </c>
      <c r="H1537" s="20">
        <f t="shared" si="165"/>
        <v>0</v>
      </c>
      <c r="I1537" s="2"/>
      <c r="J1537" s="17"/>
      <c r="K1537" s="17"/>
      <c r="L1537" s="17"/>
    </row>
    <row r="1538" spans="1:12">
      <c r="A1538" s="50"/>
      <c r="B1538" s="49">
        <v>6</v>
      </c>
      <c r="C1538" s="19" t="s">
        <v>503</v>
      </c>
      <c r="D1538" s="20">
        <v>0</v>
      </c>
      <c r="E1538" s="21">
        <v>0</v>
      </c>
      <c r="F1538" s="20">
        <f t="shared" si="164"/>
        <v>0</v>
      </c>
      <c r="G1538" s="21">
        <v>40</v>
      </c>
      <c r="H1538" s="20">
        <f t="shared" si="165"/>
        <v>0</v>
      </c>
      <c r="I1538" s="2"/>
      <c r="J1538" s="17"/>
      <c r="K1538" s="17"/>
      <c r="L1538" s="17"/>
    </row>
    <row r="1539" spans="1:12">
      <c r="A1539" s="50"/>
      <c r="B1539" s="49">
        <v>7</v>
      </c>
      <c r="C1539" s="19" t="s">
        <v>504</v>
      </c>
      <c r="D1539" s="20">
        <v>0</v>
      </c>
      <c r="E1539" s="21">
        <v>0</v>
      </c>
      <c r="F1539" s="20">
        <f t="shared" si="164"/>
        <v>0</v>
      </c>
      <c r="G1539" s="21">
        <v>49000</v>
      </c>
      <c r="H1539" s="20">
        <f t="shared" si="165"/>
        <v>0</v>
      </c>
      <c r="I1539" s="2"/>
      <c r="J1539" s="17"/>
      <c r="K1539" s="17"/>
      <c r="L1539" s="17"/>
    </row>
    <row r="1540" spans="1:12">
      <c r="A1540" s="50"/>
      <c r="B1540" s="49">
        <v>8</v>
      </c>
      <c r="C1540" s="19" t="s">
        <v>507</v>
      </c>
      <c r="D1540" s="20">
        <v>0</v>
      </c>
      <c r="E1540" s="21">
        <v>0</v>
      </c>
      <c r="F1540" s="20">
        <f t="shared" si="164"/>
        <v>0</v>
      </c>
      <c r="G1540" s="21">
        <v>230.76923076923077</v>
      </c>
      <c r="H1540" s="20">
        <f t="shared" si="165"/>
        <v>0</v>
      </c>
      <c r="I1540" s="2"/>
      <c r="J1540" s="17"/>
      <c r="K1540" s="17"/>
      <c r="L1540" s="17"/>
    </row>
    <row r="1541" spans="1:12">
      <c r="A1541" s="50"/>
      <c r="B1541" s="49">
        <v>9</v>
      </c>
      <c r="C1541" s="19" t="s">
        <v>508</v>
      </c>
      <c r="D1541" s="20">
        <v>0</v>
      </c>
      <c r="E1541" s="21">
        <v>0.14399999999999999</v>
      </c>
      <c r="F1541" s="20">
        <f t="shared" si="164"/>
        <v>0</v>
      </c>
      <c r="G1541" s="21">
        <v>9000</v>
      </c>
      <c r="H1541" s="20">
        <f t="shared" si="165"/>
        <v>0</v>
      </c>
      <c r="I1541" s="2"/>
      <c r="J1541" s="17"/>
      <c r="K1541" s="17"/>
      <c r="L1541" s="17"/>
    </row>
    <row r="1542" spans="1:12">
      <c r="A1542" s="50"/>
      <c r="B1542" s="49">
        <v>10</v>
      </c>
      <c r="C1542" s="19" t="s">
        <v>352</v>
      </c>
      <c r="D1542" s="20">
        <v>0</v>
      </c>
      <c r="E1542" s="21">
        <v>0.58199999999999996</v>
      </c>
      <c r="F1542" s="20">
        <f t="shared" si="164"/>
        <v>0</v>
      </c>
      <c r="G1542" s="21">
        <v>177.69230769230768</v>
      </c>
      <c r="H1542" s="20">
        <f t="shared" si="165"/>
        <v>0</v>
      </c>
      <c r="I1542" s="2"/>
      <c r="J1542" s="17"/>
      <c r="K1542" s="17"/>
      <c r="L1542" s="17"/>
    </row>
    <row r="1543" spans="1:12">
      <c r="A1543" s="50"/>
      <c r="B1543" s="49">
        <v>11</v>
      </c>
      <c r="C1543" s="19" t="s">
        <v>45</v>
      </c>
      <c r="D1543" s="20">
        <v>0</v>
      </c>
      <c r="E1543" s="21">
        <v>0.58199999999999996</v>
      </c>
      <c r="F1543" s="20">
        <f t="shared" si="164"/>
        <v>0</v>
      </c>
      <c r="G1543" s="21">
        <v>77.692307692307693</v>
      </c>
      <c r="H1543" s="20">
        <f t="shared" si="165"/>
        <v>0</v>
      </c>
      <c r="I1543" s="2"/>
      <c r="J1543" s="17"/>
      <c r="K1543" s="17"/>
      <c r="L1543" s="17"/>
    </row>
    <row r="1544" spans="1:12">
      <c r="A1544" s="50"/>
      <c r="B1544" s="49">
        <v>12</v>
      </c>
      <c r="C1544" s="19" t="s">
        <v>351</v>
      </c>
      <c r="D1544" s="20">
        <v>0</v>
      </c>
      <c r="E1544" s="21">
        <v>0.58199999999999996</v>
      </c>
      <c r="F1544" s="20">
        <f t="shared" si="164"/>
        <v>0</v>
      </c>
      <c r="G1544" s="21">
        <v>264.61538461538458</v>
      </c>
      <c r="H1544" s="20">
        <f t="shared" si="165"/>
        <v>0</v>
      </c>
      <c r="I1544" s="2"/>
      <c r="J1544" s="17"/>
      <c r="K1544" s="17"/>
      <c r="L1544" s="17"/>
    </row>
    <row r="1545" spans="1:12">
      <c r="A1545" s="50"/>
      <c r="B1545" s="49">
        <v>13</v>
      </c>
      <c r="C1545" s="19"/>
      <c r="D1545" s="20"/>
      <c r="E1545" s="21">
        <v>1</v>
      </c>
      <c r="F1545" s="20">
        <f t="shared" si="164"/>
        <v>0</v>
      </c>
      <c r="G1545" s="21">
        <v>113</v>
      </c>
      <c r="H1545" s="20">
        <f t="shared" si="165"/>
        <v>0</v>
      </c>
      <c r="I1545" s="2"/>
      <c r="J1545" s="17"/>
      <c r="K1545" s="17"/>
      <c r="L1545" s="17"/>
    </row>
    <row r="1546" spans="1:12">
      <c r="A1546" s="50"/>
      <c r="B1546" s="49">
        <v>14</v>
      </c>
      <c r="C1546" s="19"/>
      <c r="D1546" s="20">
        <v>0</v>
      </c>
      <c r="E1546" s="21">
        <v>1</v>
      </c>
      <c r="F1546" s="20">
        <f>D1546*E1546</f>
        <v>0</v>
      </c>
      <c r="G1546" s="21">
        <v>102</v>
      </c>
      <c r="H1546" s="20">
        <f>F1546*G1546</f>
        <v>0</v>
      </c>
      <c r="I1546" s="2"/>
      <c r="J1546" s="17"/>
      <c r="K1546" s="17"/>
      <c r="L1546" s="17"/>
    </row>
    <row r="1547" spans="1:12">
      <c r="A1547" s="50"/>
      <c r="B1547" s="49"/>
      <c r="C1547" s="14" t="s">
        <v>747</v>
      </c>
      <c r="D1547" s="20"/>
      <c r="F1547" s="20"/>
      <c r="H1547" s="25">
        <f>SUM(H1533:H1546)</f>
        <v>0</v>
      </c>
      <c r="I1547" s="2"/>
      <c r="J1547" s="17"/>
      <c r="K1547" s="17"/>
      <c r="L1547" s="17"/>
    </row>
    <row r="1548" spans="1:12">
      <c r="A1548" s="50"/>
      <c r="B1548" s="51"/>
      <c r="C1548" s="14"/>
      <c r="D1548" s="20"/>
      <c r="F1548" s="20"/>
      <c r="H1548" s="20"/>
      <c r="I1548" s="2"/>
      <c r="J1548" s="17"/>
      <c r="K1548" s="17"/>
      <c r="L1548" s="17"/>
    </row>
    <row r="1549" spans="1:12">
      <c r="A1549" s="50"/>
      <c r="B1549" s="51"/>
      <c r="C1549" s="14" t="s">
        <v>748</v>
      </c>
      <c r="D1549" s="20"/>
      <c r="F1549" s="20"/>
      <c r="H1549" s="20"/>
      <c r="I1549" s="2"/>
      <c r="J1549" s="17"/>
      <c r="K1549" s="17"/>
      <c r="L1549" s="17"/>
    </row>
    <row r="1550" spans="1:12">
      <c r="A1550" s="50"/>
      <c r="B1550" s="49">
        <v>1</v>
      </c>
      <c r="C1550" s="19" t="s">
        <v>284</v>
      </c>
      <c r="D1550" s="20">
        <v>0</v>
      </c>
      <c r="E1550" s="21">
        <v>1</v>
      </c>
      <c r="F1550" s="20">
        <f>D1550*E1550</f>
        <v>0</v>
      </c>
      <c r="G1550" s="21">
        <v>40000</v>
      </c>
      <c r="H1550" s="20">
        <f>F1550*G1550</f>
        <v>0</v>
      </c>
      <c r="I1550" s="2"/>
      <c r="J1550" s="17"/>
      <c r="K1550" s="17"/>
      <c r="L1550" s="17"/>
    </row>
    <row r="1551" spans="1:12">
      <c r="A1551" s="50"/>
      <c r="B1551" s="49">
        <v>2</v>
      </c>
      <c r="C1551" s="19" t="s">
        <v>656</v>
      </c>
      <c r="D1551" s="20">
        <v>0</v>
      </c>
      <c r="E1551" s="21">
        <v>1</v>
      </c>
      <c r="F1551" s="20">
        <f t="shared" ref="F1551:F1553" si="166">D1551*E1551</f>
        <v>0</v>
      </c>
      <c r="G1551" s="21">
        <v>200000</v>
      </c>
      <c r="H1551" s="20">
        <f t="shared" ref="H1551:H1553" si="167">F1551*G1551</f>
        <v>0</v>
      </c>
      <c r="I1551" s="2"/>
      <c r="J1551" s="17"/>
      <c r="K1551" s="17"/>
      <c r="L1551" s="17"/>
    </row>
    <row r="1552" spans="1:12">
      <c r="A1552" s="50"/>
      <c r="B1552" s="49">
        <v>3</v>
      </c>
      <c r="C1552" s="19"/>
      <c r="D1552" s="20"/>
      <c r="E1552" s="21">
        <v>1</v>
      </c>
      <c r="F1552" s="20">
        <f t="shared" si="166"/>
        <v>0</v>
      </c>
      <c r="G1552" s="21">
        <v>103</v>
      </c>
      <c r="H1552" s="20">
        <f t="shared" si="167"/>
        <v>0</v>
      </c>
      <c r="I1552" s="2"/>
      <c r="J1552" s="17"/>
      <c r="K1552" s="17"/>
      <c r="L1552" s="17"/>
    </row>
    <row r="1553" spans="1:12">
      <c r="A1553" s="50"/>
      <c r="B1553" s="49">
        <v>4</v>
      </c>
      <c r="C1553" s="19"/>
      <c r="D1553" s="20"/>
      <c r="E1553" s="21">
        <v>1</v>
      </c>
      <c r="F1553" s="20">
        <f t="shared" si="166"/>
        <v>0</v>
      </c>
      <c r="G1553" s="21">
        <v>104</v>
      </c>
      <c r="H1553" s="20">
        <f t="shared" si="167"/>
        <v>0</v>
      </c>
      <c r="I1553" s="2"/>
      <c r="J1553" s="17"/>
      <c r="K1553" s="17"/>
      <c r="L1553" s="17"/>
    </row>
    <row r="1554" spans="1:12">
      <c r="A1554" s="50"/>
      <c r="B1554" s="49">
        <v>5</v>
      </c>
      <c r="C1554" s="19"/>
      <c r="D1554" s="20">
        <v>0</v>
      </c>
      <c r="E1554" s="21">
        <v>1</v>
      </c>
      <c r="F1554" s="20">
        <f>D1554*E1554</f>
        <v>0</v>
      </c>
      <c r="G1554" s="21">
        <v>102</v>
      </c>
      <c r="H1554" s="20">
        <f>F1554*G1554</f>
        <v>0</v>
      </c>
      <c r="I1554" s="2"/>
      <c r="J1554" s="17"/>
      <c r="K1554" s="17"/>
      <c r="L1554" s="17"/>
    </row>
    <row r="1555" spans="1:12">
      <c r="A1555" s="50"/>
      <c r="B1555" s="49"/>
      <c r="C1555" s="14" t="s">
        <v>749</v>
      </c>
      <c r="D1555" s="20"/>
      <c r="F1555" s="20"/>
      <c r="H1555" s="25">
        <f>SUM(H1550:H1554)</f>
        <v>0</v>
      </c>
      <c r="I1555" s="2"/>
      <c r="J1555" s="17"/>
      <c r="K1555" s="17"/>
      <c r="L1555" s="17"/>
    </row>
    <row r="1556" spans="1:12">
      <c r="A1556" s="50"/>
      <c r="B1556" s="51"/>
      <c r="C1556" s="14"/>
      <c r="D1556" s="20"/>
      <c r="F1556" s="20"/>
      <c r="H1556" s="20"/>
      <c r="I1556" s="2"/>
      <c r="J1556" s="17"/>
      <c r="K1556" s="17"/>
      <c r="L1556" s="17"/>
    </row>
    <row r="1557" spans="1:12">
      <c r="A1557" s="50"/>
      <c r="B1557" s="52"/>
      <c r="C1557" s="14" t="s">
        <v>750</v>
      </c>
      <c r="D1557" s="20"/>
      <c r="F1557" s="20"/>
      <c r="H1557" s="20"/>
      <c r="I1557" s="2"/>
      <c r="J1557" s="17"/>
      <c r="K1557" s="17"/>
      <c r="L1557" s="17"/>
    </row>
    <row r="1558" spans="1:12">
      <c r="A1558" s="50"/>
      <c r="B1558" s="49">
        <v>1</v>
      </c>
      <c r="C1558" s="19" t="s">
        <v>219</v>
      </c>
      <c r="D1558" s="20">
        <v>0</v>
      </c>
      <c r="E1558" s="21">
        <v>1</v>
      </c>
      <c r="F1558" s="20">
        <f>D1558*E1558</f>
        <v>0</v>
      </c>
      <c r="G1558" s="69">
        <v>12507</v>
      </c>
      <c r="H1558" s="20">
        <f>F1558*G1558</f>
        <v>0</v>
      </c>
      <c r="I1558" s="2"/>
      <c r="J1558" s="17"/>
      <c r="K1558" s="17"/>
      <c r="L1558" s="17"/>
    </row>
    <row r="1559" spans="1:12">
      <c r="A1559" s="50"/>
      <c r="B1559" s="49">
        <v>2</v>
      </c>
      <c r="C1559" s="19" t="s">
        <v>64</v>
      </c>
      <c r="D1559" s="20">
        <v>0</v>
      </c>
      <c r="E1559" s="21">
        <v>1</v>
      </c>
      <c r="F1559" s="20">
        <f t="shared" ref="F1559:F1567" si="168">D1559*E1559</f>
        <v>0</v>
      </c>
      <c r="G1559" s="69">
        <v>12507</v>
      </c>
      <c r="H1559" s="20">
        <f t="shared" ref="H1559:H1567" si="169">F1559*G1559</f>
        <v>0</v>
      </c>
      <c r="I1559" s="2"/>
      <c r="J1559" s="17"/>
      <c r="K1559" s="17"/>
      <c r="L1559" s="17"/>
    </row>
    <row r="1560" spans="1:12">
      <c r="A1560" s="50"/>
      <c r="B1560" s="49">
        <v>3</v>
      </c>
      <c r="C1560" s="19" t="s">
        <v>65</v>
      </c>
      <c r="D1560" s="20">
        <v>0</v>
      </c>
      <c r="E1560" s="21">
        <v>1</v>
      </c>
      <c r="F1560" s="20">
        <f t="shared" si="168"/>
        <v>0</v>
      </c>
      <c r="G1560" s="69">
        <v>12507</v>
      </c>
      <c r="H1560" s="20">
        <f t="shared" si="169"/>
        <v>0</v>
      </c>
      <c r="I1560" s="2"/>
      <c r="J1560" s="17"/>
      <c r="K1560" s="17"/>
      <c r="L1560" s="17"/>
    </row>
    <row r="1561" spans="1:12">
      <c r="A1561" s="50"/>
      <c r="B1561" s="49">
        <v>4</v>
      </c>
      <c r="C1561" s="19" t="s">
        <v>358</v>
      </c>
      <c r="D1561" s="20">
        <v>0</v>
      </c>
      <c r="E1561" s="21">
        <v>1</v>
      </c>
      <c r="F1561" s="20">
        <f t="shared" si="168"/>
        <v>0</v>
      </c>
      <c r="G1561" s="69">
        <v>12507</v>
      </c>
      <c r="H1561" s="20">
        <f t="shared" si="169"/>
        <v>0</v>
      </c>
      <c r="I1561" s="2"/>
      <c r="J1561" s="17"/>
      <c r="K1561" s="17"/>
      <c r="L1561" s="17"/>
    </row>
    <row r="1562" spans="1:12">
      <c r="A1562" s="50"/>
      <c r="B1562" s="49">
        <v>5</v>
      </c>
      <c r="C1562" s="19" t="s">
        <v>222</v>
      </c>
      <c r="D1562" s="20">
        <v>0</v>
      </c>
      <c r="E1562" s="21">
        <v>1</v>
      </c>
      <c r="F1562" s="20">
        <f t="shared" si="168"/>
        <v>0</v>
      </c>
      <c r="G1562" s="69">
        <v>12507</v>
      </c>
      <c r="H1562" s="20">
        <f t="shared" si="169"/>
        <v>0</v>
      </c>
      <c r="I1562" s="2"/>
      <c r="J1562" s="17"/>
      <c r="K1562" s="17"/>
      <c r="L1562" s="17"/>
    </row>
    <row r="1563" spans="1:12">
      <c r="A1563" s="50"/>
      <c r="B1563" s="49">
        <v>6</v>
      </c>
      <c r="C1563" s="19" t="s">
        <v>360</v>
      </c>
      <c r="D1563" s="20">
        <v>0</v>
      </c>
      <c r="E1563" s="21">
        <v>1</v>
      </c>
      <c r="F1563" s="20">
        <f t="shared" si="168"/>
        <v>0</v>
      </c>
      <c r="G1563" s="69">
        <v>31769</v>
      </c>
      <c r="H1563" s="20">
        <f t="shared" si="169"/>
        <v>0</v>
      </c>
      <c r="I1563" s="2"/>
      <c r="J1563" s="17"/>
      <c r="K1563" s="17"/>
      <c r="L1563" s="17"/>
    </row>
    <row r="1564" spans="1:12">
      <c r="A1564" s="50"/>
      <c r="B1564" s="49">
        <v>7</v>
      </c>
      <c r="C1564" s="19" t="s">
        <v>321</v>
      </c>
      <c r="D1564" s="20">
        <v>0</v>
      </c>
      <c r="E1564" s="21">
        <v>1</v>
      </c>
      <c r="F1564" s="20">
        <f t="shared" si="168"/>
        <v>0</v>
      </c>
      <c r="G1564" s="69">
        <v>192307</v>
      </c>
      <c r="H1564" s="20">
        <f t="shared" si="169"/>
        <v>0</v>
      </c>
      <c r="I1564" s="2"/>
      <c r="J1564" s="17"/>
      <c r="K1564" s="17"/>
      <c r="L1564" s="17"/>
    </row>
    <row r="1565" spans="1:12">
      <c r="A1565" s="50"/>
      <c r="B1565" s="49">
        <v>8</v>
      </c>
      <c r="C1565" s="19"/>
      <c r="D1565" s="20"/>
      <c r="E1565" s="21">
        <v>1</v>
      </c>
      <c r="F1565" s="20">
        <f t="shared" si="168"/>
        <v>0</v>
      </c>
      <c r="G1565" s="21">
        <v>108</v>
      </c>
      <c r="H1565" s="20">
        <f t="shared" si="169"/>
        <v>0</v>
      </c>
      <c r="I1565" s="2"/>
      <c r="J1565" s="17"/>
      <c r="K1565" s="17"/>
      <c r="L1565" s="17"/>
    </row>
    <row r="1566" spans="1:12">
      <c r="A1566" s="50"/>
      <c r="B1566" s="49">
        <v>9</v>
      </c>
      <c r="C1566" s="19"/>
      <c r="D1566" s="20"/>
      <c r="E1566" s="21">
        <v>1</v>
      </c>
      <c r="F1566" s="20">
        <f t="shared" si="168"/>
        <v>0</v>
      </c>
      <c r="G1566" s="21">
        <v>109</v>
      </c>
      <c r="H1566" s="20">
        <f t="shared" si="169"/>
        <v>0</v>
      </c>
      <c r="I1566" s="2"/>
      <c r="J1566" s="17"/>
      <c r="K1566" s="17"/>
      <c r="L1566" s="17"/>
    </row>
    <row r="1567" spans="1:12">
      <c r="A1567" s="50"/>
      <c r="B1567" s="49">
        <v>10</v>
      </c>
      <c r="C1567" s="19"/>
      <c r="D1567" s="20"/>
      <c r="E1567" s="21">
        <v>1</v>
      </c>
      <c r="F1567" s="20">
        <f t="shared" si="168"/>
        <v>0</v>
      </c>
      <c r="G1567" s="21">
        <v>111</v>
      </c>
      <c r="H1567" s="20">
        <f t="shared" si="169"/>
        <v>0</v>
      </c>
      <c r="I1567" s="2"/>
      <c r="J1567" s="17"/>
      <c r="K1567" s="17"/>
      <c r="L1567" s="17"/>
    </row>
    <row r="1568" spans="1:12">
      <c r="A1568" s="50"/>
      <c r="B1568" s="49"/>
      <c r="C1568" s="14" t="s">
        <v>751</v>
      </c>
      <c r="D1568" s="20"/>
      <c r="F1568" s="20"/>
      <c r="H1568" s="25">
        <f>SUM(H1558:H1567)</f>
        <v>0</v>
      </c>
      <c r="I1568" s="2"/>
      <c r="J1568" s="17"/>
      <c r="K1568" s="17"/>
      <c r="L1568" s="17"/>
    </row>
    <row r="1569" spans="1:12">
      <c r="A1569" s="50"/>
      <c r="B1569" s="49"/>
      <c r="C1569" s="14"/>
      <c r="D1569" s="20"/>
      <c r="F1569" s="20"/>
      <c r="H1569" s="25"/>
      <c r="I1569" s="2"/>
      <c r="J1569" s="17"/>
      <c r="K1569" s="17"/>
      <c r="L1569" s="17"/>
    </row>
    <row r="1570" spans="1:12">
      <c r="A1570" s="50"/>
      <c r="B1570" s="51"/>
      <c r="C1570" s="14" t="s">
        <v>752</v>
      </c>
      <c r="D1570" s="20"/>
      <c r="F1570" s="20"/>
      <c r="H1570" s="20"/>
      <c r="I1570" s="2"/>
      <c r="J1570" s="17"/>
      <c r="K1570" s="17"/>
      <c r="L1570" s="17"/>
    </row>
    <row r="1571" spans="1:12">
      <c r="A1571" s="50"/>
      <c r="B1571" s="49">
        <v>1</v>
      </c>
      <c r="C1571" s="19" t="s">
        <v>638</v>
      </c>
      <c r="D1571" s="20">
        <v>0</v>
      </c>
      <c r="E1571" s="21">
        <v>1</v>
      </c>
      <c r="F1571" s="20">
        <f>D1571*E1571</f>
        <v>0</v>
      </c>
      <c r="G1571" s="21">
        <v>140000</v>
      </c>
      <c r="H1571" s="20">
        <f>F1571*G1571</f>
        <v>0</v>
      </c>
      <c r="I1571" s="2"/>
      <c r="J1571" s="17"/>
      <c r="K1571" s="17"/>
      <c r="L1571" s="17"/>
    </row>
    <row r="1572" spans="1:12">
      <c r="A1572" s="50"/>
      <c r="B1572" s="49">
        <v>2</v>
      </c>
      <c r="C1572" s="19" t="s">
        <v>76</v>
      </c>
      <c r="D1572" s="20">
        <v>0</v>
      </c>
      <c r="E1572" s="21">
        <v>1</v>
      </c>
      <c r="F1572" s="20">
        <f t="shared" ref="F1572:F1579" si="170">D1572*E1572</f>
        <v>0</v>
      </c>
      <c r="G1572" s="21">
        <v>30770</v>
      </c>
      <c r="H1572" s="20">
        <f t="shared" ref="H1572:H1579" si="171">F1572*G1572</f>
        <v>0</v>
      </c>
      <c r="I1572" s="2"/>
      <c r="J1572" s="17"/>
      <c r="K1572" s="17"/>
      <c r="L1572" s="17"/>
    </row>
    <row r="1573" spans="1:12">
      <c r="A1573" s="50"/>
      <c r="B1573" s="49">
        <v>3</v>
      </c>
      <c r="C1573" s="19" t="s">
        <v>364</v>
      </c>
      <c r="D1573" s="20">
        <v>0</v>
      </c>
      <c r="E1573" s="21">
        <v>1</v>
      </c>
      <c r="F1573" s="20">
        <f t="shared" si="170"/>
        <v>0</v>
      </c>
      <c r="G1573" s="21">
        <v>30770</v>
      </c>
      <c r="H1573" s="20">
        <f t="shared" si="171"/>
        <v>0</v>
      </c>
      <c r="I1573" s="2"/>
      <c r="J1573" s="17"/>
      <c r="K1573" s="17"/>
      <c r="L1573" s="17"/>
    </row>
    <row r="1574" spans="1:12">
      <c r="A1574" s="50"/>
      <c r="B1574" s="49">
        <v>4</v>
      </c>
      <c r="C1574" s="19"/>
      <c r="D1574" s="20">
        <v>0</v>
      </c>
      <c r="E1574" s="21">
        <v>1</v>
      </c>
      <c r="F1574" s="20">
        <f t="shared" si="170"/>
        <v>0</v>
      </c>
      <c r="G1574" s="21">
        <v>104</v>
      </c>
      <c r="H1574" s="20">
        <f t="shared" si="171"/>
        <v>0</v>
      </c>
      <c r="I1574" s="2"/>
      <c r="J1574" s="17"/>
      <c r="K1574" s="17"/>
      <c r="L1574" s="17"/>
    </row>
    <row r="1575" spans="1:12">
      <c r="A1575" s="50"/>
      <c r="B1575" s="49">
        <v>5</v>
      </c>
      <c r="C1575" s="19"/>
      <c r="D1575" s="20">
        <v>0</v>
      </c>
      <c r="E1575" s="21">
        <v>1</v>
      </c>
      <c r="F1575" s="20">
        <f t="shared" si="170"/>
        <v>0</v>
      </c>
      <c r="G1575" s="21">
        <v>105</v>
      </c>
      <c r="H1575" s="20">
        <f t="shared" si="171"/>
        <v>0</v>
      </c>
      <c r="I1575" s="2"/>
      <c r="J1575" s="17"/>
      <c r="K1575" s="17"/>
      <c r="L1575" s="17"/>
    </row>
    <row r="1576" spans="1:12">
      <c r="A1576" s="50"/>
      <c r="B1576" s="49">
        <v>6</v>
      </c>
      <c r="C1576" s="19"/>
      <c r="D1576" s="20">
        <v>0</v>
      </c>
      <c r="E1576" s="21">
        <v>1</v>
      </c>
      <c r="F1576" s="20">
        <f t="shared" si="170"/>
        <v>0</v>
      </c>
      <c r="G1576" s="21">
        <v>106</v>
      </c>
      <c r="H1576" s="20">
        <f t="shared" si="171"/>
        <v>0</v>
      </c>
      <c r="I1576" s="2"/>
      <c r="J1576" s="17"/>
      <c r="K1576" s="17"/>
      <c r="L1576" s="17"/>
    </row>
    <row r="1577" spans="1:12">
      <c r="A1577" s="50"/>
      <c r="B1577" s="49">
        <v>7</v>
      </c>
      <c r="C1577" s="19"/>
      <c r="D1577" s="20">
        <v>0</v>
      </c>
      <c r="E1577" s="21">
        <v>1</v>
      </c>
      <c r="F1577" s="20">
        <f t="shared" si="170"/>
        <v>0</v>
      </c>
      <c r="G1577" s="21">
        <v>107</v>
      </c>
      <c r="H1577" s="20">
        <f t="shared" si="171"/>
        <v>0</v>
      </c>
      <c r="I1577" s="2"/>
      <c r="J1577" s="17"/>
      <c r="K1577" s="17"/>
      <c r="L1577" s="17"/>
    </row>
    <row r="1578" spans="1:12">
      <c r="A1578" s="50"/>
      <c r="B1578" s="49">
        <v>8</v>
      </c>
      <c r="C1578" s="19"/>
      <c r="D1578" s="20">
        <v>0</v>
      </c>
      <c r="E1578" s="21">
        <v>1</v>
      </c>
      <c r="F1578" s="20">
        <f t="shared" si="170"/>
        <v>0</v>
      </c>
      <c r="G1578" s="21">
        <v>108</v>
      </c>
      <c r="H1578" s="20">
        <f t="shared" si="171"/>
        <v>0</v>
      </c>
      <c r="I1578" s="2"/>
      <c r="J1578" s="17"/>
      <c r="K1578" s="17"/>
      <c r="L1578" s="17"/>
    </row>
    <row r="1579" spans="1:12">
      <c r="A1579" s="50"/>
      <c r="B1579" s="49">
        <v>9</v>
      </c>
      <c r="C1579" s="19"/>
      <c r="D1579" s="20">
        <v>0</v>
      </c>
      <c r="E1579" s="21">
        <v>1</v>
      </c>
      <c r="F1579" s="20">
        <f t="shared" si="170"/>
        <v>0</v>
      </c>
      <c r="G1579" s="21">
        <v>109</v>
      </c>
      <c r="H1579" s="20">
        <f t="shared" si="171"/>
        <v>0</v>
      </c>
      <c r="I1579" s="2"/>
      <c r="J1579" s="17"/>
      <c r="K1579" s="17"/>
      <c r="L1579" s="17"/>
    </row>
    <row r="1580" spans="1:12">
      <c r="A1580" s="50"/>
      <c r="B1580" s="49">
        <v>10</v>
      </c>
      <c r="C1580" s="19"/>
      <c r="D1580" s="20">
        <v>0</v>
      </c>
      <c r="E1580" s="21">
        <v>1</v>
      </c>
      <c r="F1580" s="20">
        <f>D1580*E1580</f>
        <v>0</v>
      </c>
      <c r="G1580" s="21">
        <v>102</v>
      </c>
      <c r="H1580" s="20">
        <f>F1580*G1580</f>
        <v>0</v>
      </c>
      <c r="I1580" s="2"/>
      <c r="J1580" s="17"/>
      <c r="K1580" s="17"/>
      <c r="L1580" s="17"/>
    </row>
    <row r="1581" spans="1:12">
      <c r="A1581" s="50"/>
      <c r="B1581" s="49"/>
      <c r="C1581" s="14" t="s">
        <v>753</v>
      </c>
      <c r="D1581" s="20"/>
      <c r="F1581" s="20"/>
      <c r="H1581" s="25">
        <f>SUM(H1571:H1580)</f>
        <v>0</v>
      </c>
      <c r="I1581" s="2"/>
      <c r="J1581" s="17"/>
      <c r="K1581" s="17"/>
      <c r="L1581" s="17"/>
    </row>
    <row r="1582" spans="1:12">
      <c r="A1582" s="50"/>
      <c r="B1582" s="49"/>
      <c r="C1582" s="14"/>
      <c r="D1582" s="20"/>
      <c r="F1582" s="20"/>
      <c r="H1582" s="25"/>
      <c r="I1582" s="2"/>
      <c r="J1582" s="17"/>
      <c r="K1582" s="17"/>
      <c r="L1582" s="17"/>
    </row>
    <row r="1583" spans="1:12">
      <c r="A1583" s="50"/>
      <c r="B1583" s="52"/>
      <c r="C1583" s="14" t="s">
        <v>754</v>
      </c>
      <c r="D1583" s="20"/>
      <c r="F1583" s="20"/>
      <c r="H1583" s="25">
        <f>H1506+H1514+H1522+H1530+H1547+H1555+H1568+H1581</f>
        <v>0</v>
      </c>
      <c r="I1583" s="2"/>
      <c r="J1583" s="17"/>
      <c r="K1583" s="17"/>
      <c r="L1583" s="17"/>
    </row>
    <row r="1584" spans="1:12" s="86" customFormat="1">
      <c r="A1584" s="81"/>
      <c r="B1584" s="82"/>
      <c r="C1584" s="83"/>
      <c r="D1584" s="84"/>
      <c r="E1584" s="85"/>
      <c r="F1584" s="84"/>
      <c r="G1584" s="85"/>
      <c r="H1584" s="84"/>
      <c r="J1584" s="87"/>
      <c r="K1584" s="87"/>
      <c r="L1584" s="87"/>
    </row>
    <row r="1585" spans="1:12" ht="39">
      <c r="A1585" s="45" t="s">
        <v>537</v>
      </c>
      <c r="B1585" s="42" t="s">
        <v>755</v>
      </c>
      <c r="C1585" s="14" t="s">
        <v>756</v>
      </c>
      <c r="D1585" s="20"/>
      <c r="F1585" s="20"/>
      <c r="H1585" s="20"/>
      <c r="I1585" s="2"/>
      <c r="J1585" s="17"/>
      <c r="K1585" s="17"/>
      <c r="L1585" s="17"/>
    </row>
    <row r="1586" spans="1:12">
      <c r="A1586" s="45"/>
      <c r="B1586" s="43">
        <v>1</v>
      </c>
      <c r="C1586" s="19"/>
      <c r="D1586" s="20">
        <v>0</v>
      </c>
      <c r="E1586" s="21">
        <v>1</v>
      </c>
      <c r="F1586" s="20">
        <f>D1586*E1586</f>
        <v>0</v>
      </c>
      <c r="G1586" s="21">
        <v>101</v>
      </c>
      <c r="H1586" s="20">
        <f>F1586*G1586</f>
        <v>0</v>
      </c>
      <c r="I1586" s="2"/>
      <c r="J1586" s="17"/>
      <c r="K1586" s="17"/>
      <c r="L1586" s="17"/>
    </row>
    <row r="1587" spans="1:12">
      <c r="A1587" s="45"/>
      <c r="B1587" s="43">
        <v>2</v>
      </c>
      <c r="C1587" s="19"/>
      <c r="D1587" s="20">
        <v>0</v>
      </c>
      <c r="E1587" s="21">
        <v>1</v>
      </c>
      <c r="F1587" s="20">
        <f t="shared" ref="F1587:F1589" si="172">D1587*E1587</f>
        <v>0</v>
      </c>
      <c r="G1587" s="21">
        <v>102</v>
      </c>
      <c r="H1587" s="20">
        <f t="shared" ref="H1587:H1589" si="173">F1587*G1587</f>
        <v>0</v>
      </c>
      <c r="I1587" s="2"/>
      <c r="J1587" s="17"/>
      <c r="K1587" s="17"/>
      <c r="L1587" s="17"/>
    </row>
    <row r="1588" spans="1:12">
      <c r="A1588" s="45"/>
      <c r="B1588" s="43">
        <v>3</v>
      </c>
      <c r="C1588" s="19"/>
      <c r="D1588" s="20">
        <v>0</v>
      </c>
      <c r="E1588" s="21">
        <v>1</v>
      </c>
      <c r="F1588" s="20">
        <f t="shared" si="172"/>
        <v>0</v>
      </c>
      <c r="G1588" s="21">
        <v>103</v>
      </c>
      <c r="H1588" s="20">
        <f t="shared" si="173"/>
        <v>0</v>
      </c>
      <c r="I1588" s="2"/>
      <c r="J1588" s="17"/>
      <c r="K1588" s="17"/>
      <c r="L1588" s="17"/>
    </row>
    <row r="1589" spans="1:12">
      <c r="A1589" s="45"/>
      <c r="B1589" s="43">
        <v>4</v>
      </c>
      <c r="C1589" s="19"/>
      <c r="D1589" s="20">
        <v>0</v>
      </c>
      <c r="E1589" s="21">
        <v>1</v>
      </c>
      <c r="F1589" s="20">
        <f t="shared" si="172"/>
        <v>0</v>
      </c>
      <c r="G1589" s="21">
        <v>104</v>
      </c>
      <c r="H1589" s="20">
        <f t="shared" si="173"/>
        <v>0</v>
      </c>
      <c r="I1589" s="2"/>
      <c r="J1589" s="17"/>
      <c r="K1589" s="17"/>
      <c r="L1589" s="17"/>
    </row>
    <row r="1590" spans="1:12">
      <c r="A1590" s="45"/>
      <c r="B1590" s="43">
        <v>5</v>
      </c>
      <c r="C1590" s="19"/>
      <c r="D1590" s="20">
        <v>0</v>
      </c>
      <c r="E1590" s="21">
        <v>1</v>
      </c>
      <c r="F1590" s="20">
        <f>D1590*E1590</f>
        <v>0</v>
      </c>
      <c r="G1590" s="21">
        <v>102</v>
      </c>
      <c r="H1590" s="20">
        <f>F1590*G1590</f>
        <v>0</v>
      </c>
      <c r="I1590" s="2"/>
      <c r="J1590" s="17"/>
      <c r="K1590" s="17"/>
      <c r="L1590" s="17"/>
    </row>
    <row r="1591" spans="1:12">
      <c r="A1591" s="45"/>
      <c r="B1591" s="43"/>
      <c r="C1591" s="14" t="s">
        <v>757</v>
      </c>
      <c r="D1591" s="20"/>
      <c r="F1591" s="20"/>
      <c r="H1591" s="25">
        <f>SUM(H1586:H1590)</f>
        <v>0</v>
      </c>
      <c r="I1591" s="2"/>
      <c r="J1591" s="17"/>
      <c r="K1591" s="17"/>
      <c r="L1591" s="17"/>
    </row>
    <row r="1592" spans="1:12">
      <c r="A1592" s="45"/>
      <c r="B1592" s="42"/>
      <c r="C1592" s="14"/>
      <c r="D1592" s="20"/>
      <c r="F1592" s="20"/>
      <c r="H1592" s="20"/>
      <c r="I1592" s="2"/>
      <c r="J1592" s="17"/>
      <c r="K1592" s="17"/>
      <c r="L1592" s="17"/>
    </row>
    <row r="1593" spans="1:12">
      <c r="A1593" s="45"/>
      <c r="B1593" s="46"/>
      <c r="C1593" s="14" t="s">
        <v>758</v>
      </c>
      <c r="D1593" s="20"/>
      <c r="F1593" s="20"/>
      <c r="H1593" s="20"/>
      <c r="I1593" s="2"/>
      <c r="J1593" s="17"/>
      <c r="K1593" s="17"/>
      <c r="L1593" s="17"/>
    </row>
    <row r="1594" spans="1:12">
      <c r="A1594" s="45"/>
      <c r="B1594" s="43">
        <v>1</v>
      </c>
      <c r="C1594" s="19"/>
      <c r="D1594" s="20">
        <v>0</v>
      </c>
      <c r="E1594" s="21">
        <v>1</v>
      </c>
      <c r="F1594" s="20">
        <f>D1594*E1594</f>
        <v>0</v>
      </c>
      <c r="G1594" s="21">
        <v>101</v>
      </c>
      <c r="H1594" s="20">
        <f>F1594*G1594</f>
        <v>0</v>
      </c>
      <c r="I1594" s="2"/>
      <c r="J1594" s="17"/>
      <c r="K1594" s="17"/>
      <c r="L1594" s="17"/>
    </row>
    <row r="1595" spans="1:12">
      <c r="A1595" s="45"/>
      <c r="B1595" s="43">
        <v>2</v>
      </c>
      <c r="C1595" s="19"/>
      <c r="D1595" s="20">
        <v>0</v>
      </c>
      <c r="E1595" s="21">
        <v>1</v>
      </c>
      <c r="F1595" s="20">
        <f t="shared" ref="F1595:F1597" si="174">D1595*E1595</f>
        <v>0</v>
      </c>
      <c r="G1595" s="21">
        <v>102</v>
      </c>
      <c r="H1595" s="20">
        <f t="shared" ref="H1595:H1597" si="175">F1595*G1595</f>
        <v>0</v>
      </c>
      <c r="I1595" s="2"/>
      <c r="J1595" s="17"/>
      <c r="K1595" s="17"/>
      <c r="L1595" s="17"/>
    </row>
    <row r="1596" spans="1:12">
      <c r="A1596" s="45"/>
      <c r="B1596" s="43">
        <v>3</v>
      </c>
      <c r="C1596" s="19"/>
      <c r="D1596" s="20">
        <v>0</v>
      </c>
      <c r="E1596" s="21">
        <v>1</v>
      </c>
      <c r="F1596" s="20">
        <f t="shared" si="174"/>
        <v>0</v>
      </c>
      <c r="G1596" s="21">
        <v>103</v>
      </c>
      <c r="H1596" s="20">
        <f t="shared" si="175"/>
        <v>0</v>
      </c>
      <c r="I1596" s="2"/>
      <c r="J1596" s="17"/>
      <c r="K1596" s="17"/>
      <c r="L1596" s="17"/>
    </row>
    <row r="1597" spans="1:12">
      <c r="A1597" s="45"/>
      <c r="B1597" s="43">
        <v>4</v>
      </c>
      <c r="C1597" s="19"/>
      <c r="D1597" s="20">
        <v>0</v>
      </c>
      <c r="E1597" s="21">
        <v>1</v>
      </c>
      <c r="F1597" s="20">
        <f t="shared" si="174"/>
        <v>0</v>
      </c>
      <c r="G1597" s="21">
        <v>104</v>
      </c>
      <c r="H1597" s="20">
        <f t="shared" si="175"/>
        <v>0</v>
      </c>
      <c r="I1597" s="2"/>
      <c r="J1597" s="17"/>
      <c r="K1597" s="17"/>
      <c r="L1597" s="17"/>
    </row>
    <row r="1598" spans="1:12">
      <c r="A1598" s="45"/>
      <c r="B1598" s="43">
        <v>5</v>
      </c>
      <c r="C1598" s="19"/>
      <c r="D1598" s="20">
        <v>0</v>
      </c>
      <c r="E1598" s="21">
        <v>1</v>
      </c>
      <c r="F1598" s="20">
        <f>D1598*E1598</f>
        <v>0</v>
      </c>
      <c r="G1598" s="21">
        <v>102</v>
      </c>
      <c r="H1598" s="20">
        <f>F1598*G1598</f>
        <v>0</v>
      </c>
      <c r="I1598" s="2"/>
      <c r="J1598" s="17"/>
      <c r="K1598" s="17"/>
      <c r="L1598" s="17"/>
    </row>
    <row r="1599" spans="1:12">
      <c r="A1599" s="45"/>
      <c r="B1599" s="43"/>
      <c r="C1599" s="14" t="s">
        <v>759</v>
      </c>
      <c r="D1599" s="20"/>
      <c r="F1599" s="20"/>
      <c r="H1599" s="25">
        <f>SUM(H1594:H1598)</f>
        <v>0</v>
      </c>
      <c r="I1599" s="2"/>
      <c r="J1599" s="17"/>
      <c r="K1599" s="17"/>
      <c r="L1599" s="17"/>
    </row>
    <row r="1600" spans="1:12">
      <c r="A1600" s="45"/>
      <c r="B1600" s="46"/>
      <c r="C1600" s="14"/>
      <c r="D1600" s="20"/>
      <c r="F1600" s="20"/>
      <c r="H1600" s="20"/>
      <c r="I1600" s="2"/>
      <c r="J1600" s="17"/>
      <c r="K1600" s="17"/>
      <c r="L1600" s="17"/>
    </row>
    <row r="1601" spans="1:12">
      <c r="A1601" s="45"/>
      <c r="B1601" s="46"/>
      <c r="C1601" s="14" t="s">
        <v>760</v>
      </c>
      <c r="D1601" s="20"/>
      <c r="F1601" s="20"/>
      <c r="H1601" s="20"/>
      <c r="I1601" s="2"/>
      <c r="J1601" s="17"/>
      <c r="K1601" s="17"/>
      <c r="L1601" s="17"/>
    </row>
    <row r="1602" spans="1:12">
      <c r="A1602" s="45"/>
      <c r="B1602" s="43">
        <v>1</v>
      </c>
      <c r="C1602" s="19"/>
      <c r="D1602" s="20">
        <v>0</v>
      </c>
      <c r="E1602" s="21">
        <v>1</v>
      </c>
      <c r="F1602" s="20">
        <f>D1602*E1602</f>
        <v>0</v>
      </c>
      <c r="G1602" s="21">
        <v>101</v>
      </c>
      <c r="H1602" s="20">
        <f>F1602*G1602</f>
        <v>0</v>
      </c>
      <c r="I1602" s="2"/>
      <c r="J1602" s="17"/>
      <c r="K1602" s="17"/>
      <c r="L1602" s="17"/>
    </row>
    <row r="1603" spans="1:12">
      <c r="A1603" s="45"/>
      <c r="B1603" s="43">
        <v>2</v>
      </c>
      <c r="C1603" s="19"/>
      <c r="D1603" s="20">
        <v>0</v>
      </c>
      <c r="E1603" s="21">
        <v>1</v>
      </c>
      <c r="F1603" s="20">
        <f t="shared" ref="F1603:F1605" si="176">D1603*E1603</f>
        <v>0</v>
      </c>
      <c r="G1603" s="21">
        <v>102</v>
      </c>
      <c r="H1603" s="20">
        <f t="shared" ref="H1603:H1605" si="177">F1603*G1603</f>
        <v>0</v>
      </c>
      <c r="I1603" s="2"/>
      <c r="J1603" s="17"/>
      <c r="K1603" s="17"/>
      <c r="L1603" s="17"/>
    </row>
    <row r="1604" spans="1:12">
      <c r="A1604" s="45"/>
      <c r="B1604" s="43">
        <v>3</v>
      </c>
      <c r="C1604" s="19"/>
      <c r="D1604" s="20">
        <v>0</v>
      </c>
      <c r="E1604" s="21">
        <v>1</v>
      </c>
      <c r="F1604" s="20">
        <f t="shared" si="176"/>
        <v>0</v>
      </c>
      <c r="G1604" s="21">
        <v>103</v>
      </c>
      <c r="H1604" s="20">
        <f t="shared" si="177"/>
        <v>0</v>
      </c>
      <c r="I1604" s="2"/>
      <c r="J1604" s="17"/>
      <c r="K1604" s="17"/>
      <c r="L1604" s="17"/>
    </row>
    <row r="1605" spans="1:12">
      <c r="A1605" s="45"/>
      <c r="B1605" s="43">
        <v>4</v>
      </c>
      <c r="C1605" s="19"/>
      <c r="D1605" s="20">
        <v>0</v>
      </c>
      <c r="E1605" s="21">
        <v>1</v>
      </c>
      <c r="F1605" s="20">
        <f t="shared" si="176"/>
        <v>0</v>
      </c>
      <c r="G1605" s="21">
        <v>104</v>
      </c>
      <c r="H1605" s="20">
        <f t="shared" si="177"/>
        <v>0</v>
      </c>
      <c r="I1605" s="2"/>
      <c r="J1605" s="17"/>
      <c r="K1605" s="17"/>
      <c r="L1605" s="17"/>
    </row>
    <row r="1606" spans="1:12">
      <c r="A1606" s="45"/>
      <c r="B1606" s="43">
        <v>5</v>
      </c>
      <c r="C1606" s="19"/>
      <c r="D1606" s="20">
        <v>0</v>
      </c>
      <c r="E1606" s="21">
        <v>1</v>
      </c>
      <c r="F1606" s="20">
        <f>D1606*E1606</f>
        <v>0</v>
      </c>
      <c r="G1606" s="21">
        <v>102</v>
      </c>
      <c r="H1606" s="20">
        <f>F1606*G1606</f>
        <v>0</v>
      </c>
      <c r="I1606" s="2"/>
      <c r="J1606" s="17"/>
      <c r="K1606" s="17"/>
      <c r="L1606" s="17"/>
    </row>
    <row r="1607" spans="1:12">
      <c r="A1607" s="45"/>
      <c r="B1607" s="43"/>
      <c r="C1607" s="14" t="s">
        <v>761</v>
      </c>
      <c r="D1607" s="20"/>
      <c r="F1607" s="20"/>
      <c r="H1607" s="25">
        <f>SUM(H1602:H1606)</f>
        <v>0</v>
      </c>
      <c r="I1607" s="2"/>
      <c r="J1607" s="17"/>
      <c r="K1607" s="17"/>
      <c r="L1607" s="17"/>
    </row>
    <row r="1608" spans="1:12">
      <c r="A1608" s="45"/>
      <c r="B1608" s="46"/>
      <c r="C1608" s="14"/>
      <c r="D1608" s="20"/>
      <c r="F1608" s="20"/>
      <c r="H1608" s="20"/>
      <c r="I1608" s="2"/>
      <c r="J1608" s="17"/>
      <c r="K1608" s="17"/>
      <c r="L1608" s="17"/>
    </row>
    <row r="1609" spans="1:12">
      <c r="A1609" s="45"/>
      <c r="B1609" s="46"/>
      <c r="C1609" s="14" t="s">
        <v>762</v>
      </c>
      <c r="D1609" s="20"/>
      <c r="F1609" s="20"/>
      <c r="H1609" s="20"/>
      <c r="I1609" s="2"/>
      <c r="J1609" s="17"/>
      <c r="K1609" s="17"/>
      <c r="L1609" s="17"/>
    </row>
    <row r="1610" spans="1:12">
      <c r="A1610" s="45"/>
      <c r="B1610" s="43">
        <v>1</v>
      </c>
      <c r="C1610" s="19"/>
      <c r="D1610" s="20">
        <v>0</v>
      </c>
      <c r="E1610" s="21">
        <v>1</v>
      </c>
      <c r="F1610" s="20">
        <f>D1610*E1610</f>
        <v>0</v>
      </c>
      <c r="G1610" s="21">
        <v>101</v>
      </c>
      <c r="H1610" s="20">
        <f>F1610*G1610</f>
        <v>0</v>
      </c>
      <c r="I1610" s="2"/>
      <c r="J1610" s="17"/>
      <c r="K1610" s="17"/>
      <c r="L1610" s="17"/>
    </row>
    <row r="1611" spans="1:12">
      <c r="A1611" s="45"/>
      <c r="B1611" s="43">
        <v>2</v>
      </c>
      <c r="C1611" s="19"/>
      <c r="D1611" s="20">
        <v>0</v>
      </c>
      <c r="E1611" s="21">
        <v>1</v>
      </c>
      <c r="F1611" s="20">
        <f t="shared" ref="F1611:F1614" si="178">D1611*E1611</f>
        <v>0</v>
      </c>
      <c r="G1611" s="21">
        <v>102</v>
      </c>
      <c r="H1611" s="20">
        <f t="shared" ref="H1611:H1614" si="179">F1611*G1611</f>
        <v>0</v>
      </c>
      <c r="I1611" s="2"/>
      <c r="J1611" s="17"/>
      <c r="K1611" s="17"/>
      <c r="L1611" s="17"/>
    </row>
    <row r="1612" spans="1:12">
      <c r="A1612" s="45"/>
      <c r="B1612" s="43">
        <v>3</v>
      </c>
      <c r="C1612" s="19"/>
      <c r="D1612" s="20">
        <v>0</v>
      </c>
      <c r="E1612" s="21">
        <v>1</v>
      </c>
      <c r="F1612" s="20">
        <f t="shared" si="178"/>
        <v>0</v>
      </c>
      <c r="G1612" s="21">
        <v>103</v>
      </c>
      <c r="H1612" s="20">
        <f t="shared" si="179"/>
        <v>0</v>
      </c>
      <c r="I1612" s="2"/>
      <c r="J1612" s="17"/>
      <c r="K1612" s="17"/>
      <c r="L1612" s="17"/>
    </row>
    <row r="1613" spans="1:12">
      <c r="A1613" s="45"/>
      <c r="B1613" s="43">
        <v>4</v>
      </c>
      <c r="C1613" s="19"/>
      <c r="D1613" s="20">
        <v>0</v>
      </c>
      <c r="E1613" s="21">
        <v>1</v>
      </c>
      <c r="F1613" s="20">
        <f t="shared" si="178"/>
        <v>0</v>
      </c>
      <c r="G1613" s="21">
        <v>104</v>
      </c>
      <c r="H1613" s="20">
        <f t="shared" si="179"/>
        <v>0</v>
      </c>
      <c r="I1613" s="2"/>
      <c r="J1613" s="17"/>
      <c r="K1613" s="17"/>
      <c r="L1613" s="17"/>
    </row>
    <row r="1614" spans="1:12">
      <c r="A1614" s="45"/>
      <c r="B1614" s="43">
        <v>5</v>
      </c>
      <c r="C1614" s="19"/>
      <c r="D1614" s="20">
        <v>0</v>
      </c>
      <c r="E1614" s="21">
        <v>1</v>
      </c>
      <c r="F1614" s="20">
        <f t="shared" si="178"/>
        <v>0</v>
      </c>
      <c r="G1614" s="21">
        <v>105</v>
      </c>
      <c r="H1614" s="20">
        <f t="shared" si="179"/>
        <v>0</v>
      </c>
      <c r="I1614" s="2"/>
      <c r="J1614" s="17"/>
      <c r="K1614" s="17"/>
      <c r="L1614" s="17"/>
    </row>
    <row r="1615" spans="1:12">
      <c r="A1615" s="45"/>
      <c r="B1615" s="43">
        <v>6</v>
      </c>
      <c r="C1615" s="19"/>
      <c r="D1615" s="20">
        <v>0</v>
      </c>
      <c r="E1615" s="21">
        <v>1</v>
      </c>
      <c r="F1615" s="20">
        <f>D1615*E1615</f>
        <v>0</v>
      </c>
      <c r="G1615" s="21">
        <v>102</v>
      </c>
      <c r="H1615" s="20">
        <f>F1615*G1615</f>
        <v>0</v>
      </c>
      <c r="I1615" s="2"/>
      <c r="J1615" s="17"/>
      <c r="K1615" s="17"/>
      <c r="L1615" s="17"/>
    </row>
    <row r="1616" spans="1:12">
      <c r="A1616" s="45"/>
      <c r="B1616" s="43"/>
      <c r="C1616" s="14" t="s">
        <v>763</v>
      </c>
      <c r="D1616" s="20"/>
      <c r="F1616" s="20"/>
      <c r="H1616" s="25">
        <f>SUM(H1610:H1615)</f>
        <v>0</v>
      </c>
      <c r="I1616" s="2"/>
      <c r="J1616" s="17"/>
      <c r="K1616" s="17"/>
      <c r="L1616" s="17"/>
    </row>
    <row r="1617" spans="1:12">
      <c r="A1617" s="45"/>
      <c r="B1617" s="46"/>
      <c r="C1617" s="14"/>
      <c r="D1617" s="20"/>
      <c r="F1617" s="20"/>
      <c r="H1617" s="20"/>
      <c r="I1617" s="2"/>
      <c r="J1617" s="17"/>
      <c r="K1617" s="17"/>
      <c r="L1617" s="17"/>
    </row>
    <row r="1618" spans="1:12">
      <c r="A1618" s="45"/>
      <c r="B1618" s="46"/>
      <c r="C1618" s="14" t="s">
        <v>764</v>
      </c>
      <c r="D1618" s="20"/>
      <c r="F1618" s="20"/>
      <c r="H1618" s="20"/>
      <c r="I1618" s="2"/>
      <c r="J1618" s="17"/>
      <c r="K1618" s="17"/>
      <c r="L1618" s="17"/>
    </row>
    <row r="1619" spans="1:12">
      <c r="A1619" s="45"/>
      <c r="B1619" s="43">
        <v>1</v>
      </c>
      <c r="C1619" s="19" t="s">
        <v>496</v>
      </c>
      <c r="D1619" s="20">
        <v>0</v>
      </c>
      <c r="E1619" s="21">
        <v>1</v>
      </c>
      <c r="F1619" s="20">
        <f>D1619*E1619</f>
        <v>0</v>
      </c>
      <c r="G1619" s="21">
        <v>5384.6153846153848</v>
      </c>
      <c r="H1619" s="20">
        <f>F1619*G1619</f>
        <v>0</v>
      </c>
      <c r="I1619" s="2"/>
      <c r="J1619" s="17"/>
      <c r="K1619" s="17"/>
      <c r="L1619" s="17"/>
    </row>
    <row r="1620" spans="1:12">
      <c r="A1620" s="45"/>
      <c r="B1620" s="43">
        <v>2</v>
      </c>
      <c r="C1620" s="19" t="s">
        <v>497</v>
      </c>
      <c r="D1620" s="20">
        <v>0</v>
      </c>
      <c r="E1620" s="21">
        <v>1</v>
      </c>
      <c r="F1620" s="20">
        <f t="shared" ref="F1620:F1632" si="180">D1620*E1620</f>
        <v>0</v>
      </c>
      <c r="G1620" s="69">
        <v>8307.6923076923067</v>
      </c>
      <c r="H1620" s="20">
        <f t="shared" ref="H1620:H1632" si="181">F1620*G1620</f>
        <v>0</v>
      </c>
      <c r="I1620" s="2"/>
      <c r="J1620" s="17"/>
      <c r="K1620" s="17"/>
      <c r="L1620" s="17"/>
    </row>
    <row r="1621" spans="1:12">
      <c r="A1621" s="45"/>
      <c r="B1621" s="43">
        <v>3</v>
      </c>
      <c r="C1621" s="19" t="s">
        <v>606</v>
      </c>
      <c r="D1621" s="20">
        <v>0</v>
      </c>
      <c r="E1621" s="21">
        <v>1</v>
      </c>
      <c r="F1621" s="20">
        <f t="shared" si="180"/>
        <v>0</v>
      </c>
      <c r="G1621" s="21">
        <v>60.769230769230766</v>
      </c>
      <c r="H1621" s="20">
        <f t="shared" si="181"/>
        <v>0</v>
      </c>
      <c r="I1621" s="2"/>
      <c r="J1621" s="17"/>
      <c r="K1621" s="17"/>
      <c r="L1621" s="17"/>
    </row>
    <row r="1622" spans="1:12">
      <c r="A1622" s="45"/>
      <c r="B1622" s="43">
        <v>4</v>
      </c>
      <c r="C1622" s="19" t="s">
        <v>503</v>
      </c>
      <c r="D1622" s="20">
        <v>0</v>
      </c>
      <c r="E1622" s="21">
        <v>1</v>
      </c>
      <c r="F1622" s="20">
        <f t="shared" si="180"/>
        <v>0</v>
      </c>
      <c r="G1622" s="21">
        <v>40</v>
      </c>
      <c r="H1622" s="20">
        <f t="shared" si="181"/>
        <v>0</v>
      </c>
      <c r="I1622" s="2"/>
      <c r="J1622" s="17"/>
      <c r="K1622" s="17"/>
      <c r="L1622" s="17"/>
    </row>
    <row r="1623" spans="1:12">
      <c r="A1623" s="45"/>
      <c r="B1623" s="43">
        <v>5</v>
      </c>
      <c r="C1623" s="19" t="s">
        <v>504</v>
      </c>
      <c r="D1623" s="20">
        <v>0</v>
      </c>
      <c r="E1623" s="21">
        <v>0.42599999999999999</v>
      </c>
      <c r="F1623" s="20">
        <f t="shared" si="180"/>
        <v>0</v>
      </c>
      <c r="G1623" s="21">
        <v>49000</v>
      </c>
      <c r="H1623" s="20">
        <f t="shared" si="181"/>
        <v>0</v>
      </c>
      <c r="I1623" s="2"/>
      <c r="J1623" s="17"/>
      <c r="K1623" s="17"/>
      <c r="L1623" s="17"/>
    </row>
    <row r="1624" spans="1:12">
      <c r="A1624" s="45"/>
      <c r="B1624" s="43">
        <v>6</v>
      </c>
      <c r="C1624" s="19" t="s">
        <v>507</v>
      </c>
      <c r="D1624" s="20">
        <v>0</v>
      </c>
      <c r="E1624" s="21">
        <v>1</v>
      </c>
      <c r="F1624" s="20">
        <f t="shared" si="180"/>
        <v>0</v>
      </c>
      <c r="G1624" s="21">
        <v>230.76923076923077</v>
      </c>
      <c r="H1624" s="20">
        <f t="shared" si="181"/>
        <v>0</v>
      </c>
      <c r="I1624" s="2"/>
      <c r="J1624" s="17"/>
      <c r="K1624" s="17"/>
      <c r="L1624" s="17"/>
    </row>
    <row r="1625" spans="1:12">
      <c r="A1625" s="45"/>
      <c r="B1625" s="43">
        <v>7</v>
      </c>
      <c r="C1625" s="19" t="s">
        <v>508</v>
      </c>
      <c r="D1625" s="20">
        <v>0</v>
      </c>
      <c r="E1625" s="21">
        <v>0.14399999999999999</v>
      </c>
      <c r="F1625" s="20">
        <f t="shared" si="180"/>
        <v>0</v>
      </c>
      <c r="G1625" s="21">
        <v>9000</v>
      </c>
      <c r="H1625" s="20">
        <f t="shared" si="181"/>
        <v>0</v>
      </c>
      <c r="I1625" s="2"/>
      <c r="J1625" s="17"/>
      <c r="K1625" s="17"/>
      <c r="L1625" s="17"/>
    </row>
    <row r="1626" spans="1:12">
      <c r="A1626" s="45"/>
      <c r="B1626" s="43">
        <v>8</v>
      </c>
      <c r="C1626" s="19" t="s">
        <v>352</v>
      </c>
      <c r="D1626" s="20">
        <v>0</v>
      </c>
      <c r="E1626" s="21">
        <v>0.58199999999999996</v>
      </c>
      <c r="F1626" s="20">
        <f t="shared" si="180"/>
        <v>0</v>
      </c>
      <c r="G1626" s="21">
        <v>177.69230769230768</v>
      </c>
      <c r="H1626" s="20">
        <f t="shared" si="181"/>
        <v>0</v>
      </c>
      <c r="I1626" s="2"/>
      <c r="J1626" s="17"/>
      <c r="K1626" s="17"/>
      <c r="L1626" s="17"/>
    </row>
    <row r="1627" spans="1:12">
      <c r="A1627" s="45"/>
      <c r="B1627" s="43">
        <v>9</v>
      </c>
      <c r="C1627" s="19" t="s">
        <v>45</v>
      </c>
      <c r="D1627" s="20">
        <v>0</v>
      </c>
      <c r="E1627" s="21">
        <v>0.58199999999999996</v>
      </c>
      <c r="F1627" s="20">
        <f t="shared" si="180"/>
        <v>0</v>
      </c>
      <c r="G1627" s="21">
        <v>77.692307692307693</v>
      </c>
      <c r="H1627" s="20">
        <f t="shared" si="181"/>
        <v>0</v>
      </c>
      <c r="I1627" s="2"/>
      <c r="J1627" s="17"/>
      <c r="K1627" s="17"/>
      <c r="L1627" s="17"/>
    </row>
    <row r="1628" spans="1:12">
      <c r="A1628" s="45"/>
      <c r="B1628" s="43">
        <v>10</v>
      </c>
      <c r="C1628" s="19" t="s">
        <v>351</v>
      </c>
      <c r="D1628" s="20">
        <v>0</v>
      </c>
      <c r="E1628" s="21">
        <v>0.58199999999999996</v>
      </c>
      <c r="F1628" s="20">
        <f t="shared" si="180"/>
        <v>0</v>
      </c>
      <c r="G1628" s="21">
        <v>264.61538461538458</v>
      </c>
      <c r="H1628" s="20">
        <f t="shared" si="181"/>
        <v>0</v>
      </c>
      <c r="I1628" s="2"/>
      <c r="J1628" s="17"/>
      <c r="K1628" s="17"/>
      <c r="L1628" s="17"/>
    </row>
    <row r="1629" spans="1:12">
      <c r="A1629" s="45"/>
      <c r="B1629" s="43">
        <v>11</v>
      </c>
      <c r="C1629" s="19"/>
      <c r="D1629" s="20"/>
      <c r="E1629" s="21">
        <v>0.58199999999999996</v>
      </c>
      <c r="F1629" s="20">
        <f t="shared" si="180"/>
        <v>0</v>
      </c>
      <c r="G1629" s="21">
        <v>101</v>
      </c>
      <c r="H1629" s="20">
        <f t="shared" si="181"/>
        <v>0</v>
      </c>
      <c r="I1629" s="2"/>
      <c r="J1629" s="17"/>
      <c r="K1629" s="17"/>
      <c r="L1629" s="17"/>
    </row>
    <row r="1630" spans="1:12">
      <c r="A1630" s="45"/>
      <c r="B1630" s="43">
        <v>12</v>
      </c>
      <c r="C1630" s="19"/>
      <c r="D1630" s="20"/>
      <c r="E1630" s="21">
        <v>0.58199999999999996</v>
      </c>
      <c r="F1630" s="20">
        <f t="shared" si="180"/>
        <v>0</v>
      </c>
      <c r="G1630" s="21">
        <v>344</v>
      </c>
      <c r="H1630" s="20">
        <f t="shared" si="181"/>
        <v>0</v>
      </c>
      <c r="I1630" s="2"/>
      <c r="J1630" s="17"/>
      <c r="K1630" s="17"/>
      <c r="L1630" s="17"/>
    </row>
    <row r="1631" spans="1:12">
      <c r="A1631" s="45"/>
      <c r="B1631" s="43">
        <v>13</v>
      </c>
      <c r="C1631" s="19"/>
      <c r="D1631" s="20">
        <v>0</v>
      </c>
      <c r="E1631" s="21">
        <v>0</v>
      </c>
      <c r="F1631" s="20">
        <f t="shared" si="180"/>
        <v>0</v>
      </c>
      <c r="G1631" s="21">
        <v>110</v>
      </c>
      <c r="H1631" s="20">
        <f t="shared" si="181"/>
        <v>0</v>
      </c>
      <c r="I1631" s="2"/>
      <c r="J1631" s="17"/>
      <c r="K1631" s="17"/>
      <c r="L1631" s="17"/>
    </row>
    <row r="1632" spans="1:12">
      <c r="A1632" s="45"/>
      <c r="B1632" s="43">
        <v>14</v>
      </c>
      <c r="C1632" s="19"/>
      <c r="D1632" s="20">
        <v>0</v>
      </c>
      <c r="E1632" s="21">
        <v>0</v>
      </c>
      <c r="F1632" s="20">
        <f t="shared" si="180"/>
        <v>0</v>
      </c>
      <c r="G1632" s="21">
        <v>111</v>
      </c>
      <c r="H1632" s="20">
        <f t="shared" si="181"/>
        <v>0</v>
      </c>
      <c r="I1632" s="2"/>
      <c r="J1632" s="17"/>
      <c r="K1632" s="17"/>
      <c r="L1632" s="17"/>
    </row>
    <row r="1633" spans="1:12">
      <c r="A1633" s="45"/>
      <c r="B1633" s="43">
        <v>15</v>
      </c>
      <c r="C1633" s="19"/>
      <c r="D1633" s="20">
        <v>0</v>
      </c>
      <c r="E1633" s="21">
        <v>0</v>
      </c>
      <c r="F1633" s="20">
        <f>D1633*E1633</f>
        <v>0</v>
      </c>
      <c r="G1633" s="21">
        <v>102</v>
      </c>
      <c r="H1633" s="20">
        <f>F1633*G1633</f>
        <v>0</v>
      </c>
      <c r="I1633" s="2"/>
      <c r="J1633" s="17"/>
      <c r="K1633" s="17"/>
      <c r="L1633" s="17"/>
    </row>
    <row r="1634" spans="1:12">
      <c r="A1634" s="45"/>
      <c r="B1634" s="43"/>
      <c r="C1634" s="14" t="s">
        <v>765</v>
      </c>
      <c r="D1634" s="20"/>
      <c r="F1634" s="20"/>
      <c r="H1634" s="25">
        <f>SUM(H1619:H1633)</f>
        <v>0</v>
      </c>
      <c r="I1634" s="2"/>
      <c r="J1634" s="17"/>
      <c r="K1634" s="17"/>
      <c r="L1634" s="17"/>
    </row>
    <row r="1635" spans="1:12">
      <c r="A1635" s="45"/>
      <c r="B1635" s="46"/>
      <c r="C1635" s="14"/>
      <c r="D1635" s="20"/>
      <c r="F1635" s="20"/>
      <c r="H1635" s="20"/>
      <c r="I1635" s="2"/>
      <c r="J1635" s="17"/>
      <c r="K1635" s="17"/>
      <c r="L1635" s="17"/>
    </row>
    <row r="1636" spans="1:12">
      <c r="A1636" s="45"/>
      <c r="B1636" s="46"/>
      <c r="C1636" s="14" t="s">
        <v>766</v>
      </c>
      <c r="D1636" s="20"/>
      <c r="F1636" s="20"/>
      <c r="H1636" s="20"/>
      <c r="I1636" s="2"/>
      <c r="J1636" s="17"/>
      <c r="K1636" s="17"/>
      <c r="L1636" s="17"/>
    </row>
    <row r="1637" spans="1:12">
      <c r="A1637" s="45"/>
      <c r="B1637" s="43">
        <v>1</v>
      </c>
      <c r="C1637" s="19" t="s">
        <v>284</v>
      </c>
      <c r="D1637" s="20">
        <v>0</v>
      </c>
      <c r="E1637" s="21">
        <v>1</v>
      </c>
      <c r="F1637" s="20">
        <f>D1637*E1637</f>
        <v>0</v>
      </c>
      <c r="G1637" s="21">
        <v>40000</v>
      </c>
      <c r="H1637" s="20">
        <f>F1637*G1637</f>
        <v>0</v>
      </c>
      <c r="I1637" s="2"/>
      <c r="J1637" s="17"/>
      <c r="K1637" s="17"/>
      <c r="L1637" s="17"/>
    </row>
    <row r="1638" spans="1:12">
      <c r="A1638" s="45"/>
      <c r="B1638" s="43">
        <v>2</v>
      </c>
      <c r="C1638" s="19"/>
      <c r="D1638" s="20">
        <v>0</v>
      </c>
      <c r="E1638" s="21">
        <v>1</v>
      </c>
      <c r="F1638" s="20">
        <f t="shared" ref="F1638:F1640" si="182">D1638*E1638</f>
        <v>0</v>
      </c>
      <c r="G1638" s="21">
        <v>400000</v>
      </c>
      <c r="H1638" s="20">
        <f t="shared" ref="H1638:H1640" si="183">F1638*G1638</f>
        <v>0</v>
      </c>
      <c r="I1638" s="2"/>
      <c r="J1638" s="17"/>
      <c r="K1638" s="17"/>
      <c r="L1638" s="17"/>
    </row>
    <row r="1639" spans="1:12">
      <c r="A1639" s="45"/>
      <c r="B1639" s="43">
        <v>3</v>
      </c>
      <c r="C1639" s="19"/>
      <c r="D1639" s="20">
        <v>0</v>
      </c>
      <c r="E1639" s="21">
        <v>1</v>
      </c>
      <c r="F1639" s="20">
        <f t="shared" si="182"/>
        <v>0</v>
      </c>
      <c r="G1639" s="21">
        <v>103</v>
      </c>
      <c r="H1639" s="20">
        <f t="shared" si="183"/>
        <v>0</v>
      </c>
      <c r="I1639" s="2"/>
      <c r="J1639" s="17"/>
      <c r="K1639" s="17"/>
      <c r="L1639" s="17"/>
    </row>
    <row r="1640" spans="1:12">
      <c r="A1640" s="45"/>
      <c r="B1640" s="43">
        <v>4</v>
      </c>
      <c r="C1640" s="19"/>
      <c r="D1640" s="20">
        <v>0</v>
      </c>
      <c r="E1640" s="21">
        <v>1</v>
      </c>
      <c r="F1640" s="20">
        <f t="shared" si="182"/>
        <v>0</v>
      </c>
      <c r="G1640" s="21">
        <v>104</v>
      </c>
      <c r="H1640" s="20">
        <f t="shared" si="183"/>
        <v>0</v>
      </c>
      <c r="I1640" s="2"/>
      <c r="J1640" s="17"/>
      <c r="K1640" s="17"/>
      <c r="L1640" s="17"/>
    </row>
    <row r="1641" spans="1:12">
      <c r="A1641" s="45"/>
      <c r="B1641" s="43">
        <v>5</v>
      </c>
      <c r="C1641" s="19"/>
      <c r="D1641" s="20">
        <v>0</v>
      </c>
      <c r="E1641" s="21">
        <v>1</v>
      </c>
      <c r="F1641" s="20">
        <f>D1641*E1641</f>
        <v>0</v>
      </c>
      <c r="G1641" s="21">
        <v>102</v>
      </c>
      <c r="H1641" s="20">
        <f>F1641*G1641</f>
        <v>0</v>
      </c>
      <c r="I1641" s="2"/>
      <c r="J1641" s="17"/>
      <c r="K1641" s="17"/>
      <c r="L1641" s="17"/>
    </row>
    <row r="1642" spans="1:12">
      <c r="A1642" s="45"/>
      <c r="B1642" s="43"/>
      <c r="C1642" s="14" t="s">
        <v>767</v>
      </c>
      <c r="D1642" s="20"/>
      <c r="F1642" s="20"/>
      <c r="H1642" s="25">
        <f>SUM(H1637:H1641)</f>
        <v>0</v>
      </c>
      <c r="I1642" s="2"/>
      <c r="J1642" s="17"/>
      <c r="K1642" s="17"/>
      <c r="L1642" s="17"/>
    </row>
    <row r="1643" spans="1:12">
      <c r="A1643" s="45"/>
      <c r="B1643" s="46"/>
      <c r="C1643" s="14"/>
      <c r="D1643" s="20"/>
      <c r="F1643" s="20"/>
      <c r="H1643" s="20"/>
      <c r="I1643" s="2"/>
      <c r="J1643" s="17"/>
      <c r="K1643" s="17"/>
      <c r="L1643" s="17"/>
    </row>
    <row r="1644" spans="1:12">
      <c r="A1644" s="45"/>
      <c r="B1644" s="46"/>
      <c r="C1644" s="14" t="s">
        <v>768</v>
      </c>
      <c r="D1644" s="20"/>
      <c r="F1644" s="20"/>
      <c r="H1644" s="20"/>
      <c r="I1644" s="2"/>
      <c r="J1644" s="17"/>
      <c r="K1644" s="17"/>
      <c r="L1644" s="17"/>
    </row>
    <row r="1645" spans="1:12">
      <c r="A1645" s="45"/>
      <c r="B1645" s="43">
        <v>1</v>
      </c>
      <c r="C1645" s="19" t="s">
        <v>219</v>
      </c>
      <c r="D1645" s="20">
        <v>0</v>
      </c>
      <c r="E1645" s="21">
        <v>1</v>
      </c>
      <c r="F1645" s="20">
        <f>D1645*E1645</f>
        <v>0</v>
      </c>
      <c r="G1645" s="69">
        <v>12507</v>
      </c>
      <c r="H1645" s="20">
        <f>F1645*G1645</f>
        <v>0</v>
      </c>
      <c r="I1645" s="2"/>
      <c r="J1645" s="17"/>
      <c r="K1645" s="17"/>
      <c r="L1645" s="17"/>
    </row>
    <row r="1646" spans="1:12">
      <c r="A1646" s="45"/>
      <c r="B1646" s="43">
        <v>2</v>
      </c>
      <c r="C1646" s="19" t="s">
        <v>64</v>
      </c>
      <c r="D1646" s="20">
        <v>0</v>
      </c>
      <c r="E1646" s="21">
        <v>1</v>
      </c>
      <c r="F1646" s="20">
        <f t="shared" ref="F1646:F1651" si="184">D1646*E1646</f>
        <v>0</v>
      </c>
      <c r="G1646" s="69">
        <v>12507</v>
      </c>
      <c r="H1646" s="20">
        <f t="shared" ref="H1646:H1651" si="185">F1646*G1646</f>
        <v>0</v>
      </c>
      <c r="I1646" s="2"/>
      <c r="J1646" s="17"/>
      <c r="K1646" s="17"/>
      <c r="L1646" s="17"/>
    </row>
    <row r="1647" spans="1:12">
      <c r="A1647" s="45"/>
      <c r="B1647" s="43">
        <v>3</v>
      </c>
      <c r="C1647" s="19" t="s">
        <v>65</v>
      </c>
      <c r="D1647" s="20">
        <v>0</v>
      </c>
      <c r="E1647" s="21">
        <v>1</v>
      </c>
      <c r="F1647" s="20">
        <f t="shared" si="184"/>
        <v>0</v>
      </c>
      <c r="G1647" s="69">
        <v>12507</v>
      </c>
      <c r="H1647" s="20">
        <f t="shared" si="185"/>
        <v>0</v>
      </c>
      <c r="I1647" s="2"/>
      <c r="J1647" s="17"/>
      <c r="K1647" s="17"/>
      <c r="L1647" s="17"/>
    </row>
    <row r="1648" spans="1:12">
      <c r="A1648" s="45"/>
      <c r="B1648" s="43">
        <v>4</v>
      </c>
      <c r="C1648" s="19" t="s">
        <v>358</v>
      </c>
      <c r="D1648" s="20">
        <v>0</v>
      </c>
      <c r="E1648" s="21">
        <v>1</v>
      </c>
      <c r="F1648" s="20">
        <f t="shared" si="184"/>
        <v>0</v>
      </c>
      <c r="G1648" s="69">
        <v>12507</v>
      </c>
      <c r="H1648" s="20">
        <f t="shared" si="185"/>
        <v>0</v>
      </c>
      <c r="I1648" s="2"/>
      <c r="J1648" s="17"/>
      <c r="K1648" s="17"/>
      <c r="L1648" s="17"/>
    </row>
    <row r="1649" spans="1:12">
      <c r="A1649" s="45"/>
      <c r="B1649" s="43">
        <v>5</v>
      </c>
      <c r="C1649" s="19" t="s">
        <v>222</v>
      </c>
      <c r="D1649" s="20">
        <v>0</v>
      </c>
      <c r="E1649" s="21">
        <v>1</v>
      </c>
      <c r="F1649" s="20">
        <f t="shared" si="184"/>
        <v>0</v>
      </c>
      <c r="G1649" s="69">
        <v>12507</v>
      </c>
      <c r="H1649" s="20">
        <f t="shared" si="185"/>
        <v>0</v>
      </c>
      <c r="I1649" s="2"/>
      <c r="J1649" s="17"/>
      <c r="K1649" s="17"/>
      <c r="L1649" s="17"/>
    </row>
    <row r="1650" spans="1:12">
      <c r="A1650" s="45"/>
      <c r="B1650" s="43">
        <v>6</v>
      </c>
      <c r="C1650" s="19" t="s">
        <v>360</v>
      </c>
      <c r="D1650" s="20">
        <v>0</v>
      </c>
      <c r="E1650" s="21">
        <v>1</v>
      </c>
      <c r="F1650" s="20">
        <f t="shared" si="184"/>
        <v>0</v>
      </c>
      <c r="G1650" s="69">
        <v>31769</v>
      </c>
      <c r="H1650" s="20">
        <f t="shared" si="185"/>
        <v>0</v>
      </c>
      <c r="I1650" s="2"/>
      <c r="J1650" s="17"/>
      <c r="K1650" s="17"/>
      <c r="L1650" s="17"/>
    </row>
    <row r="1651" spans="1:12">
      <c r="A1651" s="45"/>
      <c r="B1651" s="43">
        <v>7</v>
      </c>
      <c r="C1651" s="19"/>
      <c r="D1651" s="20"/>
      <c r="E1651" s="21">
        <v>1</v>
      </c>
      <c r="F1651" s="20">
        <f t="shared" si="184"/>
        <v>0</v>
      </c>
      <c r="G1651" s="69">
        <v>250000</v>
      </c>
      <c r="H1651" s="20">
        <f t="shared" si="185"/>
        <v>0</v>
      </c>
      <c r="I1651" s="2"/>
      <c r="J1651" s="17"/>
      <c r="K1651" s="17"/>
      <c r="L1651" s="17"/>
    </row>
    <row r="1652" spans="1:12">
      <c r="A1652" s="45"/>
      <c r="B1652" s="43">
        <v>8</v>
      </c>
      <c r="C1652" s="19"/>
      <c r="D1652" s="20">
        <v>0</v>
      </c>
      <c r="E1652" s="21">
        <v>0</v>
      </c>
      <c r="F1652" s="20">
        <f>D1652*E1652</f>
        <v>0</v>
      </c>
      <c r="G1652" s="21">
        <v>102</v>
      </c>
      <c r="H1652" s="20">
        <f>F1652*G1652</f>
        <v>0</v>
      </c>
      <c r="I1652" s="2"/>
      <c r="J1652" s="17"/>
      <c r="K1652" s="17"/>
      <c r="L1652" s="17"/>
    </row>
    <row r="1653" spans="1:12">
      <c r="A1653" s="45"/>
      <c r="B1653" s="43"/>
      <c r="C1653" s="14" t="s">
        <v>769</v>
      </c>
      <c r="D1653" s="20"/>
      <c r="F1653" s="20"/>
      <c r="H1653" s="25">
        <f>SUM(H1645:H1652)</f>
        <v>0</v>
      </c>
      <c r="I1653" s="2"/>
      <c r="J1653" s="17"/>
      <c r="K1653" s="17"/>
      <c r="L1653" s="17"/>
    </row>
    <row r="1654" spans="1:12">
      <c r="A1654" s="45"/>
      <c r="B1654" s="43"/>
      <c r="C1654" s="14"/>
      <c r="D1654" s="20"/>
      <c r="F1654" s="20"/>
      <c r="H1654" s="25"/>
      <c r="I1654" s="2"/>
      <c r="J1654" s="17"/>
      <c r="K1654" s="17"/>
      <c r="L1654" s="17"/>
    </row>
    <row r="1655" spans="1:12">
      <c r="A1655" s="45"/>
      <c r="B1655" s="46"/>
      <c r="C1655" s="14" t="s">
        <v>770</v>
      </c>
      <c r="D1655" s="20"/>
      <c r="F1655" s="20"/>
      <c r="H1655" s="20"/>
      <c r="I1655" s="2"/>
      <c r="J1655" s="17"/>
      <c r="K1655" s="17"/>
      <c r="L1655" s="17"/>
    </row>
    <row r="1656" spans="1:12">
      <c r="A1656" s="45"/>
      <c r="B1656" s="43">
        <v>1</v>
      </c>
      <c r="C1656" s="19" t="s">
        <v>638</v>
      </c>
      <c r="D1656" s="20">
        <v>0</v>
      </c>
      <c r="E1656" s="21">
        <v>1</v>
      </c>
      <c r="F1656" s="20">
        <f>D1656*E1656</f>
        <v>0</v>
      </c>
      <c r="G1656" s="21">
        <v>140000</v>
      </c>
      <c r="H1656" s="20">
        <f>F1656*G1656</f>
        <v>0</v>
      </c>
      <c r="I1656" s="2"/>
      <c r="J1656" s="17"/>
      <c r="K1656" s="17"/>
      <c r="L1656" s="17"/>
    </row>
    <row r="1657" spans="1:12">
      <c r="A1657" s="45"/>
      <c r="B1657" s="43">
        <v>2</v>
      </c>
      <c r="C1657" s="19" t="s">
        <v>76</v>
      </c>
      <c r="D1657" s="20">
        <v>0</v>
      </c>
      <c r="E1657" s="21">
        <v>1</v>
      </c>
      <c r="F1657" s="20">
        <f t="shared" ref="F1657:F1660" si="186">D1657*E1657</f>
        <v>0</v>
      </c>
      <c r="G1657" s="21">
        <v>30770</v>
      </c>
      <c r="H1657" s="20">
        <f t="shared" ref="H1657:H1660" si="187">F1657*G1657</f>
        <v>0</v>
      </c>
      <c r="I1657" s="2"/>
      <c r="J1657" s="17"/>
      <c r="K1657" s="17"/>
      <c r="L1657" s="17"/>
    </row>
    <row r="1658" spans="1:12">
      <c r="A1658" s="45"/>
      <c r="B1658" s="43">
        <v>3</v>
      </c>
      <c r="C1658" s="19" t="s">
        <v>364</v>
      </c>
      <c r="D1658" s="20">
        <v>0</v>
      </c>
      <c r="E1658" s="21">
        <v>1</v>
      </c>
      <c r="F1658" s="20">
        <f t="shared" si="186"/>
        <v>0</v>
      </c>
      <c r="G1658" s="21">
        <v>30770</v>
      </c>
      <c r="H1658" s="20">
        <f t="shared" si="187"/>
        <v>0</v>
      </c>
      <c r="I1658" s="2"/>
      <c r="J1658" s="17"/>
      <c r="K1658" s="17"/>
      <c r="L1658" s="17"/>
    </row>
    <row r="1659" spans="1:12">
      <c r="A1659" s="45"/>
      <c r="B1659" s="43">
        <v>4</v>
      </c>
      <c r="C1659" s="19" t="s">
        <v>614</v>
      </c>
      <c r="D1659" s="20">
        <v>0</v>
      </c>
      <c r="E1659" s="21">
        <v>1</v>
      </c>
      <c r="F1659" s="20">
        <f t="shared" si="186"/>
        <v>0</v>
      </c>
      <c r="G1659" s="21">
        <v>30770</v>
      </c>
      <c r="H1659" s="20">
        <f t="shared" si="187"/>
        <v>0</v>
      </c>
      <c r="I1659" s="2"/>
      <c r="J1659" s="17"/>
      <c r="K1659" s="17"/>
      <c r="L1659" s="17"/>
    </row>
    <row r="1660" spans="1:12">
      <c r="A1660" s="45"/>
      <c r="B1660" s="43">
        <v>5</v>
      </c>
      <c r="C1660" s="19" t="s">
        <v>771</v>
      </c>
      <c r="D1660" s="20">
        <v>0</v>
      </c>
      <c r="E1660" s="21">
        <v>1</v>
      </c>
      <c r="F1660" s="20">
        <f t="shared" si="186"/>
        <v>0</v>
      </c>
      <c r="G1660" s="21">
        <v>1200000</v>
      </c>
      <c r="H1660" s="20">
        <f t="shared" si="187"/>
        <v>0</v>
      </c>
      <c r="I1660" s="2"/>
      <c r="J1660" s="17"/>
      <c r="K1660" s="17"/>
      <c r="L1660" s="17"/>
    </row>
    <row r="1661" spans="1:12">
      <c r="A1661" s="45"/>
      <c r="B1661" s="43">
        <v>6</v>
      </c>
      <c r="C1661" s="19"/>
      <c r="D1661" s="20">
        <v>0</v>
      </c>
      <c r="E1661" s="21">
        <v>1</v>
      </c>
      <c r="F1661" s="20">
        <f>D1661*E1661</f>
        <v>0</v>
      </c>
      <c r="G1661" s="21">
        <v>102</v>
      </c>
      <c r="H1661" s="20">
        <f>F1661*G1661</f>
        <v>0</v>
      </c>
      <c r="I1661" s="2"/>
      <c r="J1661" s="17"/>
      <c r="K1661" s="17"/>
      <c r="L1661" s="17"/>
    </row>
    <row r="1662" spans="1:12">
      <c r="A1662" s="45"/>
      <c r="B1662" s="43"/>
      <c r="C1662" s="14" t="s">
        <v>772</v>
      </c>
      <c r="D1662" s="20"/>
      <c r="F1662" s="20"/>
      <c r="H1662" s="25">
        <f>SUM(H1656:H1661)</f>
        <v>0</v>
      </c>
      <c r="I1662" s="2"/>
      <c r="J1662" s="17"/>
      <c r="K1662" s="17"/>
      <c r="L1662" s="17"/>
    </row>
    <row r="1663" spans="1:12">
      <c r="A1663" s="45"/>
      <c r="B1663" s="43"/>
      <c r="C1663" s="14"/>
      <c r="D1663" s="20"/>
      <c r="F1663" s="20"/>
      <c r="H1663" s="25"/>
      <c r="I1663" s="2"/>
      <c r="J1663" s="17"/>
      <c r="K1663" s="17"/>
      <c r="L1663" s="17"/>
    </row>
    <row r="1664" spans="1:12">
      <c r="A1664" s="45"/>
      <c r="B1664" s="46"/>
      <c r="C1664" s="14" t="s">
        <v>773</v>
      </c>
      <c r="D1664" s="20"/>
      <c r="F1664" s="20"/>
      <c r="H1664" s="25">
        <f>H1591+H1599+H1607+H1616+H1634+H1642+H1653+H1662</f>
        <v>0</v>
      </c>
      <c r="I1664" s="2"/>
      <c r="J1664" s="17"/>
      <c r="K1664" s="17"/>
      <c r="L1664" s="17"/>
    </row>
    <row r="1665" spans="1:12">
      <c r="C1665" s="19"/>
      <c r="D1665" s="20"/>
      <c r="F1665" s="20"/>
      <c r="H1665" s="20"/>
      <c r="I1665" s="2"/>
      <c r="J1665" s="17"/>
      <c r="K1665" s="17"/>
      <c r="L1665" s="17"/>
    </row>
    <row r="1666" spans="1:12" ht="39">
      <c r="A1666" s="50" t="s">
        <v>663</v>
      </c>
      <c r="B1666" s="48" t="s">
        <v>774</v>
      </c>
      <c r="C1666" s="14" t="s">
        <v>775</v>
      </c>
      <c r="D1666" s="20"/>
      <c r="F1666" s="20"/>
      <c r="H1666" s="20"/>
      <c r="I1666" s="2"/>
      <c r="J1666" s="17"/>
      <c r="K1666" s="17"/>
      <c r="L1666" s="17"/>
    </row>
    <row r="1667" spans="1:12">
      <c r="A1667" s="50"/>
      <c r="B1667" s="49">
        <v>1</v>
      </c>
      <c r="C1667" s="19"/>
      <c r="D1667" s="20">
        <v>0</v>
      </c>
      <c r="E1667" s="21">
        <v>1</v>
      </c>
      <c r="F1667" s="20">
        <f>D1667*E1667</f>
        <v>0</v>
      </c>
      <c r="G1667" s="21">
        <v>101</v>
      </c>
      <c r="H1667" s="20">
        <f>F1667*G1667</f>
        <v>0</v>
      </c>
      <c r="I1667" s="2"/>
      <c r="J1667" s="17"/>
      <c r="K1667" s="17"/>
      <c r="L1667" s="17"/>
    </row>
    <row r="1668" spans="1:12">
      <c r="A1668" s="50"/>
      <c r="B1668" s="49">
        <v>2</v>
      </c>
      <c r="C1668" s="19"/>
      <c r="D1668" s="20">
        <v>0</v>
      </c>
      <c r="E1668" s="21">
        <v>1</v>
      </c>
      <c r="F1668" s="20">
        <f t="shared" ref="F1668:F1670" si="188">D1668*E1668</f>
        <v>0</v>
      </c>
      <c r="G1668" s="21">
        <v>102</v>
      </c>
      <c r="H1668" s="20">
        <f t="shared" ref="H1668:H1670" si="189">F1668*G1668</f>
        <v>0</v>
      </c>
      <c r="I1668" s="2"/>
      <c r="J1668" s="17"/>
      <c r="K1668" s="17"/>
      <c r="L1668" s="17"/>
    </row>
    <row r="1669" spans="1:12">
      <c r="A1669" s="50"/>
      <c r="B1669" s="49">
        <v>3</v>
      </c>
      <c r="C1669" s="19"/>
      <c r="D1669" s="20">
        <v>0</v>
      </c>
      <c r="E1669" s="21">
        <v>1</v>
      </c>
      <c r="F1669" s="20">
        <f t="shared" si="188"/>
        <v>0</v>
      </c>
      <c r="G1669" s="21">
        <v>103</v>
      </c>
      <c r="H1669" s="20">
        <f t="shared" si="189"/>
        <v>0</v>
      </c>
      <c r="I1669" s="2"/>
      <c r="J1669" s="17"/>
      <c r="K1669" s="17"/>
      <c r="L1669" s="17"/>
    </row>
    <row r="1670" spans="1:12">
      <c r="A1670" s="50"/>
      <c r="B1670" s="49">
        <v>4</v>
      </c>
      <c r="C1670" s="19"/>
      <c r="D1670" s="20">
        <v>0</v>
      </c>
      <c r="E1670" s="21">
        <v>1</v>
      </c>
      <c r="F1670" s="20">
        <f t="shared" si="188"/>
        <v>0</v>
      </c>
      <c r="G1670" s="21">
        <v>104</v>
      </c>
      <c r="H1670" s="20">
        <f t="shared" si="189"/>
        <v>0</v>
      </c>
      <c r="I1670" s="2"/>
      <c r="J1670" s="17"/>
      <c r="K1670" s="17"/>
      <c r="L1670" s="17"/>
    </row>
    <row r="1671" spans="1:12">
      <c r="A1671" s="50"/>
      <c r="B1671" s="49">
        <v>5</v>
      </c>
      <c r="C1671" s="19"/>
      <c r="D1671" s="20">
        <v>0</v>
      </c>
      <c r="E1671" s="21">
        <v>1</v>
      </c>
      <c r="F1671" s="20">
        <f>D1671*E1671</f>
        <v>0</v>
      </c>
      <c r="G1671" s="21">
        <v>102</v>
      </c>
      <c r="H1671" s="20">
        <f>F1671*G1671</f>
        <v>0</v>
      </c>
      <c r="I1671" s="2"/>
      <c r="J1671" s="17"/>
      <c r="K1671" s="17"/>
      <c r="L1671" s="17"/>
    </row>
    <row r="1672" spans="1:12">
      <c r="A1672" s="50"/>
      <c r="B1672" s="49"/>
      <c r="C1672" s="14" t="s">
        <v>776</v>
      </c>
      <c r="D1672" s="20"/>
      <c r="F1672" s="20"/>
      <c r="H1672" s="25">
        <f>SUM(H1667:H1671)</f>
        <v>0</v>
      </c>
      <c r="I1672" s="2"/>
      <c r="J1672" s="17"/>
      <c r="K1672" s="17"/>
      <c r="L1672" s="17"/>
    </row>
    <row r="1673" spans="1:12">
      <c r="A1673" s="50"/>
      <c r="B1673" s="48"/>
      <c r="C1673" s="14"/>
      <c r="D1673" s="20"/>
      <c r="F1673" s="20"/>
      <c r="H1673" s="20"/>
      <c r="I1673" s="2"/>
      <c r="J1673" s="17"/>
      <c r="K1673" s="17"/>
      <c r="L1673" s="17"/>
    </row>
    <row r="1674" spans="1:12">
      <c r="A1674" s="50"/>
      <c r="B1674" s="51"/>
      <c r="C1674" s="14" t="s">
        <v>777</v>
      </c>
      <c r="D1674" s="20"/>
      <c r="F1674" s="20"/>
      <c r="H1674" s="20"/>
      <c r="I1674" s="2"/>
      <c r="J1674" s="17"/>
      <c r="K1674" s="17"/>
      <c r="L1674" s="17"/>
    </row>
    <row r="1675" spans="1:12">
      <c r="A1675" s="50"/>
      <c r="B1675" s="49">
        <v>1</v>
      </c>
      <c r="C1675" s="19"/>
      <c r="D1675" s="20">
        <v>0</v>
      </c>
      <c r="E1675" s="21">
        <v>1</v>
      </c>
      <c r="F1675" s="20">
        <f>D1675*E1675</f>
        <v>0</v>
      </c>
      <c r="G1675" s="21">
        <v>101</v>
      </c>
      <c r="H1675" s="20">
        <f>F1675*G1675</f>
        <v>0</v>
      </c>
      <c r="I1675" s="2"/>
      <c r="J1675" s="17"/>
      <c r="K1675" s="17"/>
      <c r="L1675" s="17"/>
    </row>
    <row r="1676" spans="1:12">
      <c r="A1676" s="50"/>
      <c r="B1676" s="49">
        <v>2</v>
      </c>
      <c r="C1676" s="19"/>
      <c r="D1676" s="20">
        <v>0</v>
      </c>
      <c r="E1676" s="21">
        <v>1</v>
      </c>
      <c r="F1676" s="20">
        <f t="shared" ref="F1676:F1678" si="190">D1676*E1676</f>
        <v>0</v>
      </c>
      <c r="G1676" s="21">
        <v>102</v>
      </c>
      <c r="H1676" s="20">
        <f t="shared" ref="H1676:H1678" si="191">F1676*G1676</f>
        <v>0</v>
      </c>
      <c r="I1676" s="2"/>
      <c r="J1676" s="17"/>
      <c r="K1676" s="17"/>
      <c r="L1676" s="17"/>
    </row>
    <row r="1677" spans="1:12">
      <c r="A1677" s="50"/>
      <c r="B1677" s="49">
        <v>3</v>
      </c>
      <c r="C1677" s="19"/>
      <c r="D1677" s="20">
        <v>0</v>
      </c>
      <c r="E1677" s="21">
        <v>1</v>
      </c>
      <c r="F1677" s="20">
        <f t="shared" si="190"/>
        <v>0</v>
      </c>
      <c r="G1677" s="21">
        <v>103</v>
      </c>
      <c r="H1677" s="20">
        <f t="shared" si="191"/>
        <v>0</v>
      </c>
      <c r="I1677" s="2"/>
      <c r="J1677" s="17"/>
      <c r="K1677" s="17"/>
      <c r="L1677" s="17"/>
    </row>
    <row r="1678" spans="1:12">
      <c r="A1678" s="50"/>
      <c r="B1678" s="49">
        <v>4</v>
      </c>
      <c r="C1678" s="19"/>
      <c r="D1678" s="20">
        <v>0</v>
      </c>
      <c r="E1678" s="21">
        <v>1</v>
      </c>
      <c r="F1678" s="20">
        <f t="shared" si="190"/>
        <v>0</v>
      </c>
      <c r="G1678" s="21">
        <v>104</v>
      </c>
      <c r="H1678" s="20">
        <f t="shared" si="191"/>
        <v>0</v>
      </c>
      <c r="I1678" s="2"/>
      <c r="J1678" s="17"/>
      <c r="K1678" s="17"/>
      <c r="L1678" s="17"/>
    </row>
    <row r="1679" spans="1:12">
      <c r="A1679" s="50"/>
      <c r="B1679" s="49">
        <v>5</v>
      </c>
      <c r="C1679" s="19"/>
      <c r="D1679" s="20">
        <v>0</v>
      </c>
      <c r="E1679" s="21">
        <v>1</v>
      </c>
      <c r="F1679" s="20">
        <f>D1679*E1679</f>
        <v>0</v>
      </c>
      <c r="G1679" s="21">
        <v>102</v>
      </c>
      <c r="H1679" s="20">
        <f>F1679*G1679</f>
        <v>0</v>
      </c>
      <c r="I1679" s="2"/>
      <c r="J1679" s="17"/>
      <c r="K1679" s="17"/>
      <c r="L1679" s="17"/>
    </row>
    <row r="1680" spans="1:12">
      <c r="A1680" s="50"/>
      <c r="B1680" s="49"/>
      <c r="C1680" s="14" t="s">
        <v>778</v>
      </c>
      <c r="D1680" s="20"/>
      <c r="F1680" s="20"/>
      <c r="H1680" s="25">
        <f>SUM(H1675:H1679)</f>
        <v>0</v>
      </c>
      <c r="I1680" s="2"/>
      <c r="J1680" s="17"/>
      <c r="K1680" s="17"/>
      <c r="L1680" s="17"/>
    </row>
    <row r="1681" spans="1:12">
      <c r="A1681" s="50"/>
      <c r="B1681" s="51"/>
      <c r="C1681" s="14"/>
      <c r="D1681" s="20"/>
      <c r="F1681" s="20"/>
      <c r="H1681" s="20"/>
      <c r="I1681" s="2"/>
      <c r="J1681" s="17"/>
      <c r="K1681" s="17"/>
      <c r="L1681" s="17"/>
    </row>
    <row r="1682" spans="1:12">
      <c r="A1682" s="50"/>
      <c r="B1682" s="51"/>
      <c r="C1682" s="14" t="s">
        <v>779</v>
      </c>
      <c r="D1682" s="20"/>
      <c r="F1682" s="20"/>
      <c r="H1682" s="20"/>
      <c r="I1682" s="2"/>
      <c r="J1682" s="17"/>
      <c r="K1682" s="17"/>
      <c r="L1682" s="17"/>
    </row>
    <row r="1683" spans="1:12">
      <c r="A1683" s="50"/>
      <c r="B1683" s="49">
        <v>1</v>
      </c>
      <c r="C1683" s="19"/>
      <c r="D1683" s="20">
        <v>0</v>
      </c>
      <c r="E1683" s="21">
        <v>1</v>
      </c>
      <c r="F1683" s="20">
        <f>D1683*E1683</f>
        <v>0</v>
      </c>
      <c r="G1683" s="21">
        <v>101</v>
      </c>
      <c r="H1683" s="20">
        <f>F1683*G1683</f>
        <v>0</v>
      </c>
      <c r="I1683" s="2"/>
      <c r="J1683" s="17"/>
      <c r="K1683" s="17"/>
      <c r="L1683" s="17"/>
    </row>
    <row r="1684" spans="1:12">
      <c r="A1684" s="50"/>
      <c r="B1684" s="49">
        <v>2</v>
      </c>
      <c r="C1684" s="19"/>
      <c r="D1684" s="20">
        <v>0</v>
      </c>
      <c r="E1684" s="21">
        <v>1</v>
      </c>
      <c r="F1684" s="20">
        <f t="shared" ref="F1684:F1686" si="192">D1684*E1684</f>
        <v>0</v>
      </c>
      <c r="G1684" s="21">
        <v>102</v>
      </c>
      <c r="H1684" s="20">
        <f t="shared" ref="H1684:H1686" si="193">F1684*G1684</f>
        <v>0</v>
      </c>
      <c r="I1684" s="2"/>
      <c r="J1684" s="17"/>
      <c r="K1684" s="17"/>
      <c r="L1684" s="17"/>
    </row>
    <row r="1685" spans="1:12">
      <c r="A1685" s="50"/>
      <c r="B1685" s="49">
        <v>3</v>
      </c>
      <c r="C1685" s="19"/>
      <c r="D1685" s="20">
        <v>0</v>
      </c>
      <c r="E1685" s="21">
        <v>1</v>
      </c>
      <c r="F1685" s="20">
        <f t="shared" si="192"/>
        <v>0</v>
      </c>
      <c r="G1685" s="21">
        <v>103</v>
      </c>
      <c r="H1685" s="20">
        <f t="shared" si="193"/>
        <v>0</v>
      </c>
      <c r="I1685" s="2"/>
      <c r="J1685" s="17"/>
      <c r="K1685" s="17"/>
      <c r="L1685" s="17"/>
    </row>
    <row r="1686" spans="1:12">
      <c r="A1686" s="50"/>
      <c r="B1686" s="49">
        <v>4</v>
      </c>
      <c r="C1686" s="19"/>
      <c r="D1686" s="20">
        <v>0</v>
      </c>
      <c r="E1686" s="21">
        <v>1</v>
      </c>
      <c r="F1686" s="20">
        <f t="shared" si="192"/>
        <v>0</v>
      </c>
      <c r="G1686" s="21">
        <v>104</v>
      </c>
      <c r="H1686" s="20">
        <f t="shared" si="193"/>
        <v>0</v>
      </c>
      <c r="I1686" s="2"/>
      <c r="J1686" s="17"/>
      <c r="K1686" s="17"/>
      <c r="L1686" s="17"/>
    </row>
    <row r="1687" spans="1:12">
      <c r="A1687" s="50"/>
      <c r="B1687" s="49">
        <v>5</v>
      </c>
      <c r="C1687" s="19"/>
      <c r="D1687" s="20">
        <v>0</v>
      </c>
      <c r="E1687" s="21">
        <v>1</v>
      </c>
      <c r="F1687" s="20">
        <f>D1687*E1687</f>
        <v>0</v>
      </c>
      <c r="G1687" s="21">
        <v>102</v>
      </c>
      <c r="H1687" s="20">
        <f>F1687*G1687</f>
        <v>0</v>
      </c>
      <c r="I1687" s="2"/>
      <c r="J1687" s="17"/>
      <c r="K1687" s="17"/>
      <c r="L1687" s="17"/>
    </row>
    <row r="1688" spans="1:12">
      <c r="A1688" s="50"/>
      <c r="B1688" s="49"/>
      <c r="C1688" s="14" t="s">
        <v>780</v>
      </c>
      <c r="D1688" s="20"/>
      <c r="F1688" s="20"/>
      <c r="H1688" s="25">
        <f>SUM(H1683:H1687)</f>
        <v>0</v>
      </c>
      <c r="I1688" s="2"/>
      <c r="J1688" s="17"/>
      <c r="K1688" s="17"/>
      <c r="L1688" s="17"/>
    </row>
    <row r="1689" spans="1:12">
      <c r="A1689" s="50"/>
      <c r="B1689" s="51"/>
      <c r="C1689" s="14"/>
      <c r="D1689" s="20"/>
      <c r="F1689" s="20"/>
      <c r="H1689" s="20"/>
      <c r="I1689" s="2"/>
      <c r="J1689" s="17"/>
      <c r="K1689" s="17"/>
      <c r="L1689" s="17"/>
    </row>
    <row r="1690" spans="1:12">
      <c r="A1690" s="50"/>
      <c r="B1690" s="51"/>
      <c r="C1690" s="14" t="s">
        <v>781</v>
      </c>
      <c r="D1690" s="20"/>
      <c r="F1690" s="20"/>
      <c r="H1690" s="20"/>
      <c r="I1690" s="2"/>
      <c r="J1690" s="17"/>
      <c r="K1690" s="17"/>
      <c r="L1690" s="17"/>
    </row>
    <row r="1691" spans="1:12">
      <c r="A1691" s="50"/>
      <c r="B1691" s="49">
        <v>1</v>
      </c>
      <c r="C1691" s="19"/>
      <c r="D1691" s="20">
        <v>0</v>
      </c>
      <c r="E1691" s="21">
        <v>1</v>
      </c>
      <c r="F1691" s="20">
        <f>D1691*E1691</f>
        <v>0</v>
      </c>
      <c r="G1691" s="21">
        <v>101</v>
      </c>
      <c r="H1691" s="20">
        <f>F1691*G1691</f>
        <v>0</v>
      </c>
      <c r="I1691" s="2"/>
      <c r="J1691" s="17"/>
      <c r="K1691" s="17"/>
      <c r="L1691" s="17"/>
    </row>
    <row r="1692" spans="1:12">
      <c r="A1692" s="50"/>
      <c r="B1692" s="49">
        <v>2</v>
      </c>
      <c r="C1692" s="19"/>
      <c r="D1692" s="20">
        <v>0</v>
      </c>
      <c r="E1692" s="21">
        <v>1</v>
      </c>
      <c r="F1692" s="20">
        <f t="shared" ref="F1692:F1695" si="194">D1692*E1692</f>
        <v>0</v>
      </c>
      <c r="G1692" s="21">
        <v>102</v>
      </c>
      <c r="H1692" s="20">
        <f t="shared" ref="H1692:H1695" si="195">F1692*G1692</f>
        <v>0</v>
      </c>
      <c r="I1692" s="2"/>
      <c r="J1692" s="17"/>
      <c r="K1692" s="17"/>
      <c r="L1692" s="17"/>
    </row>
    <row r="1693" spans="1:12">
      <c r="A1693" s="50"/>
      <c r="B1693" s="49">
        <v>3</v>
      </c>
      <c r="C1693" s="19"/>
      <c r="D1693" s="20">
        <v>0</v>
      </c>
      <c r="E1693" s="21">
        <v>1</v>
      </c>
      <c r="F1693" s="20">
        <f t="shared" si="194"/>
        <v>0</v>
      </c>
      <c r="G1693" s="21">
        <v>103</v>
      </c>
      <c r="H1693" s="20">
        <f t="shared" si="195"/>
        <v>0</v>
      </c>
      <c r="I1693" s="2"/>
      <c r="J1693" s="17"/>
      <c r="K1693" s="17"/>
      <c r="L1693" s="17"/>
    </row>
    <row r="1694" spans="1:12">
      <c r="A1694" s="50"/>
      <c r="B1694" s="49">
        <v>4</v>
      </c>
      <c r="C1694" s="19"/>
      <c r="D1694" s="20">
        <v>0</v>
      </c>
      <c r="E1694" s="21">
        <v>1</v>
      </c>
      <c r="F1694" s="20">
        <f t="shared" si="194"/>
        <v>0</v>
      </c>
      <c r="G1694" s="21">
        <v>104</v>
      </c>
      <c r="H1694" s="20">
        <f t="shared" si="195"/>
        <v>0</v>
      </c>
      <c r="I1694" s="2"/>
      <c r="J1694" s="17"/>
      <c r="K1694" s="17"/>
      <c r="L1694" s="17"/>
    </row>
    <row r="1695" spans="1:12">
      <c r="A1695" s="50"/>
      <c r="B1695" s="49">
        <v>5</v>
      </c>
      <c r="C1695" s="19"/>
      <c r="D1695" s="20">
        <v>0</v>
      </c>
      <c r="E1695" s="21">
        <v>1</v>
      </c>
      <c r="F1695" s="20">
        <f t="shared" si="194"/>
        <v>0</v>
      </c>
      <c r="G1695" s="21">
        <v>105</v>
      </c>
      <c r="H1695" s="20">
        <f t="shared" si="195"/>
        <v>0</v>
      </c>
      <c r="I1695" s="2"/>
      <c r="J1695" s="17"/>
      <c r="K1695" s="17"/>
      <c r="L1695" s="17"/>
    </row>
    <row r="1696" spans="1:12">
      <c r="A1696" s="50"/>
      <c r="B1696" s="49"/>
      <c r="C1696" s="19"/>
      <c r="D1696" s="20">
        <v>0</v>
      </c>
      <c r="E1696" s="21">
        <v>1</v>
      </c>
      <c r="F1696" s="20">
        <f>D1696*E1696</f>
        <v>0</v>
      </c>
      <c r="G1696" s="21">
        <v>102</v>
      </c>
      <c r="H1696" s="20">
        <f>F1696*G1696</f>
        <v>0</v>
      </c>
      <c r="I1696" s="2"/>
      <c r="J1696" s="17"/>
      <c r="K1696" s="17"/>
      <c r="L1696" s="17"/>
    </row>
    <row r="1697" spans="1:12">
      <c r="A1697" s="50"/>
      <c r="B1697" s="51"/>
      <c r="C1697" s="14" t="s">
        <v>782</v>
      </c>
      <c r="D1697" s="20"/>
      <c r="F1697" s="20"/>
      <c r="H1697" s="25">
        <f>SUM(H1691:H1696)</f>
        <v>0</v>
      </c>
      <c r="I1697" s="2"/>
      <c r="J1697" s="17"/>
      <c r="K1697" s="17"/>
      <c r="L1697" s="17"/>
    </row>
    <row r="1698" spans="1:12">
      <c r="A1698" s="50"/>
      <c r="B1698" s="51"/>
      <c r="C1698" s="14"/>
      <c r="D1698" s="20"/>
      <c r="F1698" s="20"/>
      <c r="H1698" s="20"/>
      <c r="I1698" s="2"/>
      <c r="J1698" s="17"/>
      <c r="K1698" s="17"/>
      <c r="L1698" s="17"/>
    </row>
    <row r="1699" spans="1:12">
      <c r="A1699" s="50"/>
      <c r="B1699" s="49">
        <v>1</v>
      </c>
      <c r="C1699" s="14" t="s">
        <v>783</v>
      </c>
      <c r="D1699" s="20"/>
      <c r="F1699" s="20"/>
      <c r="H1699" s="20"/>
      <c r="I1699" s="2"/>
      <c r="J1699" s="17"/>
      <c r="K1699" s="17"/>
      <c r="L1699" s="17"/>
    </row>
    <row r="1700" spans="1:12">
      <c r="A1700" s="50"/>
      <c r="B1700" s="49">
        <v>2</v>
      </c>
      <c r="C1700" s="19" t="s">
        <v>496</v>
      </c>
      <c r="D1700" s="20">
        <v>0</v>
      </c>
      <c r="E1700" s="21">
        <v>1</v>
      </c>
      <c r="F1700" s="20">
        <f>D1700*E1700</f>
        <v>0</v>
      </c>
      <c r="G1700" s="21">
        <v>5384.6153846153848</v>
      </c>
      <c r="H1700" s="20">
        <f>F1700*G1700</f>
        <v>0</v>
      </c>
      <c r="I1700" s="2"/>
      <c r="J1700" s="17"/>
      <c r="K1700" s="17"/>
      <c r="L1700" s="17"/>
    </row>
    <row r="1701" spans="1:12">
      <c r="A1701" s="50"/>
      <c r="B1701" s="49">
        <v>3</v>
      </c>
      <c r="C1701" s="19" t="s">
        <v>497</v>
      </c>
      <c r="D1701" s="20">
        <v>0</v>
      </c>
      <c r="E1701" s="21">
        <v>1</v>
      </c>
      <c r="F1701" s="20">
        <f t="shared" ref="F1701:F1713" si="196">D1701*E1701</f>
        <v>0</v>
      </c>
      <c r="G1701" s="69">
        <v>8307.6923076923067</v>
      </c>
      <c r="H1701" s="20">
        <f t="shared" ref="H1701:H1713" si="197">F1701*G1701</f>
        <v>0</v>
      </c>
      <c r="I1701" s="2"/>
      <c r="J1701" s="17"/>
      <c r="K1701" s="17"/>
      <c r="L1701" s="17"/>
    </row>
    <row r="1702" spans="1:12">
      <c r="A1702" s="50"/>
      <c r="B1702" s="49">
        <v>4</v>
      </c>
      <c r="C1702" s="19" t="s">
        <v>606</v>
      </c>
      <c r="D1702" s="20">
        <v>0</v>
      </c>
      <c r="E1702" s="21">
        <v>1</v>
      </c>
      <c r="F1702" s="20">
        <f t="shared" si="196"/>
        <v>0</v>
      </c>
      <c r="G1702" s="21">
        <v>60.769230769230766</v>
      </c>
      <c r="H1702" s="20">
        <f t="shared" si="197"/>
        <v>0</v>
      </c>
      <c r="I1702" s="2"/>
      <c r="J1702" s="17"/>
      <c r="K1702" s="17"/>
      <c r="L1702" s="17"/>
    </row>
    <row r="1703" spans="1:12">
      <c r="A1703" s="50"/>
      <c r="B1703" s="49">
        <v>5</v>
      </c>
      <c r="C1703" s="19" t="s">
        <v>503</v>
      </c>
      <c r="D1703" s="20">
        <v>0</v>
      </c>
      <c r="E1703" s="21">
        <v>1</v>
      </c>
      <c r="F1703" s="20">
        <f t="shared" si="196"/>
        <v>0</v>
      </c>
      <c r="G1703" s="21">
        <v>40</v>
      </c>
      <c r="H1703" s="20">
        <f t="shared" si="197"/>
        <v>0</v>
      </c>
      <c r="I1703" s="2"/>
      <c r="J1703" s="17"/>
      <c r="K1703" s="17"/>
      <c r="L1703" s="17"/>
    </row>
    <row r="1704" spans="1:12">
      <c r="A1704" s="50"/>
      <c r="B1704" s="49">
        <v>6</v>
      </c>
      <c r="C1704" s="19" t="s">
        <v>504</v>
      </c>
      <c r="D1704" s="20">
        <v>0</v>
      </c>
      <c r="E1704" s="21">
        <v>0.42599999999999999</v>
      </c>
      <c r="F1704" s="20">
        <f t="shared" si="196"/>
        <v>0</v>
      </c>
      <c r="G1704" s="21">
        <v>49000</v>
      </c>
      <c r="H1704" s="20">
        <f t="shared" si="197"/>
        <v>0</v>
      </c>
      <c r="I1704" s="2"/>
      <c r="J1704" s="17"/>
      <c r="K1704" s="17"/>
      <c r="L1704" s="17"/>
    </row>
    <row r="1705" spans="1:12">
      <c r="A1705" s="50"/>
      <c r="B1705" s="49">
        <v>7</v>
      </c>
      <c r="C1705" s="19" t="s">
        <v>507</v>
      </c>
      <c r="D1705" s="20">
        <v>0</v>
      </c>
      <c r="E1705" s="21">
        <v>1</v>
      </c>
      <c r="F1705" s="20">
        <f t="shared" si="196"/>
        <v>0</v>
      </c>
      <c r="G1705" s="21">
        <v>230.76923076923077</v>
      </c>
      <c r="H1705" s="20">
        <f t="shared" si="197"/>
        <v>0</v>
      </c>
      <c r="I1705" s="2"/>
      <c r="J1705" s="17"/>
      <c r="K1705" s="17"/>
      <c r="L1705" s="17"/>
    </row>
    <row r="1706" spans="1:12">
      <c r="A1706" s="50"/>
      <c r="B1706" s="49">
        <v>8</v>
      </c>
      <c r="C1706" s="19" t="s">
        <v>508</v>
      </c>
      <c r="D1706" s="20">
        <v>0</v>
      </c>
      <c r="E1706" s="21">
        <v>0.14399999999999999</v>
      </c>
      <c r="F1706" s="20">
        <f t="shared" si="196"/>
        <v>0</v>
      </c>
      <c r="G1706" s="21">
        <v>9000</v>
      </c>
      <c r="H1706" s="20">
        <f t="shared" si="197"/>
        <v>0</v>
      </c>
      <c r="I1706" s="2"/>
      <c r="J1706" s="17"/>
      <c r="K1706" s="17"/>
      <c r="L1706" s="17"/>
    </row>
    <row r="1707" spans="1:12">
      <c r="A1707" s="50"/>
      <c r="B1707" s="49">
        <v>9</v>
      </c>
      <c r="C1707" s="19" t="s">
        <v>352</v>
      </c>
      <c r="D1707" s="20">
        <v>0</v>
      </c>
      <c r="E1707" s="21">
        <v>0.58199999999999996</v>
      </c>
      <c r="F1707" s="20">
        <f t="shared" si="196"/>
        <v>0</v>
      </c>
      <c r="G1707" s="21">
        <v>177.69230769230768</v>
      </c>
      <c r="H1707" s="20">
        <f t="shared" si="197"/>
        <v>0</v>
      </c>
      <c r="I1707" s="2"/>
      <c r="J1707" s="17"/>
      <c r="K1707" s="17"/>
      <c r="L1707" s="17"/>
    </row>
    <row r="1708" spans="1:12">
      <c r="A1708" s="50"/>
      <c r="B1708" s="49">
        <v>10</v>
      </c>
      <c r="C1708" s="19" t="s">
        <v>45</v>
      </c>
      <c r="D1708" s="20">
        <v>0</v>
      </c>
      <c r="E1708" s="21">
        <v>0.58199999999999996</v>
      </c>
      <c r="F1708" s="20">
        <f t="shared" si="196"/>
        <v>0</v>
      </c>
      <c r="G1708" s="21">
        <v>77.692307692307693</v>
      </c>
      <c r="H1708" s="20">
        <f t="shared" si="197"/>
        <v>0</v>
      </c>
      <c r="I1708" s="2"/>
      <c r="J1708" s="17"/>
      <c r="K1708" s="17"/>
      <c r="L1708" s="17"/>
    </row>
    <row r="1709" spans="1:12">
      <c r="A1709" s="50"/>
      <c r="B1709" s="49">
        <v>11</v>
      </c>
      <c r="C1709" s="19" t="s">
        <v>351</v>
      </c>
      <c r="D1709" s="20">
        <v>0</v>
      </c>
      <c r="E1709" s="21">
        <v>0.58199999999999996</v>
      </c>
      <c r="F1709" s="20">
        <f t="shared" si="196"/>
        <v>0</v>
      </c>
      <c r="G1709" s="21">
        <v>264.61538461538458</v>
      </c>
      <c r="H1709" s="20">
        <f t="shared" si="197"/>
        <v>0</v>
      </c>
      <c r="I1709" s="2"/>
      <c r="J1709" s="17"/>
      <c r="K1709" s="17"/>
      <c r="L1709" s="17"/>
    </row>
    <row r="1710" spans="1:12">
      <c r="A1710" s="50"/>
      <c r="B1710" s="49">
        <v>12</v>
      </c>
      <c r="C1710" s="19"/>
      <c r="D1710" s="20"/>
      <c r="E1710" s="21">
        <v>0.58199999999999996</v>
      </c>
      <c r="F1710" s="20">
        <f t="shared" si="196"/>
        <v>0</v>
      </c>
      <c r="G1710" s="21">
        <v>101</v>
      </c>
      <c r="H1710" s="20">
        <f t="shared" si="197"/>
        <v>0</v>
      </c>
      <c r="I1710" s="2"/>
      <c r="J1710" s="17"/>
      <c r="K1710" s="17"/>
      <c r="L1710" s="17"/>
    </row>
    <row r="1711" spans="1:12">
      <c r="A1711" s="50"/>
      <c r="B1711" s="49">
        <v>13</v>
      </c>
      <c r="C1711" s="19"/>
      <c r="D1711" s="20"/>
      <c r="E1711" s="21">
        <v>0.58199999999999996</v>
      </c>
      <c r="F1711" s="20">
        <f t="shared" si="196"/>
        <v>0</v>
      </c>
      <c r="G1711" s="21">
        <v>344</v>
      </c>
      <c r="H1711" s="20">
        <f t="shared" si="197"/>
        <v>0</v>
      </c>
      <c r="I1711" s="2"/>
      <c r="J1711" s="17"/>
      <c r="K1711" s="17"/>
      <c r="L1711" s="17"/>
    </row>
    <row r="1712" spans="1:12">
      <c r="A1712" s="50"/>
      <c r="B1712" s="49">
        <v>14</v>
      </c>
      <c r="C1712" s="19"/>
      <c r="D1712" s="20">
        <v>0</v>
      </c>
      <c r="E1712" s="21">
        <v>0</v>
      </c>
      <c r="F1712" s="20">
        <f t="shared" si="196"/>
        <v>0</v>
      </c>
      <c r="G1712" s="21">
        <v>110</v>
      </c>
      <c r="H1712" s="20">
        <f t="shared" si="197"/>
        <v>0</v>
      </c>
      <c r="I1712" s="2"/>
      <c r="J1712" s="17"/>
      <c r="K1712" s="17"/>
      <c r="L1712" s="17"/>
    </row>
    <row r="1713" spans="1:12">
      <c r="A1713" s="50"/>
      <c r="B1713" s="49"/>
      <c r="C1713" s="19"/>
      <c r="D1713" s="20">
        <v>0</v>
      </c>
      <c r="E1713" s="21">
        <v>0</v>
      </c>
      <c r="F1713" s="20">
        <f t="shared" si="196"/>
        <v>0</v>
      </c>
      <c r="G1713" s="21">
        <v>111</v>
      </c>
      <c r="H1713" s="20">
        <f t="shared" si="197"/>
        <v>0</v>
      </c>
      <c r="I1713" s="2"/>
      <c r="J1713" s="17"/>
      <c r="K1713" s="17"/>
      <c r="L1713" s="17"/>
    </row>
    <row r="1714" spans="1:12">
      <c r="A1714" s="50"/>
      <c r="B1714" s="51"/>
      <c r="C1714" s="19"/>
      <c r="D1714" s="20">
        <v>0</v>
      </c>
      <c r="E1714" s="21">
        <v>0</v>
      </c>
      <c r="F1714" s="20">
        <f>D1714*E1714</f>
        <v>0</v>
      </c>
      <c r="G1714" s="21">
        <v>102</v>
      </c>
      <c r="H1714" s="20">
        <f>F1714*G1714</f>
        <v>0</v>
      </c>
      <c r="I1714" s="2"/>
      <c r="J1714" s="17"/>
      <c r="K1714" s="17"/>
      <c r="L1714" s="17"/>
    </row>
    <row r="1715" spans="1:12">
      <c r="A1715" s="50"/>
      <c r="B1715" s="51"/>
      <c r="C1715" s="14" t="s">
        <v>784</v>
      </c>
      <c r="D1715" s="20"/>
      <c r="F1715" s="20"/>
      <c r="H1715" s="25">
        <f>SUM(H1700:H1714)</f>
        <v>0</v>
      </c>
      <c r="I1715" s="2"/>
      <c r="J1715" s="17"/>
      <c r="K1715" s="17"/>
      <c r="L1715" s="17"/>
    </row>
    <row r="1716" spans="1:12">
      <c r="A1716" s="50"/>
      <c r="B1716" s="49">
        <v>1</v>
      </c>
      <c r="C1716" s="14"/>
      <c r="D1716" s="20"/>
      <c r="F1716" s="20"/>
      <c r="H1716" s="20"/>
      <c r="I1716" s="2"/>
      <c r="J1716" s="17"/>
      <c r="K1716" s="17"/>
      <c r="L1716" s="17"/>
    </row>
    <row r="1717" spans="1:12">
      <c r="A1717" s="50"/>
      <c r="B1717" s="49">
        <v>2</v>
      </c>
      <c r="C1717" s="14" t="s">
        <v>785</v>
      </c>
      <c r="D1717" s="20"/>
      <c r="F1717" s="20"/>
      <c r="H1717" s="20"/>
      <c r="I1717" s="2"/>
      <c r="J1717" s="17"/>
      <c r="K1717" s="17"/>
      <c r="L1717" s="17"/>
    </row>
    <row r="1718" spans="1:12">
      <c r="A1718" s="50"/>
      <c r="B1718" s="49">
        <v>3</v>
      </c>
      <c r="C1718" s="19" t="s">
        <v>284</v>
      </c>
      <c r="D1718" s="20">
        <v>0</v>
      </c>
      <c r="E1718" s="21">
        <v>1</v>
      </c>
      <c r="F1718" s="20">
        <f>D1718*E1718</f>
        <v>0</v>
      </c>
      <c r="G1718" s="21">
        <v>40000</v>
      </c>
      <c r="H1718" s="20">
        <f>F1718*G1718</f>
        <v>0</v>
      </c>
      <c r="I1718" s="2"/>
      <c r="J1718" s="17"/>
      <c r="K1718" s="17"/>
      <c r="L1718" s="17"/>
    </row>
    <row r="1719" spans="1:12">
      <c r="A1719" s="50"/>
      <c r="B1719" s="49">
        <v>4</v>
      </c>
      <c r="C1719" s="19"/>
      <c r="D1719" s="20">
        <v>0</v>
      </c>
      <c r="E1719" s="21">
        <v>1</v>
      </c>
      <c r="F1719" s="20">
        <f t="shared" ref="F1719:F1721" si="198">D1719*E1719</f>
        <v>0</v>
      </c>
      <c r="G1719" s="21">
        <v>400000</v>
      </c>
      <c r="H1719" s="20">
        <f t="shared" ref="H1719:H1721" si="199">F1719*G1719</f>
        <v>0</v>
      </c>
      <c r="I1719" s="2"/>
      <c r="J1719" s="17"/>
      <c r="K1719" s="17"/>
      <c r="L1719" s="17"/>
    </row>
    <row r="1720" spans="1:12">
      <c r="A1720" s="50"/>
      <c r="B1720" s="49">
        <v>5</v>
      </c>
      <c r="C1720" s="19"/>
      <c r="D1720" s="20">
        <v>0</v>
      </c>
      <c r="E1720" s="21">
        <v>1</v>
      </c>
      <c r="F1720" s="20">
        <f t="shared" si="198"/>
        <v>0</v>
      </c>
      <c r="G1720" s="21">
        <v>103</v>
      </c>
      <c r="H1720" s="20">
        <f t="shared" si="199"/>
        <v>0</v>
      </c>
      <c r="I1720" s="2"/>
      <c r="J1720" s="17"/>
      <c r="K1720" s="17"/>
      <c r="L1720" s="17"/>
    </row>
    <row r="1721" spans="1:12">
      <c r="A1721" s="50"/>
      <c r="B1721" s="49"/>
      <c r="C1721" s="19"/>
      <c r="D1721" s="20">
        <v>0</v>
      </c>
      <c r="E1721" s="21">
        <v>1</v>
      </c>
      <c r="F1721" s="20">
        <f t="shared" si="198"/>
        <v>0</v>
      </c>
      <c r="G1721" s="21">
        <v>104</v>
      </c>
      <c r="H1721" s="20">
        <f t="shared" si="199"/>
        <v>0</v>
      </c>
      <c r="I1721" s="2"/>
      <c r="J1721" s="17"/>
      <c r="K1721" s="17"/>
      <c r="L1721" s="17"/>
    </row>
    <row r="1722" spans="1:12">
      <c r="A1722" s="50"/>
      <c r="B1722" s="51"/>
      <c r="C1722" s="19"/>
      <c r="D1722" s="20">
        <v>0</v>
      </c>
      <c r="E1722" s="21">
        <v>1</v>
      </c>
      <c r="F1722" s="20">
        <f>D1722*E1722</f>
        <v>0</v>
      </c>
      <c r="G1722" s="21">
        <v>102</v>
      </c>
      <c r="H1722" s="20">
        <f>F1722*G1722</f>
        <v>0</v>
      </c>
      <c r="I1722" s="2"/>
      <c r="J1722" s="17"/>
      <c r="K1722" s="17"/>
      <c r="L1722" s="17"/>
    </row>
    <row r="1723" spans="1:12">
      <c r="A1723" s="50"/>
      <c r="B1723" s="52"/>
      <c r="C1723" s="14" t="s">
        <v>786</v>
      </c>
      <c r="D1723" s="20"/>
      <c r="F1723" s="20"/>
      <c r="H1723" s="25">
        <f>SUM(H1718:H1722)</f>
        <v>0</v>
      </c>
      <c r="I1723" s="2"/>
      <c r="J1723" s="17"/>
      <c r="K1723" s="17"/>
      <c r="L1723" s="17"/>
    </row>
    <row r="1724" spans="1:12">
      <c r="A1724" s="50"/>
      <c r="B1724" s="49">
        <v>1</v>
      </c>
      <c r="C1724" s="14"/>
      <c r="D1724" s="20"/>
      <c r="F1724" s="20"/>
      <c r="H1724" s="20"/>
      <c r="I1724" s="2"/>
      <c r="J1724" s="17"/>
      <c r="K1724" s="17"/>
      <c r="L1724" s="17"/>
    </row>
    <row r="1725" spans="1:12">
      <c r="A1725" s="50"/>
      <c r="B1725" s="49">
        <v>2</v>
      </c>
      <c r="C1725" s="14" t="s">
        <v>787</v>
      </c>
      <c r="D1725" s="20"/>
      <c r="F1725" s="20"/>
      <c r="H1725" s="20"/>
      <c r="I1725" s="2"/>
      <c r="J1725" s="17"/>
      <c r="K1725" s="17"/>
      <c r="L1725" s="17"/>
    </row>
    <row r="1726" spans="1:12">
      <c r="A1726" s="50"/>
      <c r="B1726" s="49">
        <v>3</v>
      </c>
      <c r="C1726" s="19" t="s">
        <v>219</v>
      </c>
      <c r="D1726" s="20">
        <v>0</v>
      </c>
      <c r="E1726" s="21">
        <v>1</v>
      </c>
      <c r="F1726" s="20">
        <f>D1726*E1726</f>
        <v>0</v>
      </c>
      <c r="G1726" s="69">
        <v>12507</v>
      </c>
      <c r="H1726" s="20">
        <f>F1726*G1726</f>
        <v>0</v>
      </c>
      <c r="I1726" s="2"/>
      <c r="J1726" s="17"/>
      <c r="K1726" s="17"/>
      <c r="L1726" s="17"/>
    </row>
    <row r="1727" spans="1:12">
      <c r="A1727" s="50"/>
      <c r="B1727" s="49">
        <v>4</v>
      </c>
      <c r="C1727" s="19" t="s">
        <v>64</v>
      </c>
      <c r="D1727" s="20">
        <v>0</v>
      </c>
      <c r="E1727" s="21">
        <v>1</v>
      </c>
      <c r="F1727" s="20">
        <f t="shared" ref="F1727:F1732" si="200">D1727*E1727</f>
        <v>0</v>
      </c>
      <c r="G1727" s="69">
        <v>12507</v>
      </c>
      <c r="H1727" s="20">
        <f t="shared" ref="H1727:H1732" si="201">F1727*G1727</f>
        <v>0</v>
      </c>
      <c r="I1727" s="2"/>
      <c r="J1727" s="17"/>
      <c r="K1727" s="17"/>
      <c r="L1727" s="17"/>
    </row>
    <row r="1728" spans="1:12">
      <c r="A1728" s="50"/>
      <c r="B1728" s="49">
        <v>5</v>
      </c>
      <c r="C1728" s="19" t="s">
        <v>65</v>
      </c>
      <c r="D1728" s="20">
        <v>0</v>
      </c>
      <c r="E1728" s="21">
        <v>1</v>
      </c>
      <c r="F1728" s="20">
        <f t="shared" si="200"/>
        <v>0</v>
      </c>
      <c r="G1728" s="69">
        <v>12507</v>
      </c>
      <c r="H1728" s="20">
        <f t="shared" si="201"/>
        <v>0</v>
      </c>
      <c r="I1728" s="2"/>
      <c r="J1728" s="17"/>
      <c r="K1728" s="17"/>
      <c r="L1728" s="17"/>
    </row>
    <row r="1729" spans="1:12">
      <c r="A1729" s="50"/>
      <c r="B1729" s="49">
        <v>6</v>
      </c>
      <c r="C1729" s="19" t="s">
        <v>358</v>
      </c>
      <c r="D1729" s="20">
        <v>0</v>
      </c>
      <c r="E1729" s="21">
        <v>1</v>
      </c>
      <c r="F1729" s="20">
        <f t="shared" si="200"/>
        <v>0</v>
      </c>
      <c r="G1729" s="69">
        <v>12507</v>
      </c>
      <c r="H1729" s="20">
        <f t="shared" si="201"/>
        <v>0</v>
      </c>
      <c r="I1729" s="2"/>
      <c r="J1729" s="17"/>
      <c r="K1729" s="17"/>
      <c r="L1729" s="17"/>
    </row>
    <row r="1730" spans="1:12">
      <c r="A1730" s="50"/>
      <c r="B1730" s="49">
        <v>7</v>
      </c>
      <c r="C1730" s="19" t="s">
        <v>222</v>
      </c>
      <c r="D1730" s="20">
        <v>0</v>
      </c>
      <c r="E1730" s="21">
        <v>1</v>
      </c>
      <c r="F1730" s="20">
        <f t="shared" si="200"/>
        <v>0</v>
      </c>
      <c r="G1730" s="69">
        <v>12507</v>
      </c>
      <c r="H1730" s="20">
        <f t="shared" si="201"/>
        <v>0</v>
      </c>
      <c r="I1730" s="2"/>
      <c r="J1730" s="17"/>
      <c r="K1730" s="17"/>
      <c r="L1730" s="17"/>
    </row>
    <row r="1731" spans="1:12">
      <c r="A1731" s="50"/>
      <c r="B1731" s="49">
        <v>8</v>
      </c>
      <c r="C1731" s="19" t="s">
        <v>360</v>
      </c>
      <c r="D1731" s="20">
        <v>0</v>
      </c>
      <c r="E1731" s="21">
        <v>1</v>
      </c>
      <c r="F1731" s="20">
        <f t="shared" si="200"/>
        <v>0</v>
      </c>
      <c r="G1731" s="69">
        <v>31769</v>
      </c>
      <c r="H1731" s="20">
        <f t="shared" si="201"/>
        <v>0</v>
      </c>
      <c r="I1731" s="2"/>
      <c r="J1731" s="17"/>
      <c r="K1731" s="17"/>
      <c r="L1731" s="17"/>
    </row>
    <row r="1732" spans="1:12">
      <c r="A1732" s="50"/>
      <c r="B1732" s="49">
        <v>9</v>
      </c>
      <c r="C1732" s="19"/>
      <c r="D1732" s="20"/>
      <c r="E1732" s="21">
        <v>1</v>
      </c>
      <c r="F1732" s="20">
        <f t="shared" si="200"/>
        <v>0</v>
      </c>
      <c r="G1732" s="69">
        <v>250000</v>
      </c>
      <c r="H1732" s="20">
        <f t="shared" si="201"/>
        <v>0</v>
      </c>
      <c r="I1732" s="2"/>
      <c r="J1732" s="17"/>
      <c r="K1732" s="17"/>
      <c r="L1732" s="17"/>
    </row>
    <row r="1733" spans="1:12">
      <c r="A1733" s="50"/>
      <c r="B1733" s="49">
        <v>10</v>
      </c>
      <c r="C1733" s="19"/>
      <c r="D1733" s="20">
        <v>0</v>
      </c>
      <c r="E1733" s="21">
        <v>0</v>
      </c>
      <c r="F1733" s="20">
        <f>D1733*E1733</f>
        <v>0</v>
      </c>
      <c r="G1733" s="21">
        <v>102</v>
      </c>
      <c r="H1733" s="20">
        <f>F1733*G1733</f>
        <v>0</v>
      </c>
      <c r="I1733" s="2"/>
      <c r="J1733" s="17"/>
      <c r="K1733" s="17"/>
      <c r="L1733" s="17"/>
    </row>
    <row r="1734" spans="1:12">
      <c r="A1734" s="50"/>
      <c r="B1734" s="49"/>
      <c r="C1734" s="14" t="s">
        <v>788</v>
      </c>
      <c r="D1734" s="20"/>
      <c r="F1734" s="20"/>
      <c r="H1734" s="25">
        <f>SUM(H1726:H1733)</f>
        <v>0</v>
      </c>
      <c r="I1734" s="2"/>
      <c r="J1734" s="17"/>
      <c r="K1734" s="17"/>
      <c r="L1734" s="17"/>
    </row>
    <row r="1735" spans="1:12">
      <c r="A1735" s="50"/>
      <c r="B1735" s="49"/>
      <c r="C1735" s="14"/>
      <c r="D1735" s="20"/>
      <c r="F1735" s="20"/>
      <c r="H1735" s="25"/>
      <c r="I1735" s="2"/>
      <c r="J1735" s="17"/>
      <c r="K1735" s="17"/>
      <c r="L1735" s="17"/>
    </row>
    <row r="1736" spans="1:12">
      <c r="A1736" s="50"/>
      <c r="B1736" s="51"/>
      <c r="C1736" s="14" t="s">
        <v>789</v>
      </c>
      <c r="D1736" s="20"/>
      <c r="F1736" s="20"/>
      <c r="H1736" s="20"/>
      <c r="I1736" s="2"/>
      <c r="J1736" s="17"/>
      <c r="K1736" s="17"/>
      <c r="L1736" s="17"/>
    </row>
    <row r="1737" spans="1:12">
      <c r="A1737" s="50"/>
      <c r="B1737" s="49">
        <v>1</v>
      </c>
      <c r="C1737" s="19" t="s">
        <v>790</v>
      </c>
      <c r="D1737" s="20">
        <v>0</v>
      </c>
      <c r="E1737" s="21">
        <v>1</v>
      </c>
      <c r="F1737" s="20">
        <f>D1737*E1737</f>
        <v>0</v>
      </c>
      <c r="G1737" s="21">
        <v>140000</v>
      </c>
      <c r="H1737" s="20">
        <f>F1737*G1737</f>
        <v>0</v>
      </c>
      <c r="I1737" s="2"/>
      <c r="J1737" s="17"/>
      <c r="K1737" s="17"/>
      <c r="L1737" s="17"/>
    </row>
    <row r="1738" spans="1:12">
      <c r="A1738" s="50"/>
      <c r="B1738" s="49">
        <v>2</v>
      </c>
      <c r="C1738" s="19" t="s">
        <v>76</v>
      </c>
      <c r="D1738" s="20">
        <v>0</v>
      </c>
      <c r="E1738" s="21">
        <v>1</v>
      </c>
      <c r="F1738" s="20">
        <f t="shared" ref="F1738:F1741" si="202">D1738*E1738</f>
        <v>0</v>
      </c>
      <c r="G1738" s="21">
        <v>30770</v>
      </c>
      <c r="H1738" s="20">
        <f t="shared" ref="H1738:H1741" si="203">F1738*G1738</f>
        <v>0</v>
      </c>
      <c r="I1738" s="2"/>
      <c r="J1738" s="17"/>
      <c r="K1738" s="17"/>
      <c r="L1738" s="17"/>
    </row>
    <row r="1739" spans="1:12">
      <c r="A1739" s="50"/>
      <c r="B1739" s="49">
        <v>3</v>
      </c>
      <c r="C1739" s="19" t="s">
        <v>364</v>
      </c>
      <c r="D1739" s="20">
        <v>0</v>
      </c>
      <c r="E1739" s="21">
        <v>1</v>
      </c>
      <c r="F1739" s="20">
        <f t="shared" si="202"/>
        <v>0</v>
      </c>
      <c r="G1739" s="21">
        <v>30770</v>
      </c>
      <c r="H1739" s="20">
        <f t="shared" si="203"/>
        <v>0</v>
      </c>
      <c r="I1739" s="2"/>
      <c r="J1739" s="17"/>
      <c r="K1739" s="17"/>
      <c r="L1739" s="17"/>
    </row>
    <row r="1740" spans="1:12">
      <c r="A1740" s="50"/>
      <c r="B1740" s="49">
        <v>4</v>
      </c>
      <c r="C1740" s="19" t="s">
        <v>614</v>
      </c>
      <c r="D1740" s="20">
        <v>0</v>
      </c>
      <c r="E1740" s="21">
        <v>1</v>
      </c>
      <c r="F1740" s="20">
        <f t="shared" si="202"/>
        <v>0</v>
      </c>
      <c r="G1740" s="21">
        <v>30770</v>
      </c>
      <c r="H1740" s="20">
        <f t="shared" si="203"/>
        <v>0</v>
      </c>
      <c r="I1740" s="2"/>
      <c r="J1740" s="17"/>
      <c r="K1740" s="17"/>
      <c r="L1740" s="17"/>
    </row>
    <row r="1741" spans="1:12">
      <c r="A1741" s="50"/>
      <c r="B1741" s="49">
        <v>6</v>
      </c>
      <c r="C1741" s="19" t="s">
        <v>771</v>
      </c>
      <c r="D1741" s="20">
        <v>0</v>
      </c>
      <c r="E1741" s="21">
        <v>1</v>
      </c>
      <c r="F1741" s="20">
        <f t="shared" si="202"/>
        <v>0</v>
      </c>
      <c r="G1741" s="21">
        <v>1200000</v>
      </c>
      <c r="H1741" s="20">
        <f t="shared" si="203"/>
        <v>0</v>
      </c>
      <c r="I1741" s="2"/>
      <c r="J1741" s="94"/>
      <c r="K1741" s="17"/>
      <c r="L1741" s="17"/>
    </row>
    <row r="1742" spans="1:12">
      <c r="A1742" s="50"/>
      <c r="B1742" s="49">
        <v>7</v>
      </c>
      <c r="C1742" s="19"/>
      <c r="D1742" s="20">
        <v>0</v>
      </c>
      <c r="E1742" s="21">
        <v>1</v>
      </c>
      <c r="F1742" s="20">
        <f>D1742*E1742</f>
        <v>0</v>
      </c>
      <c r="G1742" s="21">
        <v>102</v>
      </c>
      <c r="H1742" s="20">
        <f>F1742*G1742</f>
        <v>0</v>
      </c>
      <c r="I1742" s="2"/>
      <c r="J1742" s="17"/>
      <c r="K1742" s="17"/>
      <c r="L1742" s="17"/>
    </row>
    <row r="1743" spans="1:12">
      <c r="A1743" s="50"/>
      <c r="B1743" s="49">
        <v>8</v>
      </c>
      <c r="C1743" s="14" t="s">
        <v>791</v>
      </c>
      <c r="D1743" s="20"/>
      <c r="F1743" s="20"/>
      <c r="H1743" s="25">
        <f>SUM(H1737:H1742)</f>
        <v>0</v>
      </c>
      <c r="I1743" s="2"/>
      <c r="J1743" s="17"/>
      <c r="K1743" s="17"/>
      <c r="L1743" s="17"/>
    </row>
    <row r="1744" spans="1:12">
      <c r="A1744" s="50"/>
      <c r="B1744" s="49">
        <v>9</v>
      </c>
      <c r="C1744" s="14"/>
      <c r="D1744" s="20"/>
      <c r="F1744" s="20"/>
      <c r="H1744" s="25"/>
      <c r="I1744" s="2"/>
      <c r="J1744" s="17"/>
      <c r="K1744" s="17"/>
      <c r="L1744" s="17"/>
    </row>
    <row r="1745" spans="1:12">
      <c r="A1745" s="50"/>
      <c r="B1745" s="49">
        <v>10</v>
      </c>
      <c r="C1745" s="14" t="s">
        <v>792</v>
      </c>
      <c r="D1745" s="20"/>
      <c r="F1745" s="20"/>
      <c r="H1745" s="25">
        <f>H1672+H1680+H1688+H1697+H1715+H1723+H1734+H1743</f>
        <v>0</v>
      </c>
      <c r="I1745" s="2"/>
      <c r="J1745" s="17"/>
      <c r="K1745" s="17"/>
      <c r="L1745" s="17"/>
    </row>
    <row r="1746" spans="1:12">
      <c r="A1746" s="32"/>
      <c r="B1746" s="70"/>
      <c r="C1746" s="19"/>
      <c r="D1746" s="20"/>
      <c r="F1746" s="20"/>
      <c r="H1746" s="20"/>
      <c r="I1746" s="2"/>
      <c r="J1746" s="17"/>
      <c r="K1746" s="17"/>
      <c r="L1746" s="17"/>
    </row>
    <row r="1747" spans="1:12" ht="15">
      <c r="A1747" s="178" t="s">
        <v>793</v>
      </c>
      <c r="B1747" s="178"/>
      <c r="C1747" s="14" t="s">
        <v>26</v>
      </c>
      <c r="D1747" s="20"/>
      <c r="F1747" s="20"/>
      <c r="H1747" s="20"/>
      <c r="I1747" s="2"/>
      <c r="J1747" s="17"/>
      <c r="K1747" s="17"/>
      <c r="L1747" s="17"/>
    </row>
    <row r="1748" spans="1:12">
      <c r="A1748" s="54"/>
      <c r="B1748" s="55">
        <v>1</v>
      </c>
      <c r="C1748" s="19"/>
      <c r="D1748" s="20">
        <v>0</v>
      </c>
      <c r="E1748" s="21">
        <v>1</v>
      </c>
      <c r="F1748" s="20">
        <f>D1748*E1748</f>
        <v>0</v>
      </c>
      <c r="G1748" s="21">
        <v>101</v>
      </c>
      <c r="H1748" s="20">
        <f>F1748*G1748</f>
        <v>0</v>
      </c>
      <c r="I1748" s="2"/>
      <c r="J1748" s="17"/>
      <c r="K1748" s="17"/>
      <c r="L1748" s="17"/>
    </row>
    <row r="1749" spans="1:12">
      <c r="A1749" s="54"/>
      <c r="B1749" s="55">
        <v>2</v>
      </c>
      <c r="C1749" s="19"/>
      <c r="D1749" s="20">
        <v>0</v>
      </c>
      <c r="E1749" s="21">
        <v>1</v>
      </c>
      <c r="F1749" s="20">
        <f>D1749*E1749</f>
        <v>0</v>
      </c>
      <c r="G1749" s="21">
        <v>102</v>
      </c>
      <c r="H1749" s="20">
        <f>F1749*G1749</f>
        <v>0</v>
      </c>
      <c r="I1749" s="2"/>
      <c r="J1749" s="17"/>
      <c r="K1749" s="17"/>
      <c r="L1749" s="17"/>
    </row>
    <row r="1750" spans="1:12">
      <c r="A1750" s="54"/>
      <c r="B1750" s="55"/>
      <c r="C1750" s="14" t="s">
        <v>795</v>
      </c>
      <c r="D1750" s="20"/>
      <c r="F1750" s="20"/>
      <c r="H1750" s="25">
        <f>SUM(H1748:H1749)</f>
        <v>0</v>
      </c>
      <c r="I1750" s="2"/>
      <c r="J1750" s="17"/>
      <c r="K1750" s="17"/>
      <c r="L1750" s="17"/>
    </row>
    <row r="1751" spans="1:12">
      <c r="A1751" s="54"/>
      <c r="B1751" s="56"/>
      <c r="C1751" s="14"/>
      <c r="D1751" s="20"/>
      <c r="F1751" s="20"/>
      <c r="H1751" s="20"/>
      <c r="I1751" s="2"/>
      <c r="J1751" s="17"/>
      <c r="K1751" s="17"/>
      <c r="L1751" s="17"/>
    </row>
    <row r="1752" spans="1:12">
      <c r="A1752" s="54"/>
      <c r="B1752" s="57"/>
      <c r="C1752" s="14" t="s">
        <v>28</v>
      </c>
      <c r="D1752" s="20"/>
      <c r="F1752" s="20"/>
      <c r="H1752" s="20"/>
      <c r="I1752" s="2"/>
      <c r="J1752" s="17"/>
      <c r="K1752" s="17"/>
      <c r="L1752" s="17"/>
    </row>
    <row r="1753" spans="1:12">
      <c r="A1753" s="54"/>
      <c r="B1753" s="55">
        <v>1</v>
      </c>
      <c r="C1753" s="19"/>
      <c r="D1753" s="20">
        <v>0</v>
      </c>
      <c r="E1753" s="21">
        <v>1</v>
      </c>
      <c r="F1753" s="20">
        <f>D1753*E1753</f>
        <v>0</v>
      </c>
      <c r="G1753" s="21">
        <v>101</v>
      </c>
      <c r="H1753" s="20">
        <f>F1753*G1753</f>
        <v>0</v>
      </c>
      <c r="I1753" s="2"/>
      <c r="J1753" s="17"/>
      <c r="K1753" s="17"/>
      <c r="L1753" s="17"/>
    </row>
    <row r="1754" spans="1:12">
      <c r="A1754" s="54"/>
      <c r="B1754" s="55">
        <v>2</v>
      </c>
      <c r="C1754" s="19"/>
      <c r="D1754" s="20">
        <v>0</v>
      </c>
      <c r="E1754" s="21">
        <v>1</v>
      </c>
      <c r="F1754" s="20">
        <f>D1754*E1754</f>
        <v>0</v>
      </c>
      <c r="G1754" s="21">
        <v>102</v>
      </c>
      <c r="H1754" s="20">
        <f>F1754*G1754</f>
        <v>0</v>
      </c>
      <c r="I1754" s="2"/>
      <c r="J1754" s="17"/>
      <c r="K1754" s="17"/>
      <c r="L1754" s="17"/>
    </row>
    <row r="1755" spans="1:12">
      <c r="A1755" s="54"/>
      <c r="B1755" s="55"/>
      <c r="C1755" s="14" t="s">
        <v>796</v>
      </c>
      <c r="D1755" s="20"/>
      <c r="F1755" s="20"/>
      <c r="H1755" s="25">
        <f>SUM(H1753:H1754)</f>
        <v>0</v>
      </c>
      <c r="I1755" s="2"/>
      <c r="J1755" s="17"/>
      <c r="K1755" s="17"/>
      <c r="L1755" s="17"/>
    </row>
    <row r="1756" spans="1:12">
      <c r="A1756" s="54"/>
      <c r="B1756" s="57"/>
      <c r="C1756" s="14"/>
      <c r="D1756" s="20"/>
      <c r="F1756" s="20"/>
      <c r="H1756" s="20"/>
      <c r="I1756" s="2"/>
      <c r="J1756" s="17"/>
      <c r="K1756" s="17"/>
      <c r="L1756" s="17"/>
    </row>
    <row r="1757" spans="1:12">
      <c r="A1757" s="54"/>
      <c r="B1757" s="57"/>
      <c r="C1757" s="14" t="s">
        <v>29</v>
      </c>
      <c r="D1757" s="20"/>
      <c r="F1757" s="20"/>
      <c r="H1757" s="20"/>
      <c r="I1757" s="2"/>
      <c r="J1757" s="17"/>
      <c r="K1757" s="17"/>
      <c r="L1757" s="17"/>
    </row>
    <row r="1758" spans="1:12">
      <c r="A1758" s="54"/>
      <c r="B1758" s="55">
        <v>1</v>
      </c>
      <c r="C1758" s="19"/>
      <c r="D1758" s="20">
        <v>0</v>
      </c>
      <c r="E1758" s="21">
        <v>1</v>
      </c>
      <c r="F1758" s="20">
        <f>D1758*E1758</f>
        <v>0</v>
      </c>
      <c r="G1758" s="21">
        <v>101</v>
      </c>
      <c r="H1758" s="20">
        <f>F1758*G1758</f>
        <v>0</v>
      </c>
      <c r="I1758" s="2"/>
      <c r="J1758" s="17"/>
      <c r="K1758" s="17"/>
      <c r="L1758" s="17"/>
    </row>
    <row r="1759" spans="1:12">
      <c r="A1759" s="54"/>
      <c r="B1759" s="55">
        <v>2</v>
      </c>
      <c r="C1759" s="19"/>
      <c r="D1759" s="20">
        <v>0</v>
      </c>
      <c r="E1759" s="21">
        <v>1</v>
      </c>
      <c r="F1759" s="20">
        <f>D1759*E1759</f>
        <v>0</v>
      </c>
      <c r="G1759" s="21">
        <v>102</v>
      </c>
      <c r="H1759" s="20">
        <f>F1759*G1759</f>
        <v>0</v>
      </c>
      <c r="I1759" s="2"/>
      <c r="J1759" s="17"/>
      <c r="K1759" s="17"/>
      <c r="L1759" s="17"/>
    </row>
    <row r="1760" spans="1:12">
      <c r="A1760" s="54"/>
      <c r="B1760" s="55"/>
      <c r="C1760" s="14" t="s">
        <v>797</v>
      </c>
      <c r="D1760" s="20"/>
      <c r="F1760" s="20"/>
      <c r="H1760" s="25">
        <f>SUM(H1758:H1759)</f>
        <v>0</v>
      </c>
      <c r="I1760" s="2"/>
      <c r="J1760" s="17"/>
      <c r="K1760" s="17"/>
      <c r="L1760" s="17"/>
    </row>
    <row r="1761" spans="1:12">
      <c r="A1761" s="54"/>
      <c r="B1761" s="57"/>
      <c r="C1761" s="14"/>
      <c r="D1761" s="20"/>
      <c r="F1761" s="20"/>
      <c r="H1761" s="20"/>
      <c r="I1761" s="2"/>
      <c r="J1761" s="17"/>
      <c r="K1761" s="17"/>
      <c r="L1761" s="17"/>
    </row>
    <row r="1762" spans="1:12">
      <c r="A1762" s="54"/>
      <c r="B1762" s="57"/>
      <c r="C1762" s="14" t="s">
        <v>30</v>
      </c>
      <c r="D1762" s="20"/>
      <c r="F1762" s="20"/>
      <c r="H1762" s="20"/>
      <c r="I1762" s="2"/>
      <c r="J1762" s="17"/>
      <c r="K1762" s="17"/>
      <c r="L1762" s="17"/>
    </row>
    <row r="1763" spans="1:12">
      <c r="A1763" s="54"/>
      <c r="B1763" s="55">
        <v>1</v>
      </c>
      <c r="C1763" s="19"/>
      <c r="D1763" s="20">
        <v>0</v>
      </c>
      <c r="E1763" s="21">
        <v>1</v>
      </c>
      <c r="F1763" s="20">
        <f>D1763*E1763</f>
        <v>0</v>
      </c>
      <c r="G1763" s="21">
        <v>101</v>
      </c>
      <c r="H1763" s="20">
        <f>F1763*G1763</f>
        <v>0</v>
      </c>
      <c r="I1763" s="2"/>
      <c r="J1763" s="17"/>
      <c r="K1763" s="17"/>
      <c r="L1763" s="17"/>
    </row>
    <row r="1764" spans="1:12">
      <c r="A1764" s="54"/>
      <c r="B1764" s="55">
        <v>2</v>
      </c>
      <c r="C1764" s="19"/>
      <c r="D1764" s="20">
        <v>0</v>
      </c>
      <c r="E1764" s="21">
        <v>1</v>
      </c>
      <c r="F1764" s="20">
        <f>D1764*E1764</f>
        <v>0</v>
      </c>
      <c r="G1764" s="21">
        <v>102</v>
      </c>
      <c r="H1764" s="20">
        <f>F1764*G1764</f>
        <v>0</v>
      </c>
      <c r="I1764" s="2"/>
      <c r="J1764" s="17"/>
      <c r="K1764" s="17"/>
      <c r="L1764" s="17"/>
    </row>
    <row r="1765" spans="1:12">
      <c r="A1765" s="54"/>
      <c r="B1765" s="55"/>
      <c r="C1765" s="14" t="s">
        <v>798</v>
      </c>
      <c r="D1765" s="20"/>
      <c r="F1765" s="20"/>
      <c r="H1765" s="25">
        <f>SUM(H1763:H1764)</f>
        <v>0</v>
      </c>
      <c r="I1765" s="2"/>
      <c r="J1765" s="17"/>
      <c r="K1765" s="17"/>
      <c r="L1765" s="17"/>
    </row>
    <row r="1766" spans="1:12">
      <c r="A1766" s="54"/>
      <c r="B1766" s="57"/>
      <c r="C1766" s="14"/>
      <c r="D1766" s="20"/>
      <c r="F1766" s="20"/>
      <c r="H1766" s="20"/>
      <c r="I1766" s="2"/>
      <c r="J1766" s="17"/>
      <c r="K1766" s="17"/>
      <c r="L1766" s="17"/>
    </row>
    <row r="1767" spans="1:12">
      <c r="A1767" s="54"/>
      <c r="B1767" s="57"/>
      <c r="C1767" s="14" t="s">
        <v>32</v>
      </c>
      <c r="D1767" s="20"/>
      <c r="F1767" s="20"/>
      <c r="H1767" s="20"/>
      <c r="I1767" s="2"/>
      <c r="J1767" s="17"/>
      <c r="K1767" s="17"/>
      <c r="L1767" s="17"/>
    </row>
    <row r="1768" spans="1:12">
      <c r="A1768" s="54"/>
      <c r="B1768" s="55">
        <v>1</v>
      </c>
      <c r="C1768" s="19"/>
      <c r="D1768" s="20">
        <v>0</v>
      </c>
      <c r="E1768" s="21">
        <v>1</v>
      </c>
      <c r="F1768" s="20">
        <f>D1768*E1768</f>
        <v>0</v>
      </c>
      <c r="G1768" s="21">
        <v>101</v>
      </c>
      <c r="H1768" s="20">
        <f>F1768*G1768</f>
        <v>0</v>
      </c>
      <c r="I1768" s="2"/>
      <c r="J1768" s="17"/>
      <c r="K1768" s="17"/>
      <c r="L1768" s="17"/>
    </row>
    <row r="1769" spans="1:12">
      <c r="A1769" s="54"/>
      <c r="B1769" s="55">
        <v>2</v>
      </c>
      <c r="C1769" s="19"/>
      <c r="D1769" s="20">
        <v>0</v>
      </c>
      <c r="E1769" s="21">
        <v>1</v>
      </c>
      <c r="F1769" s="20">
        <f>D1769*E1769</f>
        <v>0</v>
      </c>
      <c r="G1769" s="21">
        <v>102</v>
      </c>
      <c r="H1769" s="20">
        <f>F1769*G1769</f>
        <v>0</v>
      </c>
      <c r="I1769" s="2"/>
      <c r="J1769" s="17"/>
      <c r="K1769" s="17"/>
      <c r="L1769" s="17"/>
    </row>
    <row r="1770" spans="1:12">
      <c r="A1770" s="54"/>
      <c r="B1770" s="55"/>
      <c r="C1770" s="14" t="s">
        <v>800</v>
      </c>
      <c r="D1770" s="20"/>
      <c r="F1770" s="20"/>
      <c r="H1770" s="25">
        <f>SUM(H1768:H1769)</f>
        <v>0</v>
      </c>
      <c r="I1770" s="2"/>
      <c r="J1770" s="17"/>
      <c r="K1770" s="17"/>
      <c r="L1770" s="17"/>
    </row>
    <row r="1771" spans="1:12">
      <c r="A1771" s="54"/>
      <c r="B1771" s="57"/>
      <c r="C1771" s="14"/>
      <c r="D1771" s="20"/>
      <c r="F1771" s="20"/>
      <c r="H1771" s="20"/>
      <c r="I1771" s="2"/>
      <c r="J1771" s="17"/>
      <c r="K1771" s="17"/>
      <c r="L1771" s="17"/>
    </row>
    <row r="1772" spans="1:12">
      <c r="A1772" s="54"/>
      <c r="B1772" s="57"/>
      <c r="C1772" s="14" t="s">
        <v>33</v>
      </c>
      <c r="D1772" s="20"/>
      <c r="F1772" s="20"/>
      <c r="H1772" s="20"/>
      <c r="I1772" s="2"/>
      <c r="J1772" s="17"/>
      <c r="K1772" s="17"/>
      <c r="L1772" s="17"/>
    </row>
    <row r="1773" spans="1:12">
      <c r="A1773" s="54"/>
      <c r="B1773" s="55">
        <v>1</v>
      </c>
      <c r="C1773" s="19"/>
      <c r="D1773" s="20">
        <v>0</v>
      </c>
      <c r="E1773" s="21">
        <v>1</v>
      </c>
      <c r="F1773" s="20">
        <f>D1773*E1773</f>
        <v>0</v>
      </c>
      <c r="G1773" s="21">
        <v>101</v>
      </c>
      <c r="H1773" s="20">
        <f>F1773*G1773</f>
        <v>0</v>
      </c>
      <c r="I1773" s="2"/>
      <c r="J1773" s="17"/>
      <c r="K1773" s="17"/>
      <c r="L1773" s="17"/>
    </row>
    <row r="1774" spans="1:12">
      <c r="A1774" s="54"/>
      <c r="B1774" s="55">
        <v>2</v>
      </c>
      <c r="C1774" s="19"/>
      <c r="D1774" s="20">
        <v>0</v>
      </c>
      <c r="E1774" s="21">
        <v>1</v>
      </c>
      <c r="F1774" s="20">
        <f>D1774*E1774</f>
        <v>0</v>
      </c>
      <c r="G1774" s="21">
        <v>102</v>
      </c>
      <c r="H1774" s="20">
        <f>F1774*G1774</f>
        <v>0</v>
      </c>
      <c r="I1774" s="2"/>
      <c r="J1774" s="17"/>
      <c r="K1774" s="17"/>
      <c r="L1774" s="17"/>
    </row>
    <row r="1775" spans="1:12">
      <c r="A1775" s="54"/>
      <c r="B1775" s="55"/>
      <c r="C1775" s="14" t="s">
        <v>801</v>
      </c>
      <c r="D1775" s="20"/>
      <c r="F1775" s="20"/>
      <c r="H1775" s="25">
        <f>SUM(H1773:H1774)</f>
        <v>0</v>
      </c>
      <c r="I1775" s="2"/>
      <c r="J1775" s="17"/>
      <c r="K1775" s="17"/>
      <c r="L1775" s="17"/>
    </row>
    <row r="1776" spans="1:12">
      <c r="A1776" s="54"/>
      <c r="B1776" s="57"/>
      <c r="C1776" s="14"/>
      <c r="D1776" s="20"/>
      <c r="F1776" s="20"/>
      <c r="H1776" s="20"/>
      <c r="I1776" s="2"/>
      <c r="J1776" s="17"/>
      <c r="K1776" s="17"/>
      <c r="L1776" s="17"/>
    </row>
    <row r="1777" spans="1:12">
      <c r="A1777" s="54"/>
      <c r="B1777" s="57"/>
      <c r="C1777" s="14" t="s">
        <v>35</v>
      </c>
      <c r="D1777" s="20"/>
      <c r="F1777" s="20"/>
      <c r="H1777" s="20"/>
      <c r="I1777" s="2"/>
      <c r="J1777" s="17"/>
      <c r="K1777" s="17"/>
      <c r="L1777" s="17"/>
    </row>
    <row r="1778" spans="1:12">
      <c r="A1778" s="54"/>
      <c r="B1778" s="55">
        <v>1</v>
      </c>
      <c r="C1778" s="19"/>
      <c r="D1778" s="20">
        <v>0</v>
      </c>
      <c r="E1778" s="21">
        <v>1</v>
      </c>
      <c r="F1778" s="20">
        <f>D1778*E1778</f>
        <v>0</v>
      </c>
      <c r="G1778" s="21">
        <v>101</v>
      </c>
      <c r="H1778" s="20">
        <f>F1778*G1778</f>
        <v>0</v>
      </c>
      <c r="I1778" s="2"/>
      <c r="J1778" s="17"/>
      <c r="K1778" s="17"/>
      <c r="L1778" s="17"/>
    </row>
    <row r="1779" spans="1:12">
      <c r="A1779" s="54"/>
      <c r="B1779" s="55">
        <v>2</v>
      </c>
      <c r="C1779" s="19"/>
      <c r="D1779" s="20">
        <v>0</v>
      </c>
      <c r="E1779" s="21">
        <v>1</v>
      </c>
      <c r="F1779" s="20">
        <f>D1779*E1779</f>
        <v>0</v>
      </c>
      <c r="G1779" s="21">
        <v>102</v>
      </c>
      <c r="H1779" s="20">
        <f>F1779*G1779</f>
        <v>0</v>
      </c>
      <c r="I1779" s="2"/>
      <c r="J1779" s="17"/>
      <c r="K1779" s="17"/>
      <c r="L1779" s="17"/>
    </row>
    <row r="1780" spans="1:12">
      <c r="A1780" s="54"/>
      <c r="B1780" s="55"/>
      <c r="C1780" s="14" t="s">
        <v>802</v>
      </c>
      <c r="D1780" s="20"/>
      <c r="F1780" s="20"/>
      <c r="H1780" s="25">
        <f>SUM(H1778:H1779)</f>
        <v>0</v>
      </c>
      <c r="I1780" s="2"/>
      <c r="J1780" s="17"/>
      <c r="K1780" s="17"/>
      <c r="L1780" s="17"/>
    </row>
    <row r="1781" spans="1:12">
      <c r="A1781" s="54"/>
      <c r="B1781" s="58"/>
      <c r="C1781" s="19"/>
      <c r="D1781" s="20"/>
      <c r="F1781" s="20"/>
      <c r="H1781" s="20"/>
      <c r="I1781" s="2"/>
      <c r="J1781" s="17"/>
      <c r="K1781" s="17"/>
      <c r="L1781" s="17"/>
    </row>
    <row r="1782" spans="1:12">
      <c r="A1782" s="32"/>
      <c r="B1782" s="70"/>
      <c r="C1782" s="19"/>
      <c r="D1782" s="20"/>
      <c r="F1782" s="20"/>
      <c r="H1782" s="20"/>
      <c r="I1782" s="2"/>
      <c r="J1782" s="17"/>
      <c r="K1782" s="17"/>
      <c r="L1782" s="17"/>
    </row>
    <row r="1783" spans="1:12">
      <c r="A1783" s="32"/>
      <c r="B1783" s="70"/>
      <c r="C1783" s="19"/>
      <c r="D1783" s="20"/>
      <c r="F1783" s="20"/>
      <c r="H1783" s="20"/>
      <c r="I1783" s="2"/>
      <c r="J1783" s="17"/>
      <c r="K1783" s="17"/>
      <c r="L1783" s="17"/>
    </row>
    <row r="1784" spans="1:12">
      <c r="A1784" s="32"/>
      <c r="B1784" s="70"/>
      <c r="C1784" s="19"/>
      <c r="D1784" s="20"/>
      <c r="F1784" s="20"/>
      <c r="H1784" s="20"/>
      <c r="I1784" s="2"/>
      <c r="J1784" s="17"/>
      <c r="K1784" s="17"/>
      <c r="L1784" s="17"/>
    </row>
    <row r="1785" spans="1:12">
      <c r="A1785" s="32"/>
      <c r="B1785" s="70"/>
      <c r="C1785" s="19"/>
      <c r="D1785" s="20"/>
      <c r="F1785" s="20"/>
      <c r="H1785" s="20"/>
      <c r="I1785" s="2"/>
      <c r="J1785" s="17"/>
      <c r="K1785" s="17"/>
      <c r="L1785" s="17"/>
    </row>
    <row r="1786" spans="1:12">
      <c r="F1786" s="20"/>
      <c r="H1786" s="20"/>
      <c r="I1786" s="2"/>
      <c r="J1786" s="17"/>
      <c r="K1786" s="17"/>
      <c r="L1786" s="17"/>
    </row>
    <row r="1787" spans="1:12">
      <c r="H1787" s="20"/>
      <c r="I1787" s="2"/>
      <c r="J1787" s="17"/>
      <c r="K1787" s="17"/>
      <c r="L1787" s="17"/>
    </row>
    <row r="1788" spans="1:12">
      <c r="H1788" s="20"/>
      <c r="I1788" s="2"/>
      <c r="J1788" s="17"/>
      <c r="K1788" s="17"/>
      <c r="L1788" s="17"/>
    </row>
    <row r="1789" spans="1:12">
      <c r="H1789" s="20"/>
    </row>
  </sheetData>
  <mergeCells count="6">
    <mergeCell ref="A1747:B1747"/>
    <mergeCell ref="B1:H1"/>
    <mergeCell ref="J1:L1"/>
    <mergeCell ref="A3:A4"/>
    <mergeCell ref="A214:A215"/>
    <mergeCell ref="A758:A7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918F-8A46-40F2-8A88-F31F5B70192A}">
  <dimension ref="A1:Q81"/>
  <sheetViews>
    <sheetView workbookViewId="0">
      <selection activeCell="H14" sqref="H14"/>
    </sheetView>
  </sheetViews>
  <sheetFormatPr baseColWidth="10" defaultColWidth="8.83203125" defaultRowHeight="13"/>
  <cols>
    <col min="1" max="1" width="34.6640625" style="17" bestFit="1" customWidth="1"/>
    <col min="2" max="2" width="33.1640625" style="17" bestFit="1" customWidth="1"/>
    <col min="3" max="3" width="10.83203125" style="17" bestFit="1" customWidth="1"/>
    <col min="4" max="4" width="9.33203125" style="17" bestFit="1" customWidth="1"/>
    <col min="5" max="5" width="26.1640625" style="17" bestFit="1" customWidth="1"/>
    <col min="6" max="6" width="17.1640625" style="17" bestFit="1" customWidth="1"/>
    <col min="7" max="7" width="18.1640625" style="17" bestFit="1" customWidth="1"/>
    <col min="8" max="8" width="6.33203125" style="17" bestFit="1" customWidth="1"/>
    <col min="9" max="9" width="7.83203125" style="17" bestFit="1" customWidth="1"/>
    <col min="10" max="10" width="9.83203125" style="17" bestFit="1" customWidth="1"/>
    <col min="11" max="11" width="16.6640625" style="17" bestFit="1" customWidth="1"/>
    <col min="12" max="12" width="15.1640625" style="17" bestFit="1" customWidth="1"/>
    <col min="13" max="17" width="8.83203125" style="17"/>
    <col min="18" max="16384" width="8.83203125" style="60"/>
  </cols>
  <sheetData>
    <row r="1" spans="1:11">
      <c r="A1" s="184" t="s">
        <v>808</v>
      </c>
      <c r="B1" s="184"/>
      <c r="C1" s="184"/>
      <c r="D1" s="184"/>
      <c r="E1" s="184"/>
      <c r="F1" s="184"/>
      <c r="G1" s="185"/>
      <c r="H1" s="95"/>
      <c r="I1" s="64"/>
      <c r="J1" s="96"/>
      <c r="K1" s="97"/>
    </row>
    <row r="2" spans="1:11">
      <c r="A2" s="186" t="s">
        <v>809</v>
      </c>
      <c r="B2" s="186"/>
      <c r="C2" s="186"/>
      <c r="D2" s="186"/>
      <c r="E2" s="186"/>
      <c r="F2" s="186"/>
      <c r="G2" s="186"/>
      <c r="H2" s="98"/>
      <c r="I2" s="98"/>
      <c r="J2" s="98"/>
      <c r="K2" s="98"/>
    </row>
    <row r="3" spans="1:11">
      <c r="A3" s="64"/>
      <c r="B3" s="64"/>
      <c r="C3" s="64"/>
      <c r="D3" s="64"/>
      <c r="E3" s="64"/>
      <c r="F3" s="99"/>
      <c r="G3" s="99"/>
      <c r="H3" s="187" t="s">
        <v>810</v>
      </c>
      <c r="I3" s="188"/>
      <c r="J3" s="189"/>
      <c r="K3" s="100" t="s">
        <v>811</v>
      </c>
    </row>
    <row r="4" spans="1:11" ht="28">
      <c r="A4" s="101"/>
      <c r="B4" s="101"/>
      <c r="C4" s="101"/>
      <c r="D4" s="101"/>
      <c r="E4" s="101"/>
      <c r="F4" s="102" t="s">
        <v>812</v>
      </c>
      <c r="G4" s="102" t="s">
        <v>813</v>
      </c>
      <c r="H4" s="103" t="s">
        <v>814</v>
      </c>
      <c r="I4" s="104" t="s">
        <v>815</v>
      </c>
      <c r="J4" s="105" t="s">
        <v>816</v>
      </c>
      <c r="K4" s="106" t="s">
        <v>817</v>
      </c>
    </row>
    <row r="5" spans="1:11">
      <c r="A5" s="107"/>
      <c r="B5" s="108"/>
      <c r="C5" s="108"/>
      <c r="D5" s="108"/>
      <c r="E5" s="108"/>
      <c r="F5" s="109"/>
      <c r="G5" s="109"/>
      <c r="H5" s="110"/>
      <c r="I5" s="108"/>
      <c r="J5" s="111"/>
      <c r="K5" s="112"/>
    </row>
    <row r="6" spans="1:11">
      <c r="A6" s="107"/>
      <c r="B6" s="17" t="s">
        <v>818</v>
      </c>
      <c r="C6" s="17" t="s">
        <v>819</v>
      </c>
      <c r="D6" s="17" t="s">
        <v>819</v>
      </c>
      <c r="E6" s="17" t="s">
        <v>820</v>
      </c>
      <c r="F6" s="20">
        <v>130000</v>
      </c>
      <c r="G6" s="20">
        <v>1560000</v>
      </c>
      <c r="H6" s="113">
        <v>240</v>
      </c>
      <c r="I6" s="17">
        <f>H6*8</f>
        <v>1920</v>
      </c>
      <c r="J6" s="114">
        <f>I6*60</f>
        <v>115200</v>
      </c>
      <c r="K6" s="22">
        <f>G6/J6</f>
        <v>13.541666666666666</v>
      </c>
    </row>
    <row r="7" spans="1:11">
      <c r="A7" s="107"/>
      <c r="E7" s="17" t="s">
        <v>821</v>
      </c>
      <c r="F7" s="20">
        <v>4910000</v>
      </c>
      <c r="G7" s="20">
        <f>F7*12</f>
        <v>58920000</v>
      </c>
      <c r="H7" s="113">
        <v>240</v>
      </c>
      <c r="I7" s="17">
        <f>H7*8</f>
        <v>1920</v>
      </c>
      <c r="J7" s="114">
        <f>I7*60</f>
        <v>115200</v>
      </c>
      <c r="K7" s="115">
        <f>G7/J7</f>
        <v>511.45833333333331</v>
      </c>
    </row>
    <row r="8" spans="1:11">
      <c r="A8" s="107"/>
      <c r="B8" s="108"/>
      <c r="C8" s="108"/>
      <c r="D8" s="108"/>
      <c r="E8" s="108"/>
      <c r="F8" s="109"/>
      <c r="G8" s="109"/>
      <c r="H8" s="108"/>
      <c r="I8" s="108"/>
      <c r="J8" s="111"/>
      <c r="K8" s="109"/>
    </row>
    <row r="9" spans="1:11">
      <c r="B9" s="17" t="s">
        <v>822</v>
      </c>
      <c r="C9" s="17" t="s">
        <v>823</v>
      </c>
      <c r="D9" s="17" t="s">
        <v>823</v>
      </c>
      <c r="E9" s="17" t="s">
        <v>824</v>
      </c>
      <c r="F9" s="20">
        <v>125000</v>
      </c>
      <c r="G9" s="20">
        <f t="shared" ref="G9" si="0">F9*12</f>
        <v>1500000</v>
      </c>
      <c r="H9" s="113">
        <v>240</v>
      </c>
      <c r="I9" s="17">
        <f>H9*8</f>
        <v>1920</v>
      </c>
      <c r="J9" s="114">
        <f>I9*60</f>
        <v>115200</v>
      </c>
      <c r="K9" s="22">
        <f>G9/J9</f>
        <v>13.020833333333334</v>
      </c>
    </row>
    <row r="10" spans="1:11">
      <c r="E10" s="17" t="s">
        <v>825</v>
      </c>
      <c r="F10" s="20">
        <v>4420000</v>
      </c>
      <c r="G10" s="20">
        <f>F10*12</f>
        <v>53040000</v>
      </c>
      <c r="H10" s="113">
        <v>240</v>
      </c>
      <c r="I10" s="17">
        <f>H10*8</f>
        <v>1920</v>
      </c>
      <c r="J10" s="114">
        <f>I10*60</f>
        <v>115200</v>
      </c>
      <c r="K10" s="115">
        <f>G10/J10</f>
        <v>460.41666666666669</v>
      </c>
    </row>
    <row r="11" spans="1:11">
      <c r="J11" s="114"/>
    </row>
    <row r="12" spans="1:11">
      <c r="B12" s="17" t="s">
        <v>826</v>
      </c>
      <c r="C12" s="17" t="s">
        <v>827</v>
      </c>
      <c r="D12" s="17" t="s">
        <v>827</v>
      </c>
      <c r="E12" s="17" t="s">
        <v>828</v>
      </c>
      <c r="F12" s="20">
        <v>122000</v>
      </c>
      <c r="G12" s="20">
        <v>1464000</v>
      </c>
      <c r="H12" s="113">
        <v>240</v>
      </c>
      <c r="I12" s="17">
        <f>H12*8</f>
        <v>1920</v>
      </c>
      <c r="J12" s="114">
        <f>I12*60</f>
        <v>115200</v>
      </c>
      <c r="K12" s="22">
        <f>G12/J12</f>
        <v>12.708333333333334</v>
      </c>
    </row>
    <row r="13" spans="1:11">
      <c r="E13" s="17" t="s">
        <v>829</v>
      </c>
      <c r="F13" s="20">
        <v>4154000</v>
      </c>
      <c r="G13" s="20">
        <f>F13*12</f>
        <v>49848000</v>
      </c>
      <c r="H13" s="113">
        <v>240</v>
      </c>
      <c r="I13" s="17">
        <f>H13*8</f>
        <v>1920</v>
      </c>
      <c r="J13" s="114">
        <f>I13*60</f>
        <v>115200</v>
      </c>
      <c r="K13" s="115">
        <f>G13/J13</f>
        <v>432.70833333333331</v>
      </c>
    </row>
    <row r="14" spans="1:11">
      <c r="J14" s="114"/>
    </row>
    <row r="15" spans="1:11">
      <c r="A15" s="107"/>
      <c r="B15" s="17" t="s">
        <v>830</v>
      </c>
      <c r="C15" s="17" t="s">
        <v>831</v>
      </c>
      <c r="D15" s="17" t="s">
        <v>831</v>
      </c>
      <c r="E15" s="17" t="s">
        <v>832</v>
      </c>
      <c r="F15" s="20">
        <v>69000</v>
      </c>
      <c r="G15" s="20">
        <f t="shared" ref="G15" si="1">F15*12</f>
        <v>828000</v>
      </c>
      <c r="H15" s="113">
        <v>240</v>
      </c>
      <c r="I15" s="17">
        <f>H15*8</f>
        <v>1920</v>
      </c>
      <c r="J15" s="114">
        <f>I15*60</f>
        <v>115200</v>
      </c>
      <c r="K15" s="22">
        <f>G15/J15</f>
        <v>7.1875</v>
      </c>
    </row>
    <row r="16" spans="1:11">
      <c r="E16" s="17" t="s">
        <v>833</v>
      </c>
      <c r="F16" s="20">
        <v>2539000</v>
      </c>
      <c r="G16" s="20">
        <f>F16*12</f>
        <v>30468000</v>
      </c>
      <c r="H16" s="113">
        <v>240</v>
      </c>
      <c r="I16" s="17">
        <f>H16*8</f>
        <v>1920</v>
      </c>
      <c r="J16" s="114">
        <f>I16*60</f>
        <v>115200</v>
      </c>
      <c r="K16" s="115">
        <f>G16/J16</f>
        <v>264.47916666666669</v>
      </c>
    </row>
    <row r="17" spans="1:11" s="17" customFormat="1"/>
    <row r="18" spans="1:11">
      <c r="B18" s="17" t="s">
        <v>834</v>
      </c>
      <c r="C18" s="17" t="s">
        <v>835</v>
      </c>
      <c r="D18" s="17" t="s">
        <v>835</v>
      </c>
      <c r="E18" s="17" t="s">
        <v>836</v>
      </c>
      <c r="F18" s="20">
        <v>58000</v>
      </c>
      <c r="G18" s="20">
        <v>696000</v>
      </c>
      <c r="H18" s="113">
        <v>240</v>
      </c>
      <c r="I18" s="17">
        <f>H18*8</f>
        <v>1920</v>
      </c>
      <c r="J18" s="114">
        <f>I18*60</f>
        <v>115200</v>
      </c>
      <c r="K18" s="22">
        <f>G18/J18</f>
        <v>6.041666666666667</v>
      </c>
    </row>
    <row r="19" spans="1:11">
      <c r="E19" s="17" t="s">
        <v>837</v>
      </c>
      <c r="F19" s="20">
        <v>1954000</v>
      </c>
      <c r="G19" s="20">
        <f>F19*12</f>
        <v>23448000</v>
      </c>
      <c r="H19" s="113">
        <v>240</v>
      </c>
      <c r="I19" s="17">
        <f>H19*8</f>
        <v>1920</v>
      </c>
      <c r="J19" s="114">
        <f>I19*60</f>
        <v>115200</v>
      </c>
      <c r="K19" s="115">
        <f>G19/J19</f>
        <v>203.54166666666666</v>
      </c>
    </row>
    <row r="20" spans="1:11">
      <c r="J20" s="114"/>
    </row>
    <row r="21" spans="1:11">
      <c r="B21" s="17" t="s">
        <v>838</v>
      </c>
      <c r="C21" s="17" t="s">
        <v>839</v>
      </c>
      <c r="D21" s="17" t="s">
        <v>839</v>
      </c>
      <c r="E21" s="17" t="s">
        <v>840</v>
      </c>
      <c r="F21" s="20">
        <v>55000</v>
      </c>
      <c r="G21" s="20">
        <v>660000</v>
      </c>
      <c r="H21" s="113">
        <v>240</v>
      </c>
      <c r="I21" s="17">
        <f>H21*8</f>
        <v>1920</v>
      </c>
      <c r="J21" s="114">
        <f>I21*60</f>
        <v>115200</v>
      </c>
      <c r="K21" s="22">
        <f>G21/J21</f>
        <v>5.729166666666667</v>
      </c>
    </row>
    <row r="22" spans="1:11">
      <c r="E22" s="17" t="s">
        <v>841</v>
      </c>
      <c r="F22" s="20">
        <v>1697000</v>
      </c>
      <c r="G22" s="20">
        <f>F22*12</f>
        <v>20364000</v>
      </c>
      <c r="H22" s="113">
        <v>240</v>
      </c>
      <c r="I22" s="17">
        <f>H22*8</f>
        <v>1920</v>
      </c>
      <c r="J22" s="114">
        <f>I22*60</f>
        <v>115200</v>
      </c>
      <c r="K22" s="115">
        <f>G22/J22</f>
        <v>176.77083333333334</v>
      </c>
    </row>
    <row r="23" spans="1:11">
      <c r="J23" s="114"/>
    </row>
    <row r="24" spans="1:11">
      <c r="B24" s="17" t="s">
        <v>842</v>
      </c>
      <c r="C24" s="17" t="s">
        <v>843</v>
      </c>
      <c r="D24" s="17" t="s">
        <v>843</v>
      </c>
      <c r="E24" s="17" t="s">
        <v>844</v>
      </c>
      <c r="F24" s="20">
        <v>37000</v>
      </c>
      <c r="G24" s="20">
        <v>444000</v>
      </c>
      <c r="H24" s="113">
        <v>240</v>
      </c>
      <c r="I24" s="17">
        <f>H24*8</f>
        <v>1920</v>
      </c>
      <c r="J24" s="114">
        <f>I24*60</f>
        <v>115200</v>
      </c>
      <c r="K24" s="22">
        <f>G24/J24</f>
        <v>3.8541666666666665</v>
      </c>
    </row>
    <row r="25" spans="1:11">
      <c r="E25" s="17" t="s">
        <v>845</v>
      </c>
      <c r="F25" s="20">
        <v>1246000</v>
      </c>
      <c r="G25" s="20">
        <f>F25*12</f>
        <v>14952000</v>
      </c>
      <c r="H25" s="113">
        <v>240</v>
      </c>
      <c r="I25" s="17">
        <f>H25*8</f>
        <v>1920</v>
      </c>
      <c r="J25" s="114">
        <f>I25*60</f>
        <v>115200</v>
      </c>
      <c r="K25" s="115">
        <f>G25/J25</f>
        <v>129.79166666666666</v>
      </c>
    </row>
    <row r="26" spans="1:11">
      <c r="J26" s="114"/>
    </row>
    <row r="27" spans="1:11">
      <c r="A27" s="107"/>
      <c r="B27" s="17" t="s">
        <v>846</v>
      </c>
      <c r="C27" s="17" t="s">
        <v>847</v>
      </c>
      <c r="D27" s="17" t="s">
        <v>848</v>
      </c>
      <c r="E27" s="17" t="s">
        <v>849</v>
      </c>
      <c r="F27" s="20">
        <v>10000</v>
      </c>
      <c r="G27" s="20">
        <f t="shared" ref="G27" si="2">F27*12</f>
        <v>120000</v>
      </c>
      <c r="H27" s="113">
        <v>240</v>
      </c>
      <c r="I27" s="17">
        <f>H27*8</f>
        <v>1920</v>
      </c>
      <c r="J27" s="114">
        <f>I27*60</f>
        <v>115200</v>
      </c>
      <c r="K27" s="22">
        <f>G27/J27</f>
        <v>1.0416666666666667</v>
      </c>
    </row>
    <row r="28" spans="1:11">
      <c r="A28" s="107"/>
      <c r="E28" s="17" t="s">
        <v>850</v>
      </c>
      <c r="F28" s="20">
        <v>728000</v>
      </c>
      <c r="G28" s="20">
        <f>F28*12</f>
        <v>8736000</v>
      </c>
      <c r="H28" s="113">
        <v>240</v>
      </c>
      <c r="I28" s="17">
        <f>H28*8</f>
        <v>1920</v>
      </c>
      <c r="J28" s="114">
        <f>I28*60</f>
        <v>115200</v>
      </c>
      <c r="K28" s="115">
        <f>G28/J28</f>
        <v>75.833333333333329</v>
      </c>
    </row>
    <row r="30" spans="1:11">
      <c r="B30" s="17" t="s">
        <v>851</v>
      </c>
      <c r="C30" s="17" t="s">
        <v>852</v>
      </c>
      <c r="D30" s="17" t="s">
        <v>853</v>
      </c>
      <c r="E30" s="17" t="s">
        <v>854</v>
      </c>
      <c r="F30" s="20">
        <v>60000</v>
      </c>
      <c r="G30" s="20">
        <f t="shared" ref="G30" si="3">F30*12</f>
        <v>720000</v>
      </c>
      <c r="H30" s="113">
        <v>240</v>
      </c>
      <c r="I30" s="17">
        <f>H30*8</f>
        <v>1920</v>
      </c>
      <c r="J30" s="114">
        <f>I30*60</f>
        <v>115200</v>
      </c>
      <c r="K30" s="22">
        <f>G30/J30</f>
        <v>6.25</v>
      </c>
    </row>
    <row r="31" spans="1:11">
      <c r="E31" s="17" t="s">
        <v>855</v>
      </c>
      <c r="F31" s="20">
        <v>2020000</v>
      </c>
      <c r="G31" s="20">
        <f>F31*12</f>
        <v>24240000</v>
      </c>
      <c r="H31" s="113">
        <v>240</v>
      </c>
      <c r="I31" s="17">
        <f>H31*8</f>
        <v>1920</v>
      </c>
      <c r="J31" s="114">
        <f>I31*60</f>
        <v>115200</v>
      </c>
      <c r="K31" s="115">
        <f>G31/J31</f>
        <v>210.41666666666666</v>
      </c>
    </row>
    <row r="32" spans="1:11">
      <c r="J32" s="114"/>
    </row>
    <row r="33" spans="2:11">
      <c r="B33" s="17" t="s">
        <v>856</v>
      </c>
      <c r="C33" s="17" t="s">
        <v>835</v>
      </c>
      <c r="D33" s="17" t="s">
        <v>835</v>
      </c>
      <c r="E33" s="17" t="s">
        <v>836</v>
      </c>
      <c r="F33" s="20">
        <v>58000</v>
      </c>
      <c r="G33" s="20">
        <v>696000</v>
      </c>
      <c r="H33" s="113">
        <v>240</v>
      </c>
      <c r="I33" s="17">
        <f>H33*8</f>
        <v>1920</v>
      </c>
      <c r="J33" s="114">
        <f>I33*60</f>
        <v>115200</v>
      </c>
      <c r="K33" s="22">
        <f>G33/J33</f>
        <v>6.041666666666667</v>
      </c>
    </row>
    <row r="34" spans="2:11">
      <c r="E34" s="17" t="s">
        <v>837</v>
      </c>
      <c r="F34" s="20">
        <v>1954000</v>
      </c>
      <c r="G34" s="20">
        <f>F34*12</f>
        <v>23448000</v>
      </c>
      <c r="H34" s="113">
        <v>240</v>
      </c>
      <c r="I34" s="17">
        <f>H34*8</f>
        <v>1920</v>
      </c>
      <c r="J34" s="114">
        <f>I34*60</f>
        <v>115200</v>
      </c>
      <c r="K34" s="115">
        <f>G34/J34</f>
        <v>203.54166666666666</v>
      </c>
    </row>
    <row r="35" spans="2:11">
      <c r="J35" s="114"/>
    </row>
    <row r="36" spans="2:11">
      <c r="B36" s="17" t="s">
        <v>857</v>
      </c>
      <c r="C36" s="17" t="s">
        <v>858</v>
      </c>
      <c r="D36" s="17" t="s">
        <v>858</v>
      </c>
      <c r="E36" s="17" t="s">
        <v>859</v>
      </c>
      <c r="F36" s="20">
        <v>118000</v>
      </c>
      <c r="G36" s="20">
        <v>1416000</v>
      </c>
      <c r="H36" s="113">
        <v>240</v>
      </c>
      <c r="I36" s="17">
        <f>H36*8</f>
        <v>1920</v>
      </c>
      <c r="J36" s="114">
        <f>I36*60</f>
        <v>115200</v>
      </c>
      <c r="K36" s="22">
        <f>G36/J36</f>
        <v>12.291666666666666</v>
      </c>
    </row>
    <row r="37" spans="2:11">
      <c r="E37" s="17" t="s">
        <v>860</v>
      </c>
      <c r="F37" s="20">
        <v>3431000</v>
      </c>
      <c r="G37" s="20">
        <v>41172000</v>
      </c>
      <c r="H37" s="113">
        <v>240</v>
      </c>
      <c r="I37" s="17">
        <f>H37*8</f>
        <v>1920</v>
      </c>
      <c r="J37" s="114">
        <f>I37*60</f>
        <v>115200</v>
      </c>
      <c r="K37" s="115">
        <f>G37/J37</f>
        <v>357.39583333333331</v>
      </c>
    </row>
    <row r="38" spans="2:11">
      <c r="J38" s="114"/>
    </row>
    <row r="39" spans="2:11">
      <c r="B39" s="17" t="s">
        <v>861</v>
      </c>
      <c r="C39" s="17" t="s">
        <v>847</v>
      </c>
      <c r="D39" s="17" t="s">
        <v>848</v>
      </c>
      <c r="E39" s="17" t="s">
        <v>849</v>
      </c>
      <c r="F39" s="20">
        <v>10000</v>
      </c>
      <c r="G39" s="20">
        <f t="shared" ref="G39" si="4">F39*12</f>
        <v>120000</v>
      </c>
      <c r="H39" s="113">
        <v>240</v>
      </c>
      <c r="I39" s="17">
        <f>H39*8</f>
        <v>1920</v>
      </c>
      <c r="J39" s="114">
        <f>I39*60</f>
        <v>115200</v>
      </c>
      <c r="K39" s="22">
        <f>G39/J39</f>
        <v>1.0416666666666667</v>
      </c>
    </row>
    <row r="40" spans="2:11">
      <c r="E40" s="17" t="s">
        <v>850</v>
      </c>
      <c r="F40" s="20">
        <v>728000</v>
      </c>
      <c r="G40" s="20">
        <f>F40*12</f>
        <v>8736000</v>
      </c>
      <c r="H40" s="113">
        <v>240</v>
      </c>
      <c r="I40" s="17">
        <f>H40*8</f>
        <v>1920</v>
      </c>
      <c r="J40" s="114">
        <f>I40*60</f>
        <v>115200</v>
      </c>
      <c r="K40" s="115">
        <f>G40/J40</f>
        <v>75.833333333333329</v>
      </c>
    </row>
    <row r="42" spans="2:11">
      <c r="B42" s="17" t="s">
        <v>862</v>
      </c>
      <c r="C42" s="17" t="s">
        <v>835</v>
      </c>
      <c r="D42" s="17" t="s">
        <v>835</v>
      </c>
      <c r="E42" s="17" t="s">
        <v>836</v>
      </c>
      <c r="F42" s="20">
        <v>58000</v>
      </c>
      <c r="G42" s="20">
        <f t="shared" ref="G42" si="5">F42*12</f>
        <v>696000</v>
      </c>
      <c r="H42" s="113">
        <v>240</v>
      </c>
      <c r="I42" s="17">
        <f>H42*8</f>
        <v>1920</v>
      </c>
      <c r="J42" s="114">
        <f>I42*60</f>
        <v>115200</v>
      </c>
      <c r="K42" s="22">
        <f>G42/J42</f>
        <v>6.041666666666667</v>
      </c>
    </row>
    <row r="43" spans="2:11">
      <c r="E43" s="17" t="s">
        <v>837</v>
      </c>
      <c r="F43" s="20">
        <v>1974000</v>
      </c>
      <c r="G43" s="20">
        <f>F43*12</f>
        <v>23688000</v>
      </c>
      <c r="H43" s="113">
        <v>240</v>
      </c>
      <c r="I43" s="17">
        <f>H43*8</f>
        <v>1920</v>
      </c>
      <c r="J43" s="114">
        <f>I43*60</f>
        <v>115200</v>
      </c>
      <c r="K43" s="115">
        <f>G43/J43</f>
        <v>205.625</v>
      </c>
    </row>
    <row r="44" spans="2:11">
      <c r="J44" s="114"/>
    </row>
    <row r="45" spans="2:11">
      <c r="B45" s="17" t="s">
        <v>863</v>
      </c>
      <c r="C45" s="17" t="s">
        <v>864</v>
      </c>
      <c r="D45" s="17" t="s">
        <v>831</v>
      </c>
      <c r="E45" s="17" t="s">
        <v>832</v>
      </c>
      <c r="F45" s="20">
        <v>69000</v>
      </c>
      <c r="G45" s="20">
        <f t="shared" ref="G45" si="6">F45*12</f>
        <v>828000</v>
      </c>
      <c r="H45" s="113">
        <v>240</v>
      </c>
      <c r="I45" s="17">
        <f>H45*8</f>
        <v>1920</v>
      </c>
      <c r="J45" s="114">
        <f>I45*60</f>
        <v>115200</v>
      </c>
      <c r="K45" s="22">
        <f>G45/J45</f>
        <v>7.1875</v>
      </c>
    </row>
    <row r="46" spans="2:11">
      <c r="E46" s="17" t="s">
        <v>833</v>
      </c>
      <c r="F46" s="20">
        <v>2539000</v>
      </c>
      <c r="G46" s="20">
        <f>F46*12</f>
        <v>30468000</v>
      </c>
      <c r="H46" s="113">
        <v>240</v>
      </c>
      <c r="I46" s="17">
        <f>H46*8</f>
        <v>1920</v>
      </c>
      <c r="J46" s="114">
        <f>I46*60</f>
        <v>115200</v>
      </c>
      <c r="K46" s="115">
        <f>G46/J46</f>
        <v>264.47916666666669</v>
      </c>
    </row>
    <row r="47" spans="2:11">
      <c r="J47" s="114"/>
    </row>
    <row r="48" spans="2:11">
      <c r="B48" s="17" t="s">
        <v>865</v>
      </c>
      <c r="C48" s="17" t="s">
        <v>864</v>
      </c>
      <c r="D48" s="17" t="s">
        <v>831</v>
      </c>
      <c r="E48" s="17" t="s">
        <v>832</v>
      </c>
      <c r="F48" s="20">
        <v>69000</v>
      </c>
      <c r="G48" s="20">
        <f t="shared" ref="G48:G49" si="7">F48*12</f>
        <v>828000</v>
      </c>
      <c r="H48" s="113">
        <v>240</v>
      </c>
      <c r="I48" s="17">
        <f>H48*8</f>
        <v>1920</v>
      </c>
      <c r="J48" s="114">
        <f>I48*60</f>
        <v>115200</v>
      </c>
      <c r="K48" s="22">
        <f>G48/J48</f>
        <v>7.1875</v>
      </c>
    </row>
    <row r="49" spans="2:11">
      <c r="E49" s="17" t="s">
        <v>833</v>
      </c>
      <c r="F49" s="20">
        <v>2519000</v>
      </c>
      <c r="G49" s="20">
        <f t="shared" si="7"/>
        <v>30228000</v>
      </c>
      <c r="H49" s="113">
        <v>240</v>
      </c>
      <c r="I49" s="17">
        <f>H49*8</f>
        <v>1920</v>
      </c>
      <c r="J49" s="114">
        <f>I49*60</f>
        <v>115200</v>
      </c>
      <c r="K49" s="115">
        <f>G49/J49</f>
        <v>262.39583333333331</v>
      </c>
    </row>
    <row r="50" spans="2:11">
      <c r="J50" s="114"/>
    </row>
    <row r="51" spans="2:11">
      <c r="B51" s="17" t="s">
        <v>341</v>
      </c>
      <c r="C51" s="17" t="s">
        <v>866</v>
      </c>
      <c r="D51" s="17" t="s">
        <v>866</v>
      </c>
      <c r="E51" s="17" t="s">
        <v>867</v>
      </c>
      <c r="F51" s="20">
        <v>32000</v>
      </c>
      <c r="G51" s="20">
        <f t="shared" ref="G51:G52" si="8">F51*12</f>
        <v>384000</v>
      </c>
      <c r="H51" s="113">
        <v>240</v>
      </c>
      <c r="I51" s="17">
        <f>H51*8</f>
        <v>1920</v>
      </c>
      <c r="J51" s="114">
        <f>I51*60</f>
        <v>115200</v>
      </c>
      <c r="K51" s="22">
        <f>G51/J51</f>
        <v>3.3333333333333335</v>
      </c>
    </row>
    <row r="52" spans="2:11">
      <c r="E52" s="17" t="s">
        <v>868</v>
      </c>
      <c r="F52" s="20">
        <v>1451000</v>
      </c>
      <c r="G52" s="20">
        <f t="shared" si="8"/>
        <v>17412000</v>
      </c>
      <c r="H52" s="113">
        <v>240</v>
      </c>
      <c r="I52" s="17">
        <f>H52*8</f>
        <v>1920</v>
      </c>
      <c r="J52" s="114">
        <f>I52*60</f>
        <v>115200</v>
      </c>
      <c r="K52" s="115">
        <f>G52/J52</f>
        <v>151.14583333333334</v>
      </c>
    </row>
    <row r="54" spans="2:11">
      <c r="B54" s="17" t="s">
        <v>343</v>
      </c>
      <c r="C54" s="17" t="s">
        <v>869</v>
      </c>
      <c r="D54" s="17" t="s">
        <v>870</v>
      </c>
      <c r="E54" s="17" t="s">
        <v>871</v>
      </c>
      <c r="F54" s="20">
        <v>110000</v>
      </c>
      <c r="G54" s="20">
        <v>1320000</v>
      </c>
      <c r="H54" s="113">
        <v>240</v>
      </c>
      <c r="I54" s="17">
        <f>H54*8</f>
        <v>1920</v>
      </c>
      <c r="J54" s="114">
        <f>I54*60</f>
        <v>115200</v>
      </c>
      <c r="K54" s="22">
        <f>G54/J54</f>
        <v>11.458333333333334</v>
      </c>
    </row>
    <row r="55" spans="2:11">
      <c r="E55" s="17" t="s">
        <v>872</v>
      </c>
      <c r="F55" s="20">
        <v>2975000</v>
      </c>
      <c r="G55" s="20">
        <f t="shared" ref="G55" si="9">F55*12</f>
        <v>35700000</v>
      </c>
      <c r="H55" s="113">
        <v>240</v>
      </c>
      <c r="I55" s="17">
        <f>H55*8</f>
        <v>1920</v>
      </c>
      <c r="J55" s="114">
        <f>I55*60</f>
        <v>115200</v>
      </c>
      <c r="K55" s="115">
        <f>G55/J55</f>
        <v>309.89583333333331</v>
      </c>
    </row>
    <row r="56" spans="2:11">
      <c r="J56" s="114"/>
    </row>
    <row r="57" spans="2:11">
      <c r="B57" s="17" t="s">
        <v>863</v>
      </c>
      <c r="C57" s="17" t="s">
        <v>864</v>
      </c>
      <c r="D57" s="17" t="s">
        <v>831</v>
      </c>
      <c r="E57" s="17" t="s">
        <v>832</v>
      </c>
      <c r="F57" s="20">
        <v>69000</v>
      </c>
      <c r="G57" s="20">
        <f t="shared" ref="G57" si="10">F57*12</f>
        <v>828000</v>
      </c>
      <c r="H57" s="113">
        <v>240</v>
      </c>
      <c r="I57" s="17">
        <f>H57*8</f>
        <v>1920</v>
      </c>
      <c r="J57" s="114">
        <f>I57*60</f>
        <v>115200</v>
      </c>
      <c r="K57" s="22">
        <f>G57/J57</f>
        <v>7.1875</v>
      </c>
    </row>
    <row r="58" spans="2:11">
      <c r="E58" s="17" t="s">
        <v>833</v>
      </c>
      <c r="F58" s="20">
        <v>2539000</v>
      </c>
      <c r="G58" s="20">
        <f>F58*12</f>
        <v>30468000</v>
      </c>
      <c r="H58" s="113">
        <v>240</v>
      </c>
      <c r="I58" s="17">
        <f>H58*8</f>
        <v>1920</v>
      </c>
      <c r="J58" s="114">
        <f>I58*60</f>
        <v>115200</v>
      </c>
      <c r="K58" s="115">
        <f>G58/J58</f>
        <v>264.47916666666669</v>
      </c>
    </row>
    <row r="59" spans="2:11">
      <c r="J59" s="114"/>
    </row>
    <row r="60" spans="2:11">
      <c r="J60" s="114"/>
    </row>
    <row r="61" spans="2:11">
      <c r="J61" s="114"/>
    </row>
    <row r="62" spans="2:11">
      <c r="J62" s="114"/>
    </row>
    <row r="63" spans="2:11">
      <c r="J63" s="114"/>
    </row>
    <row r="64" spans="2:11">
      <c r="J64" s="114"/>
    </row>
    <row r="65" spans="1:11">
      <c r="J65" s="114"/>
    </row>
    <row r="66" spans="1:11" s="89" customFormat="1">
      <c r="B66" s="89" t="s">
        <v>873</v>
      </c>
      <c r="E66" s="89" t="s">
        <v>874</v>
      </c>
      <c r="F66" s="89" t="s">
        <v>875</v>
      </c>
      <c r="G66" s="89" t="s">
        <v>876</v>
      </c>
    </row>
    <row r="67" spans="1:11">
      <c r="A67" s="17" t="s">
        <v>877</v>
      </c>
      <c r="B67" s="17" t="s">
        <v>336</v>
      </c>
      <c r="C67" s="20"/>
      <c r="D67" s="20"/>
      <c r="E67" s="20">
        <v>23123.33</v>
      </c>
      <c r="F67" s="20">
        <f>E67*$A$68</f>
        <v>457841.93400000007</v>
      </c>
      <c r="G67" s="20">
        <f>F67*12</f>
        <v>5494103.2080000006</v>
      </c>
      <c r="H67" s="113">
        <v>240</v>
      </c>
      <c r="I67" s="17">
        <f>H67*8</f>
        <v>1920</v>
      </c>
      <c r="J67" s="114">
        <f>I67*60</f>
        <v>115200</v>
      </c>
      <c r="K67" s="115">
        <f>G67/J67</f>
        <v>47.691868125000006</v>
      </c>
    </row>
    <row r="68" spans="1:11">
      <c r="A68" s="116">
        <v>19.8</v>
      </c>
      <c r="B68" s="17" t="s">
        <v>337</v>
      </c>
      <c r="C68" s="20"/>
      <c r="D68" s="20"/>
      <c r="E68" s="20">
        <v>32455.25</v>
      </c>
      <c r="F68" s="20">
        <f t="shared" ref="F68:F81" si="11">E68*$A$68</f>
        <v>642613.95000000007</v>
      </c>
      <c r="G68" s="20">
        <f t="shared" ref="G68:G81" si="12">F68*12</f>
        <v>7711367.4000000004</v>
      </c>
      <c r="H68" s="113">
        <v>241</v>
      </c>
      <c r="I68" s="17">
        <f t="shared" ref="I68:I81" si="13">H68*8</f>
        <v>1928</v>
      </c>
      <c r="J68" s="114">
        <f t="shared" ref="J68:J81" si="14">I68*60</f>
        <v>115680</v>
      </c>
      <c r="K68" s="115">
        <f t="shared" ref="K68:K81" si="15">G68/J68</f>
        <v>66.661198132780086</v>
      </c>
    </row>
    <row r="69" spans="1:11">
      <c r="B69" s="17" t="s">
        <v>878</v>
      </c>
      <c r="C69" s="20"/>
      <c r="D69" s="20"/>
      <c r="E69" s="20">
        <v>20563.25</v>
      </c>
      <c r="F69" s="20">
        <f t="shared" si="11"/>
        <v>407152.35000000003</v>
      </c>
      <c r="G69" s="20">
        <f t="shared" si="12"/>
        <v>4885828.2</v>
      </c>
      <c r="H69" s="113">
        <v>242</v>
      </c>
      <c r="I69" s="17">
        <f t="shared" si="13"/>
        <v>1936</v>
      </c>
      <c r="J69" s="114">
        <f t="shared" si="14"/>
        <v>116160</v>
      </c>
      <c r="K69" s="115">
        <f t="shared" si="15"/>
        <v>42.061193181818183</v>
      </c>
    </row>
    <row r="70" spans="1:11">
      <c r="B70" s="17" t="s">
        <v>879</v>
      </c>
      <c r="C70" s="20"/>
      <c r="D70" s="20"/>
      <c r="E70" s="20">
        <v>33033.33</v>
      </c>
      <c r="F70" s="20">
        <f t="shared" si="11"/>
        <v>654059.93400000001</v>
      </c>
      <c r="G70" s="20">
        <f t="shared" si="12"/>
        <v>7848719.2080000006</v>
      </c>
      <c r="H70" s="113">
        <v>243</v>
      </c>
      <c r="I70" s="17">
        <f t="shared" si="13"/>
        <v>1944</v>
      </c>
      <c r="J70" s="114">
        <f t="shared" si="14"/>
        <v>116640</v>
      </c>
      <c r="K70" s="115">
        <f t="shared" si="15"/>
        <v>67.290116666666677</v>
      </c>
    </row>
    <row r="71" spans="1:11">
      <c r="B71" s="17" t="s">
        <v>880</v>
      </c>
      <c r="C71" s="20"/>
      <c r="D71" s="20"/>
      <c r="E71" s="20">
        <v>19169.440000000002</v>
      </c>
      <c r="F71" s="20">
        <f t="shared" si="11"/>
        <v>379554.91200000007</v>
      </c>
      <c r="G71" s="20">
        <f t="shared" si="12"/>
        <v>4554658.9440000011</v>
      </c>
      <c r="H71" s="113">
        <v>244</v>
      </c>
      <c r="I71" s="17">
        <f t="shared" si="13"/>
        <v>1952</v>
      </c>
      <c r="J71" s="114">
        <f t="shared" si="14"/>
        <v>117120</v>
      </c>
      <c r="K71" s="115">
        <f t="shared" si="15"/>
        <v>38.88882295081968</v>
      </c>
    </row>
    <row r="72" spans="1:11">
      <c r="B72" s="17" t="s">
        <v>881</v>
      </c>
      <c r="C72" s="20"/>
      <c r="D72" s="20"/>
      <c r="E72" s="20">
        <v>15249.09</v>
      </c>
      <c r="F72" s="20">
        <f t="shared" si="11"/>
        <v>301931.98200000002</v>
      </c>
      <c r="G72" s="20">
        <f t="shared" si="12"/>
        <v>3623183.784</v>
      </c>
      <c r="H72" s="113">
        <v>245</v>
      </c>
      <c r="I72" s="17">
        <f t="shared" si="13"/>
        <v>1960</v>
      </c>
      <c r="J72" s="114">
        <f t="shared" si="14"/>
        <v>117600</v>
      </c>
      <c r="K72" s="115">
        <f t="shared" si="15"/>
        <v>30.809385918367347</v>
      </c>
    </row>
    <row r="73" spans="1:11">
      <c r="B73" s="17" t="s">
        <v>882</v>
      </c>
      <c r="C73" s="20"/>
      <c r="D73" s="20"/>
      <c r="E73" s="20">
        <v>40097.25</v>
      </c>
      <c r="F73" s="20">
        <f t="shared" si="11"/>
        <v>793925.55</v>
      </c>
      <c r="G73" s="20">
        <f t="shared" si="12"/>
        <v>9527106.6000000015</v>
      </c>
      <c r="H73" s="113">
        <v>246</v>
      </c>
      <c r="I73" s="17">
        <f t="shared" si="13"/>
        <v>1968</v>
      </c>
      <c r="J73" s="114">
        <f t="shared" si="14"/>
        <v>118080</v>
      </c>
      <c r="K73" s="115">
        <f t="shared" si="15"/>
        <v>80.683490853658554</v>
      </c>
    </row>
    <row r="74" spans="1:11">
      <c r="B74" s="17" t="s">
        <v>883</v>
      </c>
      <c r="C74" s="20"/>
      <c r="D74" s="20"/>
      <c r="E74" s="20">
        <v>25352.43</v>
      </c>
      <c r="F74" s="20">
        <f t="shared" si="11"/>
        <v>501978.114</v>
      </c>
      <c r="G74" s="20">
        <f t="shared" si="12"/>
        <v>6023737.3679999998</v>
      </c>
      <c r="H74" s="113">
        <v>247</v>
      </c>
      <c r="I74" s="17">
        <f t="shared" si="13"/>
        <v>1976</v>
      </c>
      <c r="J74" s="114">
        <f t="shared" si="14"/>
        <v>118560</v>
      </c>
      <c r="K74" s="115">
        <f t="shared" si="15"/>
        <v>50.807501417004048</v>
      </c>
    </row>
    <row r="75" spans="1:11">
      <c r="B75" s="17" t="s">
        <v>884</v>
      </c>
      <c r="C75" s="20"/>
      <c r="D75" s="20"/>
      <c r="E75" s="20">
        <v>15725.46</v>
      </c>
      <c r="F75" s="20">
        <f t="shared" si="11"/>
        <v>311364.10800000001</v>
      </c>
      <c r="G75" s="20">
        <f t="shared" si="12"/>
        <v>3736369.2960000001</v>
      </c>
      <c r="H75" s="113">
        <v>248</v>
      </c>
      <c r="I75" s="17">
        <f t="shared" si="13"/>
        <v>1984</v>
      </c>
      <c r="J75" s="114">
        <f t="shared" si="14"/>
        <v>119040</v>
      </c>
      <c r="K75" s="115">
        <f t="shared" si="15"/>
        <v>31.387510887096774</v>
      </c>
    </row>
    <row r="76" spans="1:11">
      <c r="B76" s="17" t="s">
        <v>885</v>
      </c>
      <c r="C76" s="20"/>
      <c r="D76" s="20"/>
      <c r="E76" s="20">
        <v>8343.380000000001</v>
      </c>
      <c r="F76" s="20">
        <f t="shared" si="11"/>
        <v>165198.92400000003</v>
      </c>
      <c r="G76" s="20">
        <f t="shared" si="12"/>
        <v>1982387.0880000005</v>
      </c>
      <c r="H76" s="113">
        <v>249</v>
      </c>
      <c r="I76" s="17">
        <f t="shared" si="13"/>
        <v>1992</v>
      </c>
      <c r="J76" s="114">
        <f t="shared" si="14"/>
        <v>119520</v>
      </c>
      <c r="K76" s="115">
        <f t="shared" si="15"/>
        <v>16.586237349397596</v>
      </c>
    </row>
    <row r="77" spans="1:11">
      <c r="B77" s="17" t="s">
        <v>886</v>
      </c>
      <c r="C77" s="20"/>
      <c r="D77" s="20"/>
      <c r="E77" s="20">
        <v>22834.17</v>
      </c>
      <c r="F77" s="20">
        <f t="shared" si="11"/>
        <v>452116.56599999999</v>
      </c>
      <c r="G77" s="20">
        <f t="shared" si="12"/>
        <v>5425398.7919999994</v>
      </c>
      <c r="H77" s="113">
        <v>250</v>
      </c>
      <c r="I77" s="17">
        <f t="shared" si="13"/>
        <v>2000</v>
      </c>
      <c r="J77" s="114">
        <f t="shared" si="14"/>
        <v>120000</v>
      </c>
      <c r="K77" s="115">
        <f t="shared" si="15"/>
        <v>45.211656599999998</v>
      </c>
    </row>
    <row r="78" spans="1:11">
      <c r="B78" s="17" t="s">
        <v>887</v>
      </c>
      <c r="C78" s="20"/>
      <c r="D78" s="20"/>
      <c r="E78" s="20">
        <v>21067.559999999998</v>
      </c>
      <c r="F78" s="20">
        <f t="shared" si="11"/>
        <v>417137.68799999997</v>
      </c>
      <c r="G78" s="20">
        <f t="shared" si="12"/>
        <v>5005652.2559999991</v>
      </c>
      <c r="H78" s="113">
        <v>251</v>
      </c>
      <c r="I78" s="17">
        <f t="shared" si="13"/>
        <v>2008</v>
      </c>
      <c r="J78" s="114">
        <f t="shared" si="14"/>
        <v>120480</v>
      </c>
      <c r="K78" s="115">
        <f t="shared" si="15"/>
        <v>41.54757848605577</v>
      </c>
    </row>
    <row r="79" spans="1:11">
      <c r="B79" s="17" t="s">
        <v>888</v>
      </c>
      <c r="C79" s="20"/>
      <c r="D79" s="20"/>
      <c r="E79" s="20">
        <v>15441.7</v>
      </c>
      <c r="F79" s="20">
        <f t="shared" si="11"/>
        <v>305745.66000000003</v>
      </c>
      <c r="G79" s="20">
        <f t="shared" si="12"/>
        <v>3668947.9200000004</v>
      </c>
      <c r="H79" s="113">
        <v>252</v>
      </c>
      <c r="I79" s="17">
        <f t="shared" si="13"/>
        <v>2016</v>
      </c>
      <c r="J79" s="114">
        <f t="shared" si="14"/>
        <v>120960</v>
      </c>
      <c r="K79" s="115">
        <f t="shared" si="15"/>
        <v>30.331910714285719</v>
      </c>
    </row>
    <row r="80" spans="1:11">
      <c r="B80" s="17" t="s">
        <v>889</v>
      </c>
      <c r="C80" s="20"/>
      <c r="D80" s="20"/>
      <c r="E80" s="20">
        <v>18594.169999999998</v>
      </c>
      <c r="F80" s="20">
        <f t="shared" si="11"/>
        <v>368164.56599999999</v>
      </c>
      <c r="G80" s="20">
        <f t="shared" si="12"/>
        <v>4417974.7919999994</v>
      </c>
      <c r="H80" s="113">
        <v>253</v>
      </c>
      <c r="I80" s="17">
        <f t="shared" si="13"/>
        <v>2024</v>
      </c>
      <c r="J80" s="114">
        <f t="shared" si="14"/>
        <v>121440</v>
      </c>
      <c r="K80" s="115">
        <f t="shared" si="15"/>
        <v>36.379897826086953</v>
      </c>
    </row>
    <row r="81" spans="2:11">
      <c r="B81" s="17" t="s">
        <v>890</v>
      </c>
      <c r="C81" s="20"/>
      <c r="D81" s="20"/>
      <c r="E81" s="20">
        <v>13302.06</v>
      </c>
      <c r="F81" s="20">
        <f t="shared" si="11"/>
        <v>263380.788</v>
      </c>
      <c r="G81" s="20">
        <f t="shared" si="12"/>
        <v>3160569.4560000002</v>
      </c>
      <c r="H81" s="113">
        <v>254</v>
      </c>
      <c r="I81" s="17">
        <f t="shared" si="13"/>
        <v>2032</v>
      </c>
      <c r="J81" s="114">
        <f t="shared" si="14"/>
        <v>121920</v>
      </c>
      <c r="K81" s="115">
        <f t="shared" si="15"/>
        <v>25.923305905511814</v>
      </c>
    </row>
  </sheetData>
  <mergeCells count="3">
    <mergeCell ref="A1:G1"/>
    <mergeCell ref="A2:G2"/>
    <mergeCell ref="H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2158-9FF0-42FB-B261-73D9A71C93F7}">
  <dimension ref="A1:H43"/>
  <sheetViews>
    <sheetView topLeftCell="A45" workbookViewId="0">
      <selection activeCell="K16" sqref="K16"/>
    </sheetView>
  </sheetViews>
  <sheetFormatPr baseColWidth="10" defaultColWidth="8.83203125" defaultRowHeight="15"/>
  <cols>
    <col min="1" max="1" width="8.1640625" customWidth="1"/>
    <col min="2" max="2" width="45.33203125" customWidth="1"/>
    <col min="3" max="8" width="15.83203125" customWidth="1"/>
  </cols>
  <sheetData>
    <row r="1" spans="1:8">
      <c r="A1" s="191" t="s">
        <v>891</v>
      </c>
      <c r="B1" s="191"/>
      <c r="C1" s="191"/>
      <c r="D1" s="191"/>
      <c r="E1" s="118"/>
      <c r="F1" s="119"/>
      <c r="G1" s="118"/>
      <c r="H1" s="119"/>
    </row>
    <row r="2" spans="1:8" ht="25" customHeight="1">
      <c r="A2" s="192" t="s">
        <v>892</v>
      </c>
      <c r="B2" s="193"/>
      <c r="C2" s="193"/>
      <c r="D2" s="193"/>
      <c r="E2" s="118"/>
      <c r="F2" s="119"/>
      <c r="G2" s="118"/>
      <c r="H2" s="119"/>
    </row>
    <row r="3" spans="1:8">
      <c r="A3" s="117"/>
      <c r="B3" s="117"/>
      <c r="C3" s="117"/>
      <c r="D3" s="117"/>
      <c r="E3" s="194" t="s">
        <v>893</v>
      </c>
      <c r="F3" s="195"/>
      <c r="G3" s="120" t="s">
        <v>811</v>
      </c>
      <c r="H3" s="119"/>
    </row>
    <row r="4" spans="1:8" ht="57">
      <c r="A4" s="121"/>
      <c r="B4" s="121" t="s">
        <v>894</v>
      </c>
      <c r="C4" s="122" t="s">
        <v>895</v>
      </c>
      <c r="D4" s="122" t="s">
        <v>896</v>
      </c>
      <c r="E4" s="123" t="s">
        <v>897</v>
      </c>
      <c r="F4" s="124" t="s">
        <v>898</v>
      </c>
      <c r="G4" s="125" t="s">
        <v>899</v>
      </c>
      <c r="H4" s="121"/>
    </row>
    <row r="5" spans="1:8">
      <c r="A5" s="17">
        <v>1</v>
      </c>
      <c r="B5" s="17" t="s">
        <v>368</v>
      </c>
      <c r="C5" s="126">
        <v>66699500</v>
      </c>
      <c r="D5" s="126">
        <f>C5*0.125</f>
        <v>8337437.5</v>
      </c>
      <c r="E5" s="127">
        <f>292*19</f>
        <v>5548</v>
      </c>
      <c r="F5" s="88">
        <f>E5*60</f>
        <v>332880</v>
      </c>
      <c r="G5" s="128">
        <f>D5/F5</f>
        <v>25.046375570776256</v>
      </c>
      <c r="H5" s="17"/>
    </row>
    <row r="6" spans="1:8">
      <c r="A6" s="17">
        <v>2</v>
      </c>
      <c r="B6" s="17" t="s">
        <v>369</v>
      </c>
      <c r="C6" s="126">
        <v>12435500</v>
      </c>
      <c r="D6" s="126">
        <f t="shared" ref="D6:D16" si="0">C6*0.125</f>
        <v>1554437.5</v>
      </c>
      <c r="E6" s="127">
        <f t="shared" ref="E6:E16" si="1">292*19</f>
        <v>5548</v>
      </c>
      <c r="F6" s="88">
        <f t="shared" ref="F6:F16" si="2">E6*60</f>
        <v>332880</v>
      </c>
      <c r="G6" s="128">
        <f t="shared" ref="G6:G16" si="3">D6/F6</f>
        <v>4.6696632420091326</v>
      </c>
      <c r="H6" s="17"/>
    </row>
    <row r="7" spans="1:8">
      <c r="A7" s="17">
        <v>3</v>
      </c>
      <c r="B7" s="17" t="s">
        <v>370</v>
      </c>
      <c r="C7" s="126">
        <v>6300000</v>
      </c>
      <c r="D7" s="126">
        <f t="shared" si="0"/>
        <v>787500</v>
      </c>
      <c r="E7" s="127">
        <f t="shared" si="1"/>
        <v>5548</v>
      </c>
      <c r="F7" s="88">
        <f t="shared" si="2"/>
        <v>332880</v>
      </c>
      <c r="G7" s="128">
        <f t="shared" si="3"/>
        <v>2.365717375630858</v>
      </c>
      <c r="H7" s="17"/>
    </row>
    <row r="8" spans="1:8">
      <c r="A8" s="17">
        <v>4</v>
      </c>
      <c r="B8" s="17" t="s">
        <v>371</v>
      </c>
      <c r="C8" s="126">
        <v>6500000</v>
      </c>
      <c r="D8" s="126">
        <f t="shared" si="0"/>
        <v>812500</v>
      </c>
      <c r="E8" s="127">
        <f t="shared" si="1"/>
        <v>5548</v>
      </c>
      <c r="F8" s="88">
        <f t="shared" si="2"/>
        <v>332880</v>
      </c>
      <c r="G8" s="128">
        <f t="shared" si="3"/>
        <v>2.4408195145397742</v>
      </c>
      <c r="H8" s="17"/>
    </row>
    <row r="9" spans="1:8">
      <c r="A9" s="17">
        <v>5</v>
      </c>
      <c r="B9" s="17" t="s">
        <v>372</v>
      </c>
      <c r="C9" s="126">
        <v>100000</v>
      </c>
      <c r="D9" s="126">
        <f t="shared" si="0"/>
        <v>12500</v>
      </c>
      <c r="E9" s="127">
        <f t="shared" si="1"/>
        <v>5548</v>
      </c>
      <c r="F9" s="88">
        <f t="shared" si="2"/>
        <v>332880</v>
      </c>
      <c r="G9" s="128">
        <f t="shared" si="3"/>
        <v>3.7551069454458061E-2</v>
      </c>
      <c r="H9" s="17"/>
    </row>
    <row r="10" spans="1:8">
      <c r="A10" s="17">
        <v>6</v>
      </c>
      <c r="B10" s="17" t="s">
        <v>373</v>
      </c>
      <c r="C10" s="126">
        <v>910000</v>
      </c>
      <c r="D10" s="126">
        <f t="shared" si="0"/>
        <v>113750</v>
      </c>
      <c r="E10" s="127">
        <f t="shared" si="1"/>
        <v>5548</v>
      </c>
      <c r="F10" s="88">
        <f t="shared" si="2"/>
        <v>332880</v>
      </c>
      <c r="G10" s="128">
        <f t="shared" si="3"/>
        <v>0.34171473203556835</v>
      </c>
      <c r="H10" s="17"/>
    </row>
    <row r="11" spans="1:8">
      <c r="A11" s="17">
        <v>7</v>
      </c>
      <c r="B11" s="17" t="s">
        <v>374</v>
      </c>
      <c r="C11" s="126">
        <v>9044000</v>
      </c>
      <c r="D11" s="126">
        <f t="shared" si="0"/>
        <v>1130500</v>
      </c>
      <c r="E11" s="127">
        <f t="shared" si="1"/>
        <v>5548</v>
      </c>
      <c r="F11" s="88">
        <f t="shared" si="2"/>
        <v>332880</v>
      </c>
      <c r="G11" s="128">
        <f t="shared" si="3"/>
        <v>3.3961187214611872</v>
      </c>
      <c r="H11" s="17"/>
    </row>
    <row r="12" spans="1:8">
      <c r="A12" s="17">
        <v>8</v>
      </c>
      <c r="B12" s="17" t="s">
        <v>375</v>
      </c>
      <c r="C12" s="126">
        <v>2170000</v>
      </c>
      <c r="D12" s="126">
        <f t="shared" si="0"/>
        <v>271250</v>
      </c>
      <c r="E12" s="127">
        <f t="shared" si="1"/>
        <v>5548</v>
      </c>
      <c r="F12" s="88">
        <f t="shared" si="2"/>
        <v>332880</v>
      </c>
      <c r="G12" s="128">
        <f t="shared" si="3"/>
        <v>0.81485820716173996</v>
      </c>
      <c r="H12" s="17"/>
    </row>
    <row r="13" spans="1:8">
      <c r="A13" s="17">
        <v>9</v>
      </c>
      <c r="B13" s="17" t="s">
        <v>376</v>
      </c>
      <c r="C13" s="126">
        <v>2000000</v>
      </c>
      <c r="D13" s="126">
        <f t="shared" si="0"/>
        <v>250000</v>
      </c>
      <c r="E13" s="127">
        <f t="shared" si="1"/>
        <v>5548</v>
      </c>
      <c r="F13" s="88">
        <f t="shared" si="2"/>
        <v>332880</v>
      </c>
      <c r="G13" s="128">
        <f t="shared" si="3"/>
        <v>0.75102138908916127</v>
      </c>
      <c r="H13" s="17"/>
    </row>
    <row r="14" spans="1:8">
      <c r="A14" s="17">
        <v>10</v>
      </c>
      <c r="B14" s="17" t="s">
        <v>378</v>
      </c>
      <c r="C14" s="126">
        <v>2500000</v>
      </c>
      <c r="D14" s="126">
        <f t="shared" si="0"/>
        <v>312500</v>
      </c>
      <c r="E14" s="127">
        <f t="shared" si="1"/>
        <v>5548</v>
      </c>
      <c r="F14" s="88">
        <f t="shared" si="2"/>
        <v>332880</v>
      </c>
      <c r="G14" s="128">
        <f t="shared" si="3"/>
        <v>0.93877673636145154</v>
      </c>
      <c r="H14" s="17"/>
    </row>
    <row r="15" spans="1:8">
      <c r="A15" s="17">
        <v>11</v>
      </c>
      <c r="B15" s="39" t="s">
        <v>377</v>
      </c>
      <c r="C15" s="126">
        <v>7020000</v>
      </c>
      <c r="D15" s="126">
        <f t="shared" si="0"/>
        <v>877500</v>
      </c>
      <c r="E15" s="127">
        <f t="shared" si="1"/>
        <v>5548</v>
      </c>
      <c r="F15" s="88">
        <f t="shared" si="2"/>
        <v>332880</v>
      </c>
      <c r="G15" s="128">
        <f t="shared" si="3"/>
        <v>2.6360850757029559</v>
      </c>
      <c r="H15" s="17"/>
    </row>
    <row r="16" spans="1:8">
      <c r="A16" s="17">
        <v>12</v>
      </c>
      <c r="B16" s="17"/>
      <c r="C16" s="126">
        <v>0</v>
      </c>
      <c r="D16" s="126">
        <f t="shared" si="0"/>
        <v>0</v>
      </c>
      <c r="E16" s="127">
        <f t="shared" si="1"/>
        <v>5548</v>
      </c>
      <c r="F16" s="88">
        <f t="shared" si="2"/>
        <v>332880</v>
      </c>
      <c r="G16" s="128">
        <f t="shared" si="3"/>
        <v>0</v>
      </c>
      <c r="H16" s="17"/>
    </row>
    <row r="17" spans="1:8">
      <c r="A17" s="129"/>
      <c r="B17" s="129"/>
      <c r="C17" s="129"/>
      <c r="D17" s="130"/>
      <c r="E17" s="130"/>
      <c r="F17" s="129"/>
      <c r="G17" s="129"/>
      <c r="H17" s="129"/>
    </row>
    <row r="18" spans="1:8">
      <c r="A18" s="129"/>
      <c r="B18" s="129"/>
      <c r="C18" s="129"/>
      <c r="D18" s="130"/>
      <c r="E18" s="130"/>
      <c r="F18" s="129"/>
      <c r="G18" s="129"/>
      <c r="H18" s="129"/>
    </row>
    <row r="19" spans="1:8">
      <c r="A19" s="129"/>
      <c r="B19" s="129"/>
      <c r="C19" s="129"/>
      <c r="D19" s="129"/>
      <c r="E19" s="129"/>
      <c r="F19" s="129"/>
      <c r="G19" s="129"/>
      <c r="H19" s="129"/>
    </row>
    <row r="20" spans="1:8">
      <c r="A20" s="191" t="s">
        <v>891</v>
      </c>
      <c r="B20" s="191"/>
      <c r="C20" s="191"/>
      <c r="D20" s="191"/>
      <c r="E20" s="118"/>
      <c r="F20" s="119"/>
      <c r="G20" s="118"/>
      <c r="H20" s="119"/>
    </row>
    <row r="21" spans="1:8" ht="28" customHeight="1">
      <c r="A21" s="196" t="s">
        <v>900</v>
      </c>
      <c r="B21" s="197"/>
      <c r="C21" s="197"/>
      <c r="D21" s="197"/>
      <c r="E21" s="132"/>
      <c r="F21" s="133"/>
      <c r="G21" s="134"/>
      <c r="H21" s="119"/>
    </row>
    <row r="22" spans="1:8" ht="16">
      <c r="A22" s="135"/>
      <c r="B22" s="135"/>
      <c r="C22" s="135"/>
      <c r="D22" s="131"/>
      <c r="E22" s="190" t="s">
        <v>901</v>
      </c>
      <c r="F22" s="190"/>
      <c r="G22" s="136" t="s">
        <v>811</v>
      </c>
      <c r="H22" s="137"/>
    </row>
    <row r="23" spans="1:8" ht="43">
      <c r="A23" s="138"/>
      <c r="B23" s="139" t="s">
        <v>902</v>
      </c>
      <c r="C23" s="140" t="s">
        <v>895</v>
      </c>
      <c r="D23" s="141" t="s">
        <v>903</v>
      </c>
      <c r="E23" s="123" t="s">
        <v>897</v>
      </c>
      <c r="F23" s="124" t="s">
        <v>898</v>
      </c>
      <c r="G23" s="125" t="s">
        <v>899</v>
      </c>
    </row>
    <row r="24" spans="1:8">
      <c r="A24" s="17">
        <v>1</v>
      </c>
      <c r="B24" s="17" t="s">
        <v>379</v>
      </c>
      <c r="C24" s="126">
        <v>2803350</v>
      </c>
      <c r="D24" s="126">
        <f>C24*0.2</f>
        <v>560670</v>
      </c>
      <c r="E24" s="127">
        <f>292*19</f>
        <v>5548</v>
      </c>
      <c r="F24" s="88">
        <f>E24*60</f>
        <v>332880</v>
      </c>
      <c r="G24" s="128">
        <f>D24/F24</f>
        <v>1.6843006488824801</v>
      </c>
    </row>
    <row r="25" spans="1:8">
      <c r="A25" s="17">
        <v>2</v>
      </c>
      <c r="B25" s="17" t="s">
        <v>380</v>
      </c>
      <c r="C25" s="126">
        <v>20000</v>
      </c>
      <c r="D25" s="126">
        <f t="shared" ref="D25:D43" si="4">C25*0.2</f>
        <v>4000</v>
      </c>
      <c r="E25" s="127">
        <f t="shared" ref="E25:E43" si="5">292*19</f>
        <v>5548</v>
      </c>
      <c r="F25" s="88">
        <f t="shared" ref="F25:F43" si="6">E25*60</f>
        <v>332880</v>
      </c>
      <c r="G25" s="128">
        <f t="shared" ref="G25:G43" si="7">D25/F25</f>
        <v>1.2016342225426579E-2</v>
      </c>
    </row>
    <row r="26" spans="1:8">
      <c r="A26" s="17">
        <v>3</v>
      </c>
      <c r="B26" s="17" t="s">
        <v>381</v>
      </c>
      <c r="C26" s="126">
        <v>150000</v>
      </c>
      <c r="D26" s="126">
        <f t="shared" si="4"/>
        <v>30000</v>
      </c>
      <c r="E26" s="127">
        <f t="shared" si="5"/>
        <v>5548</v>
      </c>
      <c r="F26" s="88">
        <f t="shared" si="6"/>
        <v>332880</v>
      </c>
      <c r="G26" s="128">
        <f t="shared" si="7"/>
        <v>9.0122566690699346E-2</v>
      </c>
    </row>
    <row r="27" spans="1:8">
      <c r="A27" s="17">
        <v>4</v>
      </c>
      <c r="B27" s="17" t="s">
        <v>382</v>
      </c>
      <c r="C27" s="126">
        <v>910000</v>
      </c>
      <c r="D27" s="126">
        <f t="shared" si="4"/>
        <v>182000</v>
      </c>
      <c r="E27" s="127">
        <f t="shared" si="5"/>
        <v>5548</v>
      </c>
      <c r="F27" s="88">
        <f t="shared" si="6"/>
        <v>332880</v>
      </c>
      <c r="G27" s="128">
        <f t="shared" si="7"/>
        <v>0.54674357125690942</v>
      </c>
    </row>
    <row r="28" spans="1:8">
      <c r="A28" s="17">
        <v>5</v>
      </c>
      <c r="B28" s="17" t="s">
        <v>383</v>
      </c>
      <c r="C28" s="126">
        <v>840000</v>
      </c>
      <c r="D28" s="126">
        <f t="shared" si="4"/>
        <v>168000</v>
      </c>
      <c r="E28" s="127">
        <f t="shared" si="5"/>
        <v>5548</v>
      </c>
      <c r="F28" s="88">
        <f t="shared" si="6"/>
        <v>332880</v>
      </c>
      <c r="G28" s="128">
        <f t="shared" si="7"/>
        <v>0.50468637346791634</v>
      </c>
    </row>
    <row r="29" spans="1:8">
      <c r="A29" s="17">
        <v>6</v>
      </c>
      <c r="B29" s="17" t="s">
        <v>384</v>
      </c>
      <c r="C29" s="126">
        <v>2500000</v>
      </c>
      <c r="D29" s="126">
        <f t="shared" si="4"/>
        <v>500000</v>
      </c>
      <c r="E29" s="127">
        <f t="shared" si="5"/>
        <v>5548</v>
      </c>
      <c r="F29" s="88">
        <f t="shared" si="6"/>
        <v>332880</v>
      </c>
      <c r="G29" s="128">
        <f t="shared" si="7"/>
        <v>1.5020427781783225</v>
      </c>
    </row>
    <row r="30" spans="1:8">
      <c r="A30" s="17">
        <v>7</v>
      </c>
      <c r="B30" s="17" t="s">
        <v>385</v>
      </c>
      <c r="C30" s="126">
        <v>1084800</v>
      </c>
      <c r="D30" s="126">
        <f t="shared" si="4"/>
        <v>216960</v>
      </c>
      <c r="E30" s="127">
        <f t="shared" si="5"/>
        <v>5548</v>
      </c>
      <c r="F30" s="88">
        <f t="shared" si="6"/>
        <v>332880</v>
      </c>
      <c r="G30" s="128">
        <f t="shared" si="7"/>
        <v>0.65176640230713767</v>
      </c>
    </row>
    <row r="31" spans="1:8">
      <c r="A31" s="17">
        <v>8</v>
      </c>
      <c r="B31" s="17" t="s">
        <v>386</v>
      </c>
      <c r="C31" s="126">
        <v>15000000</v>
      </c>
      <c r="D31" s="126">
        <f t="shared" si="4"/>
        <v>3000000</v>
      </c>
      <c r="E31" s="127">
        <f t="shared" si="5"/>
        <v>5548</v>
      </c>
      <c r="F31" s="88">
        <f t="shared" si="6"/>
        <v>332880</v>
      </c>
      <c r="G31" s="128">
        <f t="shared" si="7"/>
        <v>9.0122566690699344</v>
      </c>
    </row>
    <row r="32" spans="1:8">
      <c r="A32" s="17">
        <v>9</v>
      </c>
      <c r="B32" s="17" t="s">
        <v>387</v>
      </c>
      <c r="C32" s="126">
        <v>2800000</v>
      </c>
      <c r="D32" s="126">
        <f t="shared" si="4"/>
        <v>560000</v>
      </c>
      <c r="E32" s="127">
        <f t="shared" si="5"/>
        <v>5548</v>
      </c>
      <c r="F32" s="88">
        <f t="shared" si="6"/>
        <v>332880</v>
      </c>
      <c r="G32" s="128">
        <f t="shared" si="7"/>
        <v>1.6822879115597211</v>
      </c>
    </row>
    <row r="33" spans="1:7">
      <c r="A33" s="17">
        <v>10</v>
      </c>
      <c r="B33" s="17" t="s">
        <v>388</v>
      </c>
      <c r="C33" s="126">
        <v>300000</v>
      </c>
      <c r="D33" s="126">
        <f t="shared" si="4"/>
        <v>60000</v>
      </c>
      <c r="E33" s="127">
        <f t="shared" si="5"/>
        <v>5548</v>
      </c>
      <c r="F33" s="88">
        <f t="shared" si="6"/>
        <v>332880</v>
      </c>
      <c r="G33" s="128">
        <f t="shared" si="7"/>
        <v>0.18024513338139869</v>
      </c>
    </row>
    <row r="34" spans="1:7">
      <c r="A34" s="17">
        <v>11</v>
      </c>
      <c r="B34" s="17" t="s">
        <v>389</v>
      </c>
      <c r="C34" s="126">
        <v>120000</v>
      </c>
      <c r="D34" s="126">
        <f t="shared" si="4"/>
        <v>24000</v>
      </c>
      <c r="E34" s="127">
        <f t="shared" si="5"/>
        <v>5548</v>
      </c>
      <c r="F34" s="88">
        <f t="shared" si="6"/>
        <v>332880</v>
      </c>
      <c r="G34" s="128">
        <f t="shared" si="7"/>
        <v>7.2098053352559477E-2</v>
      </c>
    </row>
    <row r="35" spans="1:7">
      <c r="A35" s="17">
        <v>12</v>
      </c>
      <c r="B35" s="17" t="s">
        <v>390</v>
      </c>
      <c r="C35" s="126">
        <v>130000</v>
      </c>
      <c r="D35" s="126">
        <f t="shared" si="4"/>
        <v>26000</v>
      </c>
      <c r="E35" s="127">
        <f t="shared" si="5"/>
        <v>5548</v>
      </c>
      <c r="F35" s="88">
        <f t="shared" si="6"/>
        <v>332880</v>
      </c>
      <c r="G35" s="128">
        <f t="shared" si="7"/>
        <v>7.8106224465272767E-2</v>
      </c>
    </row>
    <row r="36" spans="1:7">
      <c r="A36" s="17">
        <v>13</v>
      </c>
      <c r="B36" s="17" t="s">
        <v>391</v>
      </c>
      <c r="C36" s="126">
        <v>150000</v>
      </c>
      <c r="D36" s="126">
        <f t="shared" si="4"/>
        <v>30000</v>
      </c>
      <c r="E36" s="127">
        <f t="shared" si="5"/>
        <v>5548</v>
      </c>
      <c r="F36" s="88">
        <f t="shared" si="6"/>
        <v>332880</v>
      </c>
      <c r="G36" s="128">
        <f t="shared" si="7"/>
        <v>9.0122566690699346E-2</v>
      </c>
    </row>
    <row r="37" spans="1:7">
      <c r="A37" s="17">
        <v>14</v>
      </c>
      <c r="B37" s="17" t="s">
        <v>392</v>
      </c>
      <c r="C37" s="126">
        <v>240000</v>
      </c>
      <c r="D37" s="126">
        <f t="shared" si="4"/>
        <v>48000</v>
      </c>
      <c r="E37" s="127">
        <f t="shared" si="5"/>
        <v>5548</v>
      </c>
      <c r="F37" s="88">
        <f t="shared" si="6"/>
        <v>332880</v>
      </c>
      <c r="G37" s="128">
        <f t="shared" si="7"/>
        <v>0.14419610670511895</v>
      </c>
    </row>
    <row r="38" spans="1:7">
      <c r="A38" s="17">
        <v>15</v>
      </c>
      <c r="B38" s="17" t="s">
        <v>393</v>
      </c>
      <c r="C38" s="126">
        <v>325000</v>
      </c>
      <c r="D38" s="126">
        <f t="shared" si="4"/>
        <v>65000</v>
      </c>
      <c r="E38" s="127">
        <f t="shared" si="5"/>
        <v>5548</v>
      </c>
      <c r="F38" s="88">
        <f t="shared" si="6"/>
        <v>332880</v>
      </c>
      <c r="G38" s="128">
        <f t="shared" si="7"/>
        <v>0.19526556116318192</v>
      </c>
    </row>
    <row r="39" spans="1:7">
      <c r="A39" s="17">
        <v>16</v>
      </c>
      <c r="B39" s="17"/>
      <c r="C39" s="126">
        <v>0</v>
      </c>
      <c r="D39" s="126">
        <f t="shared" si="4"/>
        <v>0</v>
      </c>
      <c r="E39" s="127">
        <f t="shared" si="5"/>
        <v>5548</v>
      </c>
      <c r="F39" s="88">
        <f t="shared" si="6"/>
        <v>332880</v>
      </c>
      <c r="G39" s="128">
        <f t="shared" si="7"/>
        <v>0</v>
      </c>
    </row>
    <row r="40" spans="1:7">
      <c r="A40" s="17">
        <v>17</v>
      </c>
      <c r="B40" s="17"/>
      <c r="C40" s="126">
        <v>0</v>
      </c>
      <c r="D40" s="126">
        <f t="shared" si="4"/>
        <v>0</v>
      </c>
      <c r="E40" s="127">
        <f t="shared" si="5"/>
        <v>5548</v>
      </c>
      <c r="F40" s="88">
        <f t="shared" si="6"/>
        <v>332880</v>
      </c>
      <c r="G40" s="128">
        <f t="shared" si="7"/>
        <v>0</v>
      </c>
    </row>
    <row r="41" spans="1:7">
      <c r="A41" s="17">
        <v>18</v>
      </c>
      <c r="B41" s="17"/>
      <c r="C41" s="126">
        <v>0</v>
      </c>
      <c r="D41" s="126">
        <f t="shared" si="4"/>
        <v>0</v>
      </c>
      <c r="E41" s="127">
        <f t="shared" si="5"/>
        <v>5548</v>
      </c>
      <c r="F41" s="88">
        <f t="shared" si="6"/>
        <v>332880</v>
      </c>
      <c r="G41" s="128">
        <f t="shared" si="7"/>
        <v>0</v>
      </c>
    </row>
    <row r="42" spans="1:7">
      <c r="A42" s="17">
        <v>19</v>
      </c>
      <c r="B42" s="17"/>
      <c r="C42" s="126">
        <v>0</v>
      </c>
      <c r="D42" s="126">
        <f t="shared" si="4"/>
        <v>0</v>
      </c>
      <c r="E42" s="127">
        <f t="shared" si="5"/>
        <v>5548</v>
      </c>
      <c r="F42" s="88">
        <f t="shared" si="6"/>
        <v>332880</v>
      </c>
      <c r="G42" s="128">
        <f t="shared" si="7"/>
        <v>0</v>
      </c>
    </row>
    <row r="43" spans="1:7">
      <c r="A43" s="17">
        <v>20</v>
      </c>
      <c r="B43" s="17"/>
      <c r="C43" s="126">
        <v>0</v>
      </c>
      <c r="D43" s="126">
        <f t="shared" si="4"/>
        <v>0</v>
      </c>
      <c r="E43" s="127">
        <f t="shared" si="5"/>
        <v>5548</v>
      </c>
      <c r="F43" s="88">
        <f t="shared" si="6"/>
        <v>332880</v>
      </c>
      <c r="G43" s="128">
        <f t="shared" si="7"/>
        <v>0</v>
      </c>
    </row>
  </sheetData>
  <mergeCells count="6">
    <mergeCell ref="E22:F22"/>
    <mergeCell ref="A1:D1"/>
    <mergeCell ref="A2:D2"/>
    <mergeCell ref="E3:F3"/>
    <mergeCell ref="A20:D20"/>
    <mergeCell ref="A21:D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237C-520B-46D1-945D-7E76847F3C50}">
  <dimension ref="A1:I45"/>
  <sheetViews>
    <sheetView workbookViewId="0">
      <selection activeCell="F21" sqref="F21"/>
    </sheetView>
  </sheetViews>
  <sheetFormatPr baseColWidth="10" defaultColWidth="8.83203125" defaultRowHeight="15"/>
  <cols>
    <col min="2" max="2" width="52.1640625" customWidth="1"/>
    <col min="3" max="3" width="24" customWidth="1"/>
    <col min="4" max="4" width="27.1640625" customWidth="1"/>
    <col min="5" max="5" width="30.6640625" customWidth="1"/>
    <col min="6" max="6" width="17.1640625" customWidth="1"/>
    <col min="7" max="7" width="12.83203125" customWidth="1"/>
    <col min="258" max="258" width="52.1640625" customWidth="1"/>
    <col min="259" max="259" width="24" customWidth="1"/>
    <col min="260" max="260" width="27.1640625" customWidth="1"/>
    <col min="261" max="261" width="30.6640625" customWidth="1"/>
    <col min="262" max="262" width="17.1640625" customWidth="1"/>
    <col min="263" max="263" width="12.83203125" customWidth="1"/>
    <col min="514" max="514" width="52.1640625" customWidth="1"/>
    <col min="515" max="515" width="24" customWidth="1"/>
    <col min="516" max="516" width="27.1640625" customWidth="1"/>
    <col min="517" max="517" width="30.6640625" customWidth="1"/>
    <col min="518" max="518" width="17.1640625" customWidth="1"/>
    <col min="519" max="519" width="12.83203125" customWidth="1"/>
    <col min="770" max="770" width="52.1640625" customWidth="1"/>
    <col min="771" max="771" width="24" customWidth="1"/>
    <col min="772" max="772" width="27.1640625" customWidth="1"/>
    <col min="773" max="773" width="30.6640625" customWidth="1"/>
    <col min="774" max="774" width="17.1640625" customWidth="1"/>
    <col min="775" max="775" width="12.83203125" customWidth="1"/>
    <col min="1026" max="1026" width="52.1640625" customWidth="1"/>
    <col min="1027" max="1027" width="24" customWidth="1"/>
    <col min="1028" max="1028" width="27.1640625" customWidth="1"/>
    <col min="1029" max="1029" width="30.6640625" customWidth="1"/>
    <col min="1030" max="1030" width="17.1640625" customWidth="1"/>
    <col min="1031" max="1031" width="12.83203125" customWidth="1"/>
    <col min="1282" max="1282" width="52.1640625" customWidth="1"/>
    <col min="1283" max="1283" width="24" customWidth="1"/>
    <col min="1284" max="1284" width="27.1640625" customWidth="1"/>
    <col min="1285" max="1285" width="30.6640625" customWidth="1"/>
    <col min="1286" max="1286" width="17.1640625" customWidth="1"/>
    <col min="1287" max="1287" width="12.83203125" customWidth="1"/>
    <col min="1538" max="1538" width="52.1640625" customWidth="1"/>
    <col min="1539" max="1539" width="24" customWidth="1"/>
    <col min="1540" max="1540" width="27.1640625" customWidth="1"/>
    <col min="1541" max="1541" width="30.6640625" customWidth="1"/>
    <col min="1542" max="1542" width="17.1640625" customWidth="1"/>
    <col min="1543" max="1543" width="12.83203125" customWidth="1"/>
    <col min="1794" max="1794" width="52.1640625" customWidth="1"/>
    <col min="1795" max="1795" width="24" customWidth="1"/>
    <col min="1796" max="1796" width="27.1640625" customWidth="1"/>
    <col min="1797" max="1797" width="30.6640625" customWidth="1"/>
    <col min="1798" max="1798" width="17.1640625" customWidth="1"/>
    <col min="1799" max="1799" width="12.83203125" customWidth="1"/>
    <col min="2050" max="2050" width="52.1640625" customWidth="1"/>
    <col min="2051" max="2051" width="24" customWidth="1"/>
    <col min="2052" max="2052" width="27.1640625" customWidth="1"/>
    <col min="2053" max="2053" width="30.6640625" customWidth="1"/>
    <col min="2054" max="2054" width="17.1640625" customWidth="1"/>
    <col min="2055" max="2055" width="12.83203125" customWidth="1"/>
    <col min="2306" max="2306" width="52.1640625" customWidth="1"/>
    <col min="2307" max="2307" width="24" customWidth="1"/>
    <col min="2308" max="2308" width="27.1640625" customWidth="1"/>
    <col min="2309" max="2309" width="30.6640625" customWidth="1"/>
    <col min="2310" max="2310" width="17.1640625" customWidth="1"/>
    <col min="2311" max="2311" width="12.83203125" customWidth="1"/>
    <col min="2562" max="2562" width="52.1640625" customWidth="1"/>
    <col min="2563" max="2563" width="24" customWidth="1"/>
    <col min="2564" max="2564" width="27.1640625" customWidth="1"/>
    <col min="2565" max="2565" width="30.6640625" customWidth="1"/>
    <col min="2566" max="2566" width="17.1640625" customWidth="1"/>
    <col min="2567" max="2567" width="12.83203125" customWidth="1"/>
    <col min="2818" max="2818" width="52.1640625" customWidth="1"/>
    <col min="2819" max="2819" width="24" customWidth="1"/>
    <col min="2820" max="2820" width="27.1640625" customWidth="1"/>
    <col min="2821" max="2821" width="30.6640625" customWidth="1"/>
    <col min="2822" max="2822" width="17.1640625" customWidth="1"/>
    <col min="2823" max="2823" width="12.83203125" customWidth="1"/>
    <col min="3074" max="3074" width="52.1640625" customWidth="1"/>
    <col min="3075" max="3075" width="24" customWidth="1"/>
    <col min="3076" max="3076" width="27.1640625" customWidth="1"/>
    <col min="3077" max="3077" width="30.6640625" customWidth="1"/>
    <col min="3078" max="3078" width="17.1640625" customWidth="1"/>
    <col min="3079" max="3079" width="12.83203125" customWidth="1"/>
    <col min="3330" max="3330" width="52.1640625" customWidth="1"/>
    <col min="3331" max="3331" width="24" customWidth="1"/>
    <col min="3332" max="3332" width="27.1640625" customWidth="1"/>
    <col min="3333" max="3333" width="30.6640625" customWidth="1"/>
    <col min="3334" max="3334" width="17.1640625" customWidth="1"/>
    <col min="3335" max="3335" width="12.83203125" customWidth="1"/>
    <col min="3586" max="3586" width="52.1640625" customWidth="1"/>
    <col min="3587" max="3587" width="24" customWidth="1"/>
    <col min="3588" max="3588" width="27.1640625" customWidth="1"/>
    <col min="3589" max="3589" width="30.6640625" customWidth="1"/>
    <col min="3590" max="3590" width="17.1640625" customWidth="1"/>
    <col min="3591" max="3591" width="12.83203125" customWidth="1"/>
    <col min="3842" max="3842" width="52.1640625" customWidth="1"/>
    <col min="3843" max="3843" width="24" customWidth="1"/>
    <col min="3844" max="3844" width="27.1640625" customWidth="1"/>
    <col min="3845" max="3845" width="30.6640625" customWidth="1"/>
    <col min="3846" max="3846" width="17.1640625" customWidth="1"/>
    <col min="3847" max="3847" width="12.83203125" customWidth="1"/>
    <col min="4098" max="4098" width="52.1640625" customWidth="1"/>
    <col min="4099" max="4099" width="24" customWidth="1"/>
    <col min="4100" max="4100" width="27.1640625" customWidth="1"/>
    <col min="4101" max="4101" width="30.6640625" customWidth="1"/>
    <col min="4102" max="4102" width="17.1640625" customWidth="1"/>
    <col min="4103" max="4103" width="12.83203125" customWidth="1"/>
    <col min="4354" max="4354" width="52.1640625" customWidth="1"/>
    <col min="4355" max="4355" width="24" customWidth="1"/>
    <col min="4356" max="4356" width="27.1640625" customWidth="1"/>
    <col min="4357" max="4357" width="30.6640625" customWidth="1"/>
    <col min="4358" max="4358" width="17.1640625" customWidth="1"/>
    <col min="4359" max="4359" width="12.83203125" customWidth="1"/>
    <col min="4610" max="4610" width="52.1640625" customWidth="1"/>
    <col min="4611" max="4611" width="24" customWidth="1"/>
    <col min="4612" max="4612" width="27.1640625" customWidth="1"/>
    <col min="4613" max="4613" width="30.6640625" customWidth="1"/>
    <col min="4614" max="4614" width="17.1640625" customWidth="1"/>
    <col min="4615" max="4615" width="12.83203125" customWidth="1"/>
    <col min="4866" max="4866" width="52.1640625" customWidth="1"/>
    <col min="4867" max="4867" width="24" customWidth="1"/>
    <col min="4868" max="4868" width="27.1640625" customWidth="1"/>
    <col min="4869" max="4869" width="30.6640625" customWidth="1"/>
    <col min="4870" max="4870" width="17.1640625" customWidth="1"/>
    <col min="4871" max="4871" width="12.83203125" customWidth="1"/>
    <col min="5122" max="5122" width="52.1640625" customWidth="1"/>
    <col min="5123" max="5123" width="24" customWidth="1"/>
    <col min="5124" max="5124" width="27.1640625" customWidth="1"/>
    <col min="5125" max="5125" width="30.6640625" customWidth="1"/>
    <col min="5126" max="5126" width="17.1640625" customWidth="1"/>
    <col min="5127" max="5127" width="12.83203125" customWidth="1"/>
    <col min="5378" max="5378" width="52.1640625" customWidth="1"/>
    <col min="5379" max="5379" width="24" customWidth="1"/>
    <col min="5380" max="5380" width="27.1640625" customWidth="1"/>
    <col min="5381" max="5381" width="30.6640625" customWidth="1"/>
    <col min="5382" max="5382" width="17.1640625" customWidth="1"/>
    <col min="5383" max="5383" width="12.83203125" customWidth="1"/>
    <col min="5634" max="5634" width="52.1640625" customWidth="1"/>
    <col min="5635" max="5635" width="24" customWidth="1"/>
    <col min="5636" max="5636" width="27.1640625" customWidth="1"/>
    <col min="5637" max="5637" width="30.6640625" customWidth="1"/>
    <col min="5638" max="5638" width="17.1640625" customWidth="1"/>
    <col min="5639" max="5639" width="12.83203125" customWidth="1"/>
    <col min="5890" max="5890" width="52.1640625" customWidth="1"/>
    <col min="5891" max="5891" width="24" customWidth="1"/>
    <col min="5892" max="5892" width="27.1640625" customWidth="1"/>
    <col min="5893" max="5893" width="30.6640625" customWidth="1"/>
    <col min="5894" max="5894" width="17.1640625" customWidth="1"/>
    <col min="5895" max="5895" width="12.83203125" customWidth="1"/>
    <col min="6146" max="6146" width="52.1640625" customWidth="1"/>
    <col min="6147" max="6147" width="24" customWidth="1"/>
    <col min="6148" max="6148" width="27.1640625" customWidth="1"/>
    <col min="6149" max="6149" width="30.6640625" customWidth="1"/>
    <col min="6150" max="6150" width="17.1640625" customWidth="1"/>
    <col min="6151" max="6151" width="12.83203125" customWidth="1"/>
    <col min="6402" max="6402" width="52.1640625" customWidth="1"/>
    <col min="6403" max="6403" width="24" customWidth="1"/>
    <col min="6404" max="6404" width="27.1640625" customWidth="1"/>
    <col min="6405" max="6405" width="30.6640625" customWidth="1"/>
    <col min="6406" max="6406" width="17.1640625" customWidth="1"/>
    <col min="6407" max="6407" width="12.83203125" customWidth="1"/>
    <col min="6658" max="6658" width="52.1640625" customWidth="1"/>
    <col min="6659" max="6659" width="24" customWidth="1"/>
    <col min="6660" max="6660" width="27.1640625" customWidth="1"/>
    <col min="6661" max="6661" width="30.6640625" customWidth="1"/>
    <col min="6662" max="6662" width="17.1640625" customWidth="1"/>
    <col min="6663" max="6663" width="12.83203125" customWidth="1"/>
    <col min="6914" max="6914" width="52.1640625" customWidth="1"/>
    <col min="6915" max="6915" width="24" customWidth="1"/>
    <col min="6916" max="6916" width="27.1640625" customWidth="1"/>
    <col min="6917" max="6917" width="30.6640625" customWidth="1"/>
    <col min="6918" max="6918" width="17.1640625" customWidth="1"/>
    <col min="6919" max="6919" width="12.83203125" customWidth="1"/>
    <col min="7170" max="7170" width="52.1640625" customWidth="1"/>
    <col min="7171" max="7171" width="24" customWidth="1"/>
    <col min="7172" max="7172" width="27.1640625" customWidth="1"/>
    <col min="7173" max="7173" width="30.6640625" customWidth="1"/>
    <col min="7174" max="7174" width="17.1640625" customWidth="1"/>
    <col min="7175" max="7175" width="12.83203125" customWidth="1"/>
    <col min="7426" max="7426" width="52.1640625" customWidth="1"/>
    <col min="7427" max="7427" width="24" customWidth="1"/>
    <col min="7428" max="7428" width="27.1640625" customWidth="1"/>
    <col min="7429" max="7429" width="30.6640625" customWidth="1"/>
    <col min="7430" max="7430" width="17.1640625" customWidth="1"/>
    <col min="7431" max="7431" width="12.83203125" customWidth="1"/>
    <col min="7682" max="7682" width="52.1640625" customWidth="1"/>
    <col min="7683" max="7683" width="24" customWidth="1"/>
    <col min="7684" max="7684" width="27.1640625" customWidth="1"/>
    <col min="7685" max="7685" width="30.6640625" customWidth="1"/>
    <col min="7686" max="7686" width="17.1640625" customWidth="1"/>
    <col min="7687" max="7687" width="12.83203125" customWidth="1"/>
    <col min="7938" max="7938" width="52.1640625" customWidth="1"/>
    <col min="7939" max="7939" width="24" customWidth="1"/>
    <col min="7940" max="7940" width="27.1640625" customWidth="1"/>
    <col min="7941" max="7941" width="30.6640625" customWidth="1"/>
    <col min="7942" max="7942" width="17.1640625" customWidth="1"/>
    <col min="7943" max="7943" width="12.83203125" customWidth="1"/>
    <col min="8194" max="8194" width="52.1640625" customWidth="1"/>
    <col min="8195" max="8195" width="24" customWidth="1"/>
    <col min="8196" max="8196" width="27.1640625" customWidth="1"/>
    <col min="8197" max="8197" width="30.6640625" customWidth="1"/>
    <col min="8198" max="8198" width="17.1640625" customWidth="1"/>
    <col min="8199" max="8199" width="12.83203125" customWidth="1"/>
    <col min="8450" max="8450" width="52.1640625" customWidth="1"/>
    <col min="8451" max="8451" width="24" customWidth="1"/>
    <col min="8452" max="8452" width="27.1640625" customWidth="1"/>
    <col min="8453" max="8453" width="30.6640625" customWidth="1"/>
    <col min="8454" max="8454" width="17.1640625" customWidth="1"/>
    <col min="8455" max="8455" width="12.83203125" customWidth="1"/>
    <col min="8706" max="8706" width="52.1640625" customWidth="1"/>
    <col min="8707" max="8707" width="24" customWidth="1"/>
    <col min="8708" max="8708" width="27.1640625" customWidth="1"/>
    <col min="8709" max="8709" width="30.6640625" customWidth="1"/>
    <col min="8710" max="8710" width="17.1640625" customWidth="1"/>
    <col min="8711" max="8711" width="12.83203125" customWidth="1"/>
    <col min="8962" max="8962" width="52.1640625" customWidth="1"/>
    <col min="8963" max="8963" width="24" customWidth="1"/>
    <col min="8964" max="8964" width="27.1640625" customWidth="1"/>
    <col min="8965" max="8965" width="30.6640625" customWidth="1"/>
    <col min="8966" max="8966" width="17.1640625" customWidth="1"/>
    <col min="8967" max="8967" width="12.83203125" customWidth="1"/>
    <col min="9218" max="9218" width="52.1640625" customWidth="1"/>
    <col min="9219" max="9219" width="24" customWidth="1"/>
    <col min="9220" max="9220" width="27.1640625" customWidth="1"/>
    <col min="9221" max="9221" width="30.6640625" customWidth="1"/>
    <col min="9222" max="9222" width="17.1640625" customWidth="1"/>
    <col min="9223" max="9223" width="12.83203125" customWidth="1"/>
    <col min="9474" max="9474" width="52.1640625" customWidth="1"/>
    <col min="9475" max="9475" width="24" customWidth="1"/>
    <col min="9476" max="9476" width="27.1640625" customWidth="1"/>
    <col min="9477" max="9477" width="30.6640625" customWidth="1"/>
    <col min="9478" max="9478" width="17.1640625" customWidth="1"/>
    <col min="9479" max="9479" width="12.83203125" customWidth="1"/>
    <col min="9730" max="9730" width="52.1640625" customWidth="1"/>
    <col min="9731" max="9731" width="24" customWidth="1"/>
    <col min="9732" max="9732" width="27.1640625" customWidth="1"/>
    <col min="9733" max="9733" width="30.6640625" customWidth="1"/>
    <col min="9734" max="9734" width="17.1640625" customWidth="1"/>
    <col min="9735" max="9735" width="12.83203125" customWidth="1"/>
    <col min="9986" max="9986" width="52.1640625" customWidth="1"/>
    <col min="9987" max="9987" width="24" customWidth="1"/>
    <col min="9988" max="9988" width="27.1640625" customWidth="1"/>
    <col min="9989" max="9989" width="30.6640625" customWidth="1"/>
    <col min="9990" max="9990" width="17.1640625" customWidth="1"/>
    <col min="9991" max="9991" width="12.83203125" customWidth="1"/>
    <col min="10242" max="10242" width="52.1640625" customWidth="1"/>
    <col min="10243" max="10243" width="24" customWidth="1"/>
    <col min="10244" max="10244" width="27.1640625" customWidth="1"/>
    <col min="10245" max="10245" width="30.6640625" customWidth="1"/>
    <col min="10246" max="10246" width="17.1640625" customWidth="1"/>
    <col min="10247" max="10247" width="12.83203125" customWidth="1"/>
    <col min="10498" max="10498" width="52.1640625" customWidth="1"/>
    <col min="10499" max="10499" width="24" customWidth="1"/>
    <col min="10500" max="10500" width="27.1640625" customWidth="1"/>
    <col min="10501" max="10501" width="30.6640625" customWidth="1"/>
    <col min="10502" max="10502" width="17.1640625" customWidth="1"/>
    <col min="10503" max="10503" width="12.83203125" customWidth="1"/>
    <col min="10754" max="10754" width="52.1640625" customWidth="1"/>
    <col min="10755" max="10755" width="24" customWidth="1"/>
    <col min="10756" max="10756" width="27.1640625" customWidth="1"/>
    <col min="10757" max="10757" width="30.6640625" customWidth="1"/>
    <col min="10758" max="10758" width="17.1640625" customWidth="1"/>
    <col min="10759" max="10759" width="12.83203125" customWidth="1"/>
    <col min="11010" max="11010" width="52.1640625" customWidth="1"/>
    <col min="11011" max="11011" width="24" customWidth="1"/>
    <col min="11012" max="11012" width="27.1640625" customWidth="1"/>
    <col min="11013" max="11013" width="30.6640625" customWidth="1"/>
    <col min="11014" max="11014" width="17.1640625" customWidth="1"/>
    <col min="11015" max="11015" width="12.83203125" customWidth="1"/>
    <col min="11266" max="11266" width="52.1640625" customWidth="1"/>
    <col min="11267" max="11267" width="24" customWidth="1"/>
    <col min="11268" max="11268" width="27.1640625" customWidth="1"/>
    <col min="11269" max="11269" width="30.6640625" customWidth="1"/>
    <col min="11270" max="11270" width="17.1640625" customWidth="1"/>
    <col min="11271" max="11271" width="12.83203125" customWidth="1"/>
    <col min="11522" max="11522" width="52.1640625" customWidth="1"/>
    <col min="11523" max="11523" width="24" customWidth="1"/>
    <col min="11524" max="11524" width="27.1640625" customWidth="1"/>
    <col min="11525" max="11525" width="30.6640625" customWidth="1"/>
    <col min="11526" max="11526" width="17.1640625" customWidth="1"/>
    <col min="11527" max="11527" width="12.83203125" customWidth="1"/>
    <col min="11778" max="11778" width="52.1640625" customWidth="1"/>
    <col min="11779" max="11779" width="24" customWidth="1"/>
    <col min="11780" max="11780" width="27.1640625" customWidth="1"/>
    <col min="11781" max="11781" width="30.6640625" customWidth="1"/>
    <col min="11782" max="11782" width="17.1640625" customWidth="1"/>
    <col min="11783" max="11783" width="12.83203125" customWidth="1"/>
    <col min="12034" max="12034" width="52.1640625" customWidth="1"/>
    <col min="12035" max="12035" width="24" customWidth="1"/>
    <col min="12036" max="12036" width="27.1640625" customWidth="1"/>
    <col min="12037" max="12037" width="30.6640625" customWidth="1"/>
    <col min="12038" max="12038" width="17.1640625" customWidth="1"/>
    <col min="12039" max="12039" width="12.83203125" customWidth="1"/>
    <col min="12290" max="12290" width="52.1640625" customWidth="1"/>
    <col min="12291" max="12291" width="24" customWidth="1"/>
    <col min="12292" max="12292" width="27.1640625" customWidth="1"/>
    <col min="12293" max="12293" width="30.6640625" customWidth="1"/>
    <col min="12294" max="12294" width="17.1640625" customWidth="1"/>
    <col min="12295" max="12295" width="12.83203125" customWidth="1"/>
    <col min="12546" max="12546" width="52.1640625" customWidth="1"/>
    <col min="12547" max="12547" width="24" customWidth="1"/>
    <col min="12548" max="12548" width="27.1640625" customWidth="1"/>
    <col min="12549" max="12549" width="30.6640625" customWidth="1"/>
    <col min="12550" max="12550" width="17.1640625" customWidth="1"/>
    <col min="12551" max="12551" width="12.83203125" customWidth="1"/>
    <col min="12802" max="12802" width="52.1640625" customWidth="1"/>
    <col min="12803" max="12803" width="24" customWidth="1"/>
    <col min="12804" max="12804" width="27.1640625" customWidth="1"/>
    <col min="12805" max="12805" width="30.6640625" customWidth="1"/>
    <col min="12806" max="12806" width="17.1640625" customWidth="1"/>
    <col min="12807" max="12807" width="12.83203125" customWidth="1"/>
    <col min="13058" max="13058" width="52.1640625" customWidth="1"/>
    <col min="13059" max="13059" width="24" customWidth="1"/>
    <col min="13060" max="13060" width="27.1640625" customWidth="1"/>
    <col min="13061" max="13061" width="30.6640625" customWidth="1"/>
    <col min="13062" max="13062" width="17.1640625" customWidth="1"/>
    <col min="13063" max="13063" width="12.83203125" customWidth="1"/>
    <col min="13314" max="13314" width="52.1640625" customWidth="1"/>
    <col min="13315" max="13315" width="24" customWidth="1"/>
    <col min="13316" max="13316" width="27.1640625" customWidth="1"/>
    <col min="13317" max="13317" width="30.6640625" customWidth="1"/>
    <col min="13318" max="13318" width="17.1640625" customWidth="1"/>
    <col min="13319" max="13319" width="12.83203125" customWidth="1"/>
    <col min="13570" max="13570" width="52.1640625" customWidth="1"/>
    <col min="13571" max="13571" width="24" customWidth="1"/>
    <col min="13572" max="13572" width="27.1640625" customWidth="1"/>
    <col min="13573" max="13573" width="30.6640625" customWidth="1"/>
    <col min="13574" max="13574" width="17.1640625" customWidth="1"/>
    <col min="13575" max="13575" width="12.83203125" customWidth="1"/>
    <col min="13826" max="13826" width="52.1640625" customWidth="1"/>
    <col min="13827" max="13827" width="24" customWidth="1"/>
    <col min="13828" max="13828" width="27.1640625" customWidth="1"/>
    <col min="13829" max="13829" width="30.6640625" customWidth="1"/>
    <col min="13830" max="13830" width="17.1640625" customWidth="1"/>
    <col min="13831" max="13831" width="12.83203125" customWidth="1"/>
    <col min="14082" max="14082" width="52.1640625" customWidth="1"/>
    <col min="14083" max="14083" width="24" customWidth="1"/>
    <col min="14084" max="14084" width="27.1640625" customWidth="1"/>
    <col min="14085" max="14085" width="30.6640625" customWidth="1"/>
    <col min="14086" max="14086" width="17.1640625" customWidth="1"/>
    <col min="14087" max="14087" width="12.83203125" customWidth="1"/>
    <col min="14338" max="14338" width="52.1640625" customWidth="1"/>
    <col min="14339" max="14339" width="24" customWidth="1"/>
    <col min="14340" max="14340" width="27.1640625" customWidth="1"/>
    <col min="14341" max="14341" width="30.6640625" customWidth="1"/>
    <col min="14342" max="14342" width="17.1640625" customWidth="1"/>
    <col min="14343" max="14343" width="12.83203125" customWidth="1"/>
    <col min="14594" max="14594" width="52.1640625" customWidth="1"/>
    <col min="14595" max="14595" width="24" customWidth="1"/>
    <col min="14596" max="14596" width="27.1640625" customWidth="1"/>
    <col min="14597" max="14597" width="30.6640625" customWidth="1"/>
    <col min="14598" max="14598" width="17.1640625" customWidth="1"/>
    <col min="14599" max="14599" width="12.83203125" customWidth="1"/>
    <col min="14850" max="14850" width="52.1640625" customWidth="1"/>
    <col min="14851" max="14851" width="24" customWidth="1"/>
    <col min="14852" max="14852" width="27.1640625" customWidth="1"/>
    <col min="14853" max="14853" width="30.6640625" customWidth="1"/>
    <col min="14854" max="14854" width="17.1640625" customWidth="1"/>
    <col min="14855" max="14855" width="12.83203125" customWidth="1"/>
    <col min="15106" max="15106" width="52.1640625" customWidth="1"/>
    <col min="15107" max="15107" width="24" customWidth="1"/>
    <col min="15108" max="15108" width="27.1640625" customWidth="1"/>
    <col min="15109" max="15109" width="30.6640625" customWidth="1"/>
    <col min="15110" max="15110" width="17.1640625" customWidth="1"/>
    <col min="15111" max="15111" width="12.83203125" customWidth="1"/>
    <col min="15362" max="15362" width="52.1640625" customWidth="1"/>
    <col min="15363" max="15363" width="24" customWidth="1"/>
    <col min="15364" max="15364" width="27.1640625" customWidth="1"/>
    <col min="15365" max="15365" width="30.6640625" customWidth="1"/>
    <col min="15366" max="15366" width="17.1640625" customWidth="1"/>
    <col min="15367" max="15367" width="12.83203125" customWidth="1"/>
    <col min="15618" max="15618" width="52.1640625" customWidth="1"/>
    <col min="15619" max="15619" width="24" customWidth="1"/>
    <col min="15620" max="15620" width="27.1640625" customWidth="1"/>
    <col min="15621" max="15621" width="30.6640625" customWidth="1"/>
    <col min="15622" max="15622" width="17.1640625" customWidth="1"/>
    <col min="15623" max="15623" width="12.83203125" customWidth="1"/>
    <col min="15874" max="15874" width="52.1640625" customWidth="1"/>
    <col min="15875" max="15875" width="24" customWidth="1"/>
    <col min="15876" max="15876" width="27.1640625" customWidth="1"/>
    <col min="15877" max="15877" width="30.6640625" customWidth="1"/>
    <col min="15878" max="15878" width="17.1640625" customWidth="1"/>
    <col min="15879" max="15879" width="12.83203125" customWidth="1"/>
    <col min="16130" max="16130" width="52.1640625" customWidth="1"/>
    <col min="16131" max="16131" width="24" customWidth="1"/>
    <col min="16132" max="16132" width="27.1640625" customWidth="1"/>
    <col min="16133" max="16133" width="30.6640625" customWidth="1"/>
    <col min="16134" max="16134" width="17.1640625" customWidth="1"/>
    <col min="16135" max="16135" width="12.83203125" customWidth="1"/>
  </cols>
  <sheetData>
    <row r="1" spans="1:9" s="119" customFormat="1" ht="13">
      <c r="A1" s="117"/>
      <c r="B1" s="119" t="s">
        <v>891</v>
      </c>
      <c r="E1" s="118"/>
    </row>
    <row r="2" spans="1:9" s="119" customFormat="1" ht="57" customHeight="1">
      <c r="A2" s="192" t="s">
        <v>904</v>
      </c>
      <c r="B2" s="193"/>
      <c r="C2" s="193"/>
      <c r="D2" s="193"/>
      <c r="E2" s="118"/>
      <c r="F2" s="142"/>
    </row>
    <row r="3" spans="1:9" s="119" customFormat="1" ht="12.75" customHeight="1">
      <c r="A3" s="117"/>
      <c r="E3" s="198" t="s">
        <v>893</v>
      </c>
      <c r="F3" s="199"/>
      <c r="G3" s="143" t="s">
        <v>811</v>
      </c>
    </row>
    <row r="4" spans="1:9" s="145" customFormat="1" ht="31.5" customHeight="1">
      <c r="A4" s="144"/>
      <c r="B4" s="145" t="s">
        <v>905</v>
      </c>
      <c r="C4" s="146" t="s">
        <v>906</v>
      </c>
      <c r="D4" s="147" t="s">
        <v>907</v>
      </c>
      <c r="E4" s="123" t="s">
        <v>897</v>
      </c>
      <c r="F4" s="148" t="s">
        <v>898</v>
      </c>
      <c r="G4" s="147" t="s">
        <v>899</v>
      </c>
      <c r="I4" s="149"/>
    </row>
    <row r="5" spans="1:9" s="17" customFormat="1" ht="14">
      <c r="A5" s="88">
        <v>1</v>
      </c>
      <c r="B5" s="70" t="s">
        <v>908</v>
      </c>
      <c r="C5" s="150">
        <f>163745803.419167*12</f>
        <v>1964949641.030004</v>
      </c>
      <c r="D5" s="151">
        <f>163745803.419167*12</f>
        <v>1964949641.030004</v>
      </c>
      <c r="E5" s="127">
        <f>1717*24*365</f>
        <v>15040920</v>
      </c>
      <c r="F5" s="152">
        <f t="shared" ref="F5:F11" si="0">E5*60</f>
        <v>902455200</v>
      </c>
      <c r="G5" s="94">
        <f t="shared" ref="G5:G11" si="1">D5/F5</f>
        <v>2.1773376019441231</v>
      </c>
    </row>
    <row r="6" spans="1:9" s="17" customFormat="1" ht="14">
      <c r="A6" s="88">
        <v>2</v>
      </c>
      <c r="B6" s="70" t="s">
        <v>909</v>
      </c>
      <c r="C6" s="150">
        <f>85052480.5833333*12</f>
        <v>1020629766.9999995</v>
      </c>
      <c r="D6" s="151">
        <f>85052480.5833333*12</f>
        <v>1020629766.9999995</v>
      </c>
      <c r="E6" s="127">
        <f>1717*19.2*288</f>
        <v>9494323.2000000011</v>
      </c>
      <c r="F6" s="152">
        <f t="shared" si="0"/>
        <v>569659392.00000012</v>
      </c>
      <c r="G6" s="94">
        <f t="shared" si="1"/>
        <v>1.7916491526922798</v>
      </c>
    </row>
    <row r="7" spans="1:9" s="17" customFormat="1" ht="14">
      <c r="A7" s="88">
        <v>3</v>
      </c>
      <c r="B7" s="70" t="s">
        <v>910</v>
      </c>
      <c r="C7" s="153">
        <v>1762719751</v>
      </c>
      <c r="D7" s="153">
        <v>217292563</v>
      </c>
      <c r="E7" s="127">
        <f>1717*9*240</f>
        <v>3708720</v>
      </c>
      <c r="F7" s="152">
        <f t="shared" si="0"/>
        <v>222523200</v>
      </c>
      <c r="G7" s="94">
        <f t="shared" si="1"/>
        <v>0.97649397006694139</v>
      </c>
    </row>
    <row r="8" spans="1:9" s="17" customFormat="1" ht="13">
      <c r="A8" s="88">
        <v>4</v>
      </c>
      <c r="B8" s="154" t="s">
        <v>911</v>
      </c>
      <c r="C8" s="155">
        <v>810493119</v>
      </c>
      <c r="D8" s="20">
        <v>810493119</v>
      </c>
      <c r="E8" s="127">
        <f>1717*24*365</f>
        <v>15040920</v>
      </c>
      <c r="F8" s="152">
        <f t="shared" si="0"/>
        <v>902455200</v>
      </c>
      <c r="G8" s="94">
        <f t="shared" si="1"/>
        <v>0.89809789893171432</v>
      </c>
    </row>
    <row r="9" spans="1:9" s="17" customFormat="1" ht="13">
      <c r="A9" s="88">
        <v>5</v>
      </c>
      <c r="B9" s="156" t="s">
        <v>912</v>
      </c>
      <c r="C9" s="155">
        <v>2872628959</v>
      </c>
      <c r="D9" s="155">
        <v>639200584</v>
      </c>
      <c r="E9" s="127">
        <f>1717*9*288</f>
        <v>4450464</v>
      </c>
      <c r="F9" s="152">
        <f t="shared" si="0"/>
        <v>267027840</v>
      </c>
      <c r="G9" s="94">
        <f t="shared" si="1"/>
        <v>2.3937600813458251</v>
      </c>
    </row>
    <row r="10" spans="1:9" s="17" customFormat="1" ht="13">
      <c r="A10" s="88">
        <v>6</v>
      </c>
      <c r="B10" s="156" t="s">
        <v>913</v>
      </c>
      <c r="C10" s="155">
        <v>2312497056.5</v>
      </c>
      <c r="D10" s="155">
        <v>2312497056.5</v>
      </c>
      <c r="E10" s="127">
        <f>1717*19.2*288</f>
        <v>9494323.2000000011</v>
      </c>
      <c r="F10" s="152">
        <f t="shared" si="0"/>
        <v>569659392.00000012</v>
      </c>
      <c r="G10" s="94">
        <f t="shared" si="1"/>
        <v>4.059438129126816</v>
      </c>
    </row>
    <row r="11" spans="1:9" s="17" customFormat="1" ht="13">
      <c r="A11" s="88">
        <v>7</v>
      </c>
      <c r="B11" s="154" t="s">
        <v>914</v>
      </c>
      <c r="C11" s="155">
        <v>7011695861</v>
      </c>
      <c r="D11" s="155">
        <v>7011695861</v>
      </c>
      <c r="E11" s="127">
        <f>1717*24*365</f>
        <v>15040920</v>
      </c>
      <c r="F11" s="152">
        <f t="shared" si="0"/>
        <v>902455200</v>
      </c>
      <c r="G11" s="157">
        <f t="shared" si="1"/>
        <v>7.7695777707303364</v>
      </c>
    </row>
    <row r="12" spans="1:9" s="2" customFormat="1">
      <c r="A12" s="158"/>
      <c r="E12" s="159"/>
      <c r="F12" s="160"/>
    </row>
    <row r="13" spans="1:9" s="2" customFormat="1">
      <c r="E13" s="159"/>
      <c r="F13" s="160"/>
    </row>
    <row r="14" spans="1:9" s="133" customFormat="1">
      <c r="A14" s="161"/>
      <c r="B14" s="119" t="s">
        <v>808</v>
      </c>
      <c r="C14" s="161"/>
      <c r="D14" s="161"/>
      <c r="E14" s="162"/>
      <c r="F14" s="161"/>
      <c r="G14" s="163"/>
    </row>
    <row r="15" spans="1:9" s="133" customFormat="1">
      <c r="A15" s="161"/>
      <c r="B15" s="119" t="s">
        <v>915</v>
      </c>
      <c r="C15" s="161"/>
      <c r="D15" s="161"/>
      <c r="E15" s="162"/>
      <c r="F15" s="161"/>
      <c r="G15" s="163"/>
    </row>
    <row r="16" spans="1:9" s="133" customFormat="1">
      <c r="A16" s="161"/>
      <c r="B16" s="161"/>
      <c r="C16" s="161"/>
      <c r="D16" s="161"/>
      <c r="E16" s="162"/>
      <c r="F16" s="161"/>
      <c r="G16" s="163"/>
    </row>
    <row r="17" spans="1:7" s="133" customFormat="1" ht="27" customHeight="1">
      <c r="A17" s="137"/>
      <c r="B17" s="137"/>
      <c r="C17" s="164"/>
      <c r="D17" s="164"/>
      <c r="E17" s="194" t="s">
        <v>901</v>
      </c>
      <c r="F17" s="194"/>
      <c r="G17" s="165" t="s">
        <v>916</v>
      </c>
    </row>
    <row r="18" spans="1:7" s="2" customFormat="1" ht="29">
      <c r="A18" s="166"/>
      <c r="B18" s="166" t="s">
        <v>917</v>
      </c>
      <c r="C18" s="167" t="s">
        <v>918</v>
      </c>
      <c r="D18" s="168" t="s">
        <v>919</v>
      </c>
      <c r="E18" s="169" t="s">
        <v>897</v>
      </c>
      <c r="F18" s="167" t="s">
        <v>898</v>
      </c>
      <c r="G18" s="170" t="s">
        <v>920</v>
      </c>
    </row>
    <row r="19" spans="1:7" s="2" customFormat="1">
      <c r="A19" s="88"/>
      <c r="B19" s="17" t="s">
        <v>921</v>
      </c>
      <c r="C19" s="126">
        <v>2994841861</v>
      </c>
      <c r="D19" s="126">
        <v>119793674.44</v>
      </c>
      <c r="E19" s="127">
        <f t="shared" ref="E19" si="2">292*1717*1.9</f>
        <v>952591.6</v>
      </c>
      <c r="F19" s="88">
        <f t="shared" ref="F19" si="3">E19*60</f>
        <v>57155496</v>
      </c>
      <c r="G19" s="128">
        <f t="shared" ref="G19" si="4">D19/F19</f>
        <v>2.0959257258479571</v>
      </c>
    </row>
    <row r="20" spans="1:7" s="2" customFormat="1"/>
    <row r="21" spans="1:7" s="2" customFormat="1"/>
    <row r="22" spans="1:7" s="2" customFormat="1"/>
    <row r="23" spans="1:7" s="2" customFormat="1"/>
    <row r="24" spans="1:7" s="2" customFormat="1"/>
    <row r="25" spans="1:7" s="2" customFormat="1"/>
    <row r="26" spans="1:7" s="2" customFormat="1"/>
    <row r="27" spans="1:7" s="2" customFormat="1"/>
    <row r="28" spans="1:7" s="2" customFormat="1"/>
    <row r="29" spans="1:7" s="2" customFormat="1"/>
    <row r="30" spans="1:7" s="2" customFormat="1"/>
    <row r="31" spans="1:7" s="2" customFormat="1"/>
    <row r="32" spans="1:7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</sheetData>
  <mergeCells count="3">
    <mergeCell ref="A2:D2"/>
    <mergeCell ref="E3:F3"/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OPD - Maint. Dialysis</vt:lpstr>
      <vt:lpstr>Creation - Dialysis Access</vt:lpstr>
      <vt:lpstr>Equation - Recipient</vt:lpstr>
      <vt:lpstr>Equation - Donor</vt:lpstr>
      <vt:lpstr>Personnel</vt:lpstr>
      <vt:lpstr>Equipment &amp; Machine OR</vt:lpstr>
      <vt:lpstr>Utilities &amp; Building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Chambo</dc:creator>
  <cp:keywords/>
  <dc:description/>
  <cp:lastModifiedBy>Zambeli-Ljepovic, Alan</cp:lastModifiedBy>
  <cp:revision/>
  <dcterms:created xsi:type="dcterms:W3CDTF">2025-05-15T13:05:12Z</dcterms:created>
  <dcterms:modified xsi:type="dcterms:W3CDTF">2026-04-12T22:45:39Z</dcterms:modified>
  <cp:category/>
  <cp:contentStatus/>
</cp:coreProperties>
</file>